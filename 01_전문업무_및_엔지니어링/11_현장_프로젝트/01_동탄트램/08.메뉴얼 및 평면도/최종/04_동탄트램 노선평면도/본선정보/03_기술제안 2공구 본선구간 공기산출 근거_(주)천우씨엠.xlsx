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8440" windowHeight="11445"/>
  </bookViews>
  <sheets>
    <sheet name="기술제안 4차 수량기준 2공구 본선구간 공기산정결과" sheetId="9" r:id="rId1"/>
  </sheets>
  <definedNames>
    <definedName name="_xlnm.Print_Area" localSheetId="0">'기술제안 4차 수량기준 2공구 본선구간 공기산정결과'!$B$1:$CT$76</definedName>
    <definedName name="_xlnm.Print_Titles" localSheetId="0">'기술제안 4차 수량기준 2공구 본선구간 공기산정결과'!$B:$O</definedName>
  </definedNames>
  <calcPr calcId="145621"/>
</workbook>
</file>

<file path=xl/calcChain.xml><?xml version="1.0" encoding="utf-8"?>
<calcChain xmlns="http://schemas.openxmlformats.org/spreadsheetml/2006/main">
  <c r="N63" i="9" l="1"/>
  <c r="M63" i="9"/>
  <c r="J66" i="9"/>
  <c r="CK66" i="9"/>
  <c r="CG66" i="9"/>
  <c r="CC66" i="9"/>
  <c r="BY66" i="9"/>
  <c r="BU66" i="9"/>
  <c r="BP66" i="9"/>
  <c r="BO66" i="9"/>
  <c r="BK66" i="9"/>
  <c r="BG66" i="9"/>
  <c r="BA66" i="9"/>
  <c r="BC66" i="9" s="1"/>
  <c r="AY66" i="9"/>
  <c r="AX66" i="9"/>
  <c r="AT66" i="9"/>
  <c r="AO66" i="9"/>
  <c r="AK66" i="9"/>
  <c r="AJ66" i="9"/>
  <c r="AF66" i="9"/>
  <c r="AB66" i="9"/>
  <c r="X66" i="9"/>
  <c r="T66" i="9"/>
  <c r="I66" i="9"/>
  <c r="CL66" i="9" s="1"/>
  <c r="CO66" i="9" s="1"/>
  <c r="CK65" i="9"/>
  <c r="CG65" i="9"/>
  <c r="CC65" i="9"/>
  <c r="BY65" i="9"/>
  <c r="BU65" i="9"/>
  <c r="BP65" i="9"/>
  <c r="BO65" i="9"/>
  <c r="BK65" i="9"/>
  <c r="BG65" i="9"/>
  <c r="BA65" i="9"/>
  <c r="BC65" i="9" s="1"/>
  <c r="AY65" i="9"/>
  <c r="AX65" i="9"/>
  <c r="AT65" i="9"/>
  <c r="AO65" i="9"/>
  <c r="AK65" i="9"/>
  <c r="AJ65" i="9"/>
  <c r="AF65" i="9"/>
  <c r="AB65" i="9"/>
  <c r="X65" i="9"/>
  <c r="T65" i="9"/>
  <c r="I65" i="9"/>
  <c r="CL65" i="9" s="1"/>
  <c r="CO65" i="9" s="1"/>
  <c r="J64" i="9"/>
  <c r="CK64" i="9"/>
  <c r="CG64" i="9"/>
  <c r="CC64" i="9"/>
  <c r="BY64" i="9"/>
  <c r="BU64" i="9"/>
  <c r="BP64" i="9"/>
  <c r="BO64" i="9"/>
  <c r="BK64" i="9"/>
  <c r="BG64" i="9"/>
  <c r="BA64" i="9"/>
  <c r="BC64" i="9" s="1"/>
  <c r="AX64" i="9"/>
  <c r="AT64" i="9"/>
  <c r="AO64" i="9"/>
  <c r="AF64" i="9"/>
  <c r="X64" i="9"/>
  <c r="T64" i="9"/>
  <c r="I64" i="9"/>
  <c r="CK63" i="9"/>
  <c r="CG63" i="9"/>
  <c r="CC63" i="9"/>
  <c r="BY63" i="9"/>
  <c r="BU63" i="9"/>
  <c r="BP63" i="9"/>
  <c r="BO63" i="9"/>
  <c r="BK63" i="9"/>
  <c r="BG63" i="9"/>
  <c r="BA63" i="9"/>
  <c r="BC63" i="9" s="1"/>
  <c r="AY63" i="9"/>
  <c r="AX63" i="9"/>
  <c r="AT63" i="9"/>
  <c r="AO63" i="9"/>
  <c r="AK63" i="9"/>
  <c r="AJ63" i="9"/>
  <c r="AF63" i="9"/>
  <c r="AB63" i="9"/>
  <c r="X63" i="9"/>
  <c r="T63" i="9"/>
  <c r="I63" i="9"/>
  <c r="CL63" i="9" s="1"/>
  <c r="CO63" i="9" s="1"/>
  <c r="J54" i="9"/>
  <c r="J53" i="9"/>
  <c r="J52" i="9"/>
  <c r="J50" i="9"/>
  <c r="J51" i="9" s="1"/>
  <c r="J49" i="9"/>
  <c r="J48" i="9"/>
  <c r="J45" i="9"/>
  <c r="J46" i="9" s="1"/>
  <c r="J47" i="9" s="1"/>
  <c r="N52" i="9"/>
  <c r="M52" i="9"/>
  <c r="M48" i="9"/>
  <c r="N48" i="9"/>
  <c r="N43" i="9"/>
  <c r="M43" i="9"/>
  <c r="J41" i="9"/>
  <c r="J42" i="9" s="1"/>
  <c r="J40" i="9"/>
  <c r="CK41" i="9"/>
  <c r="CG41" i="9"/>
  <c r="CC41" i="9"/>
  <c r="BY41" i="9"/>
  <c r="BU41" i="9"/>
  <c r="BP41" i="9"/>
  <c r="BO41" i="9"/>
  <c r="BK41" i="9"/>
  <c r="BG41" i="9"/>
  <c r="BA41" i="9"/>
  <c r="BC41" i="9" s="1"/>
  <c r="AY41" i="9"/>
  <c r="AX41" i="9"/>
  <c r="AT41" i="9"/>
  <c r="AO41" i="9"/>
  <c r="AK41" i="9"/>
  <c r="AJ41" i="9"/>
  <c r="AF41" i="9"/>
  <c r="AB41" i="9"/>
  <c r="X41" i="9"/>
  <c r="T41" i="9"/>
  <c r="I41" i="9"/>
  <c r="CL41" i="9" s="1"/>
  <c r="CO41" i="9" s="1"/>
  <c r="CK62" i="9"/>
  <c r="CG62" i="9"/>
  <c r="CC62" i="9"/>
  <c r="BY62" i="9"/>
  <c r="BU62" i="9"/>
  <c r="BP62" i="9"/>
  <c r="BO62" i="9"/>
  <c r="BK62" i="9"/>
  <c r="BG62" i="9"/>
  <c r="BA62" i="9"/>
  <c r="BC62" i="9" s="1"/>
  <c r="AY62" i="9"/>
  <c r="AX62" i="9"/>
  <c r="AT62" i="9"/>
  <c r="AO62" i="9"/>
  <c r="AK62" i="9"/>
  <c r="AJ62" i="9"/>
  <c r="AF62" i="9"/>
  <c r="AB62" i="9"/>
  <c r="X62" i="9"/>
  <c r="T62" i="9"/>
  <c r="I62" i="9"/>
  <c r="CL62" i="9" s="1"/>
  <c r="CO62" i="9" s="1"/>
  <c r="CK61" i="9"/>
  <c r="CG61" i="9"/>
  <c r="CC61" i="9"/>
  <c r="BY61" i="9"/>
  <c r="BU61" i="9"/>
  <c r="BP61" i="9"/>
  <c r="BO61" i="9"/>
  <c r="BK61" i="9"/>
  <c r="BG61" i="9"/>
  <c r="BA61" i="9"/>
  <c r="BC61" i="9" s="1"/>
  <c r="AY61" i="9"/>
  <c r="AX61" i="9"/>
  <c r="AT61" i="9"/>
  <c r="AO61" i="9"/>
  <c r="AK61" i="9"/>
  <c r="AJ61" i="9"/>
  <c r="AF61" i="9"/>
  <c r="AB61" i="9"/>
  <c r="X61" i="9"/>
  <c r="T61" i="9"/>
  <c r="I61" i="9"/>
  <c r="CL61" i="9" s="1"/>
  <c r="CO61" i="9" s="1"/>
  <c r="CP66" i="9" l="1"/>
  <c r="CS66" i="9" s="1"/>
  <c r="BQ66" i="9"/>
  <c r="CR66" i="9" s="1"/>
  <c r="AP66" i="9"/>
  <c r="CQ66" i="9" s="1"/>
  <c r="BQ65" i="9"/>
  <c r="CR65" i="9" s="1"/>
  <c r="AP65" i="9"/>
  <c r="CQ65" i="9" s="1"/>
  <c r="CP65" i="9"/>
  <c r="CS65" i="9" s="1"/>
  <c r="J65" i="9"/>
  <c r="BQ64" i="9"/>
  <c r="CR64" i="9" s="1"/>
  <c r="AP64" i="9"/>
  <c r="CQ64" i="9" s="1"/>
  <c r="CL64" i="9"/>
  <c r="CO64" i="9" s="1"/>
  <c r="CP64" i="9" s="1"/>
  <c r="CS64" i="9" s="1"/>
  <c r="BQ63" i="9"/>
  <c r="CR63" i="9" s="1"/>
  <c r="AP63" i="9"/>
  <c r="CQ63" i="9" s="1"/>
  <c r="J63" i="9"/>
  <c r="CP63" i="9"/>
  <c r="CS63" i="9" s="1"/>
  <c r="AP41" i="9"/>
  <c r="CQ41" i="9" s="1"/>
  <c r="BQ41" i="9"/>
  <c r="CR41" i="9" s="1"/>
  <c r="CP41" i="9"/>
  <c r="CS41" i="9" s="1"/>
  <c r="BQ62" i="9"/>
  <c r="CR62" i="9" s="1"/>
  <c r="AP62" i="9"/>
  <c r="CQ62" i="9" s="1"/>
  <c r="CP62" i="9"/>
  <c r="CS62" i="9" s="1"/>
  <c r="BQ61" i="9"/>
  <c r="CR61" i="9" s="1"/>
  <c r="AP61" i="9"/>
  <c r="CQ61" i="9" s="1"/>
  <c r="CP61" i="9"/>
  <c r="CS61" i="9" s="1"/>
  <c r="CK60" i="9"/>
  <c r="CG60" i="9"/>
  <c r="CC60" i="9"/>
  <c r="BY60" i="9"/>
  <c r="BU60" i="9"/>
  <c r="BP60" i="9"/>
  <c r="BO60" i="9"/>
  <c r="BK60" i="9"/>
  <c r="BG60" i="9"/>
  <c r="BA60" i="9"/>
  <c r="BC60" i="9" s="1"/>
  <c r="AY60" i="9"/>
  <c r="AX60" i="9"/>
  <c r="AT60" i="9"/>
  <c r="AO60" i="9"/>
  <c r="AK60" i="9"/>
  <c r="AJ60" i="9"/>
  <c r="AF60" i="9"/>
  <c r="AB60" i="9"/>
  <c r="X60" i="9"/>
  <c r="T60" i="9"/>
  <c r="I60" i="9"/>
  <c r="CL60" i="9" s="1"/>
  <c r="CO60" i="9" s="1"/>
  <c r="CK59" i="9"/>
  <c r="CG59" i="9"/>
  <c r="CC59" i="9"/>
  <c r="BY59" i="9"/>
  <c r="BU59" i="9"/>
  <c r="BP59" i="9"/>
  <c r="BO59" i="9"/>
  <c r="BK59" i="9"/>
  <c r="BG59" i="9"/>
  <c r="BA59" i="9"/>
  <c r="BC59" i="9" s="1"/>
  <c r="AY59" i="9"/>
  <c r="AX59" i="9"/>
  <c r="AT59" i="9"/>
  <c r="AO59" i="9"/>
  <c r="AK59" i="9"/>
  <c r="AJ59" i="9"/>
  <c r="AF59" i="9"/>
  <c r="AB59" i="9"/>
  <c r="X59" i="9"/>
  <c r="T59" i="9"/>
  <c r="J59" i="9"/>
  <c r="J60" i="9" s="1"/>
  <c r="J61" i="9" s="1"/>
  <c r="J62" i="9" s="1"/>
  <c r="I59" i="9"/>
  <c r="AB58" i="9"/>
  <c r="CK58" i="9"/>
  <c r="CG58" i="9"/>
  <c r="CC58" i="9"/>
  <c r="BY58" i="9"/>
  <c r="BU58" i="9"/>
  <c r="BP58" i="9"/>
  <c r="BO58" i="9"/>
  <c r="BK58" i="9"/>
  <c r="BG58" i="9"/>
  <c r="BA58" i="9"/>
  <c r="BC58" i="9" s="1"/>
  <c r="AY58" i="9"/>
  <c r="AX58" i="9"/>
  <c r="AT58" i="9"/>
  <c r="AO58" i="9"/>
  <c r="AK58" i="9"/>
  <c r="AJ58" i="9"/>
  <c r="AF58" i="9"/>
  <c r="X58" i="9"/>
  <c r="T58" i="9"/>
  <c r="I58" i="9"/>
  <c r="CL58" i="9" s="1"/>
  <c r="CO58" i="9" s="1"/>
  <c r="I57" i="9"/>
  <c r="CK57" i="9"/>
  <c r="CG57" i="9"/>
  <c r="CC57" i="9"/>
  <c r="BY57" i="9"/>
  <c r="BU57" i="9"/>
  <c r="BP57" i="9"/>
  <c r="BO57" i="9"/>
  <c r="BK57" i="9"/>
  <c r="BG57" i="9"/>
  <c r="BA57" i="9"/>
  <c r="BC57" i="9" s="1"/>
  <c r="AX57" i="9"/>
  <c r="AT57" i="9"/>
  <c r="AO57" i="9"/>
  <c r="AF57" i="9"/>
  <c r="X57" i="9"/>
  <c r="T57" i="9"/>
  <c r="CK56" i="9"/>
  <c r="CG56" i="9"/>
  <c r="CC56" i="9"/>
  <c r="BY56" i="9"/>
  <c r="BU56" i="9"/>
  <c r="BP56" i="9"/>
  <c r="BO56" i="9"/>
  <c r="BK56" i="9"/>
  <c r="BG56" i="9"/>
  <c r="BA56" i="9"/>
  <c r="BC56" i="9" s="1"/>
  <c r="AY56" i="9"/>
  <c r="AX56" i="9"/>
  <c r="AT56" i="9"/>
  <c r="AO56" i="9"/>
  <c r="AK56" i="9"/>
  <c r="AJ56" i="9"/>
  <c r="AF56" i="9"/>
  <c r="AB56" i="9"/>
  <c r="X56" i="9"/>
  <c r="T56" i="9"/>
  <c r="I56" i="9"/>
  <c r="CL56" i="9" s="1"/>
  <c r="CO56" i="9" s="1"/>
  <c r="CK55" i="9"/>
  <c r="CG55" i="9"/>
  <c r="CC55" i="9"/>
  <c r="BY55" i="9"/>
  <c r="BU55" i="9"/>
  <c r="BP55" i="9"/>
  <c r="BO55" i="9"/>
  <c r="BK55" i="9"/>
  <c r="BG55" i="9"/>
  <c r="BA55" i="9"/>
  <c r="BC55" i="9" s="1"/>
  <c r="AY55" i="9"/>
  <c r="AX55" i="9"/>
  <c r="AT55" i="9"/>
  <c r="AO55" i="9"/>
  <c r="AK55" i="9"/>
  <c r="AJ55" i="9"/>
  <c r="AF55" i="9"/>
  <c r="AB55" i="9"/>
  <c r="X55" i="9"/>
  <c r="T55" i="9"/>
  <c r="I55" i="9"/>
  <c r="CL55" i="9" s="1"/>
  <c r="CO55" i="9" s="1"/>
  <c r="CK54" i="9"/>
  <c r="CG54" i="9"/>
  <c r="CC54" i="9"/>
  <c r="BY54" i="9"/>
  <c r="BU54" i="9"/>
  <c r="BP54" i="9"/>
  <c r="BO54" i="9"/>
  <c r="BK54" i="9"/>
  <c r="BG54" i="9"/>
  <c r="BC54" i="9"/>
  <c r="BA54" i="9"/>
  <c r="AY54" i="9"/>
  <c r="AX54" i="9"/>
  <c r="AT54" i="9"/>
  <c r="AO54" i="9"/>
  <c r="AK54" i="9"/>
  <c r="AJ54" i="9"/>
  <c r="AF54" i="9"/>
  <c r="AB54" i="9"/>
  <c r="X54" i="9"/>
  <c r="T54" i="9"/>
  <c r="I54" i="9"/>
  <c r="CL54" i="9" s="1"/>
  <c r="CO54" i="9" s="1"/>
  <c r="I51" i="9"/>
  <c r="CK53" i="9"/>
  <c r="CG53" i="9"/>
  <c r="CC53" i="9"/>
  <c r="BY53" i="9"/>
  <c r="BU53" i="9"/>
  <c r="BP53" i="9"/>
  <c r="BO53" i="9"/>
  <c r="BK53" i="9"/>
  <c r="BG53" i="9"/>
  <c r="BA53" i="9"/>
  <c r="BC53" i="9" s="1"/>
  <c r="AY53" i="9"/>
  <c r="AX53" i="9"/>
  <c r="AT53" i="9"/>
  <c r="AO53" i="9"/>
  <c r="AK53" i="9"/>
  <c r="AJ53" i="9"/>
  <c r="AF53" i="9"/>
  <c r="AB53" i="9"/>
  <c r="X53" i="9"/>
  <c r="T53" i="9"/>
  <c r="I53" i="9"/>
  <c r="CL53" i="9" s="1"/>
  <c r="CO53" i="9" s="1"/>
  <c r="CK52" i="9"/>
  <c r="CG52" i="9"/>
  <c r="CC52" i="9"/>
  <c r="BY52" i="9"/>
  <c r="BU52" i="9"/>
  <c r="BP52" i="9"/>
  <c r="BO52" i="9"/>
  <c r="BK52" i="9"/>
  <c r="BG52" i="9"/>
  <c r="BC52" i="9"/>
  <c r="BA52" i="9"/>
  <c r="AX52" i="9"/>
  <c r="AT52" i="9"/>
  <c r="AO52" i="9"/>
  <c r="AF52" i="9"/>
  <c r="X52" i="9"/>
  <c r="T52" i="9"/>
  <c r="I52" i="9"/>
  <c r="CT66" i="9" l="1"/>
  <c r="CT65" i="9"/>
  <c r="CT64" i="9"/>
  <c r="CT63" i="9"/>
  <c r="M55" i="9"/>
  <c r="J55" i="9"/>
  <c r="J56" i="9" s="1"/>
  <c r="CL59" i="9"/>
  <c r="CO59" i="9" s="1"/>
  <c r="M59" i="9"/>
  <c r="J57" i="9"/>
  <c r="J58" i="9" s="1"/>
  <c r="CT41" i="9"/>
  <c r="CT62" i="9"/>
  <c r="CT61" i="9"/>
  <c r="BQ60" i="9"/>
  <c r="CR60" i="9" s="1"/>
  <c r="N59" i="9" s="1"/>
  <c r="BQ59" i="9"/>
  <c r="CR59" i="9" s="1"/>
  <c r="AP60" i="9"/>
  <c r="CQ60" i="9" s="1"/>
  <c r="AP59" i="9"/>
  <c r="CQ59" i="9" s="1"/>
  <c r="CP60" i="9"/>
  <c r="CS60" i="9" s="1"/>
  <c r="CP59" i="9"/>
  <c r="CS59" i="9" s="1"/>
  <c r="BQ58" i="9"/>
  <c r="CR58" i="9" s="1"/>
  <c r="AP58" i="9"/>
  <c r="CQ58" i="9" s="1"/>
  <c r="CP58" i="9"/>
  <c r="CS58" i="9" s="1"/>
  <c r="AP57" i="9"/>
  <c r="CQ57" i="9" s="1"/>
  <c r="BQ57" i="9"/>
  <c r="CR57" i="9" s="1"/>
  <c r="CL57" i="9"/>
  <c r="CO57" i="9" s="1"/>
  <c r="CP57" i="9" s="1"/>
  <c r="CS57" i="9" s="1"/>
  <c r="BQ55" i="9"/>
  <c r="CR55" i="9" s="1"/>
  <c r="BQ56" i="9"/>
  <c r="CR56" i="9" s="1"/>
  <c r="AP56" i="9"/>
  <c r="CQ56" i="9" s="1"/>
  <c r="AP55" i="9"/>
  <c r="CQ55" i="9" s="1"/>
  <c r="CP55" i="9"/>
  <c r="CS55" i="9" s="1"/>
  <c r="CP56" i="9"/>
  <c r="CS56" i="9" s="1"/>
  <c r="BQ54" i="9"/>
  <c r="CR54" i="9" s="1"/>
  <c r="AP54" i="9"/>
  <c r="CQ54" i="9" s="1"/>
  <c r="CP54" i="9"/>
  <c r="CS54" i="9" s="1"/>
  <c r="BQ53" i="9"/>
  <c r="CR53" i="9" s="1"/>
  <c r="AP53" i="9"/>
  <c r="CQ53" i="9" s="1"/>
  <c r="CP53" i="9"/>
  <c r="CS53" i="9" s="1"/>
  <c r="BQ52" i="9"/>
  <c r="CR52" i="9" s="1"/>
  <c r="AP52" i="9"/>
  <c r="CQ52" i="9" s="1"/>
  <c r="CL52" i="9"/>
  <c r="CO52" i="9" s="1"/>
  <c r="CP52" i="9" s="1"/>
  <c r="CS52" i="9" s="1"/>
  <c r="CK51" i="9"/>
  <c r="CG51" i="9"/>
  <c r="CC51" i="9"/>
  <c r="BY51" i="9"/>
  <c r="BU51" i="9"/>
  <c r="BP51" i="9"/>
  <c r="BO51" i="9"/>
  <c r="BK51" i="9"/>
  <c r="BG51" i="9"/>
  <c r="BA51" i="9"/>
  <c r="BC51" i="9" s="1"/>
  <c r="AY51" i="9"/>
  <c r="AX51" i="9"/>
  <c r="AT51" i="9"/>
  <c r="AO51" i="9"/>
  <c r="AK51" i="9"/>
  <c r="AJ51" i="9"/>
  <c r="AF51" i="9"/>
  <c r="AB51" i="9"/>
  <c r="X51" i="9"/>
  <c r="T51" i="9"/>
  <c r="CL51" i="9"/>
  <c r="CO51" i="9" s="1"/>
  <c r="CW35" i="9"/>
  <c r="CW36" i="9" s="1"/>
  <c r="CK50" i="9"/>
  <c r="CG50" i="9"/>
  <c r="CC50" i="9"/>
  <c r="BY50" i="9"/>
  <c r="BU50" i="9"/>
  <c r="BP50" i="9"/>
  <c r="BO50" i="9"/>
  <c r="BK50" i="9"/>
  <c r="BG50" i="9"/>
  <c r="BA50" i="9"/>
  <c r="BC50" i="9" s="1"/>
  <c r="AY50" i="9"/>
  <c r="AX50" i="9"/>
  <c r="AT50" i="9"/>
  <c r="AO50" i="9"/>
  <c r="AK50" i="9"/>
  <c r="AJ50" i="9"/>
  <c r="AF50" i="9"/>
  <c r="AB50" i="9"/>
  <c r="X50" i="9"/>
  <c r="T50" i="9"/>
  <c r="I50" i="9"/>
  <c r="CL50" i="9" s="1"/>
  <c r="CO50" i="9" s="1"/>
  <c r="CK49" i="9"/>
  <c r="CG49" i="9"/>
  <c r="CC49" i="9"/>
  <c r="BY49" i="9"/>
  <c r="BU49" i="9"/>
  <c r="BP49" i="9"/>
  <c r="BO49" i="9"/>
  <c r="BK49" i="9"/>
  <c r="BG49" i="9"/>
  <c r="BA49" i="9"/>
  <c r="BC49" i="9" s="1"/>
  <c r="AY49" i="9"/>
  <c r="AX49" i="9"/>
  <c r="AT49" i="9"/>
  <c r="AO49" i="9"/>
  <c r="AK49" i="9"/>
  <c r="AJ49" i="9"/>
  <c r="AF49" i="9"/>
  <c r="AB49" i="9"/>
  <c r="X49" i="9"/>
  <c r="T49" i="9"/>
  <c r="I49" i="9"/>
  <c r="CL49" i="9" s="1"/>
  <c r="CO49" i="9" s="1"/>
  <c r="CK48" i="9"/>
  <c r="CG48" i="9"/>
  <c r="CC48" i="9"/>
  <c r="BY48" i="9"/>
  <c r="BU48" i="9"/>
  <c r="BP48" i="9"/>
  <c r="BO48" i="9"/>
  <c r="BK48" i="9"/>
  <c r="BG48" i="9"/>
  <c r="BA48" i="9"/>
  <c r="BC48" i="9" s="1"/>
  <c r="AX48" i="9"/>
  <c r="AT48" i="9"/>
  <c r="AO48" i="9"/>
  <c r="AF48" i="9"/>
  <c r="X48" i="9"/>
  <c r="T48" i="9"/>
  <c r="I48" i="9"/>
  <c r="AT47" i="9"/>
  <c r="X47" i="9"/>
  <c r="CK47" i="9"/>
  <c r="CG47" i="9"/>
  <c r="CC47" i="9"/>
  <c r="BY47" i="9"/>
  <c r="BU47" i="9"/>
  <c r="BP47" i="9"/>
  <c r="BO47" i="9"/>
  <c r="BK47" i="9"/>
  <c r="BG47" i="9"/>
  <c r="BA47" i="9"/>
  <c r="BC47" i="9" s="1"/>
  <c r="AY47" i="9"/>
  <c r="AX47" i="9"/>
  <c r="AO47" i="9"/>
  <c r="AK47" i="9"/>
  <c r="AJ47" i="9"/>
  <c r="AF47" i="9"/>
  <c r="AB47" i="9"/>
  <c r="T47" i="9"/>
  <c r="I47" i="9"/>
  <c r="CL47" i="9" s="1"/>
  <c r="CO47" i="9" s="1"/>
  <c r="AT46" i="9"/>
  <c r="AB46" i="9"/>
  <c r="CK46" i="9"/>
  <c r="CG46" i="9"/>
  <c r="CC46" i="9"/>
  <c r="BY46" i="9"/>
  <c r="BU46" i="9"/>
  <c r="BP46" i="9"/>
  <c r="BO46" i="9"/>
  <c r="BK46" i="9"/>
  <c r="BG46" i="9"/>
  <c r="BA46" i="9"/>
  <c r="BC46" i="9" s="1"/>
  <c r="AY46" i="9"/>
  <c r="AX46" i="9"/>
  <c r="AO46" i="9"/>
  <c r="AK46" i="9"/>
  <c r="AJ46" i="9"/>
  <c r="AF46" i="9"/>
  <c r="X46" i="9"/>
  <c r="T46" i="9"/>
  <c r="I46" i="9"/>
  <c r="CL46" i="9" s="1"/>
  <c r="CO46" i="9" s="1"/>
  <c r="CK42" i="9"/>
  <c r="CG42" i="9"/>
  <c r="CC42" i="9"/>
  <c r="BY42" i="9"/>
  <c r="BU42" i="9"/>
  <c r="BP42" i="9"/>
  <c r="BO42" i="9"/>
  <c r="BK42" i="9"/>
  <c r="BG42" i="9"/>
  <c r="BA42" i="9"/>
  <c r="BC42" i="9" s="1"/>
  <c r="AY42" i="9"/>
  <c r="AX42" i="9"/>
  <c r="AT42" i="9"/>
  <c r="AO42" i="9"/>
  <c r="AK42" i="9"/>
  <c r="AJ42" i="9"/>
  <c r="AF42" i="9"/>
  <c r="AB42" i="9"/>
  <c r="X42" i="9"/>
  <c r="T42" i="9"/>
  <c r="I42" i="9"/>
  <c r="CL42" i="9" s="1"/>
  <c r="CO42" i="9" s="1"/>
  <c r="CK45" i="9"/>
  <c r="CG45" i="9"/>
  <c r="CC45" i="9"/>
  <c r="BY45" i="9"/>
  <c r="BU45" i="9"/>
  <c r="BP45" i="9"/>
  <c r="BO45" i="9"/>
  <c r="BK45" i="9"/>
  <c r="BG45" i="9"/>
  <c r="BA45" i="9"/>
  <c r="BC45" i="9" s="1"/>
  <c r="AY45" i="9"/>
  <c r="AX45" i="9"/>
  <c r="AT45" i="9"/>
  <c r="AO45" i="9"/>
  <c r="AK45" i="9"/>
  <c r="AJ45" i="9"/>
  <c r="AF45" i="9"/>
  <c r="AB45" i="9"/>
  <c r="X45" i="9"/>
  <c r="T45" i="9"/>
  <c r="I45" i="9"/>
  <c r="CL45" i="9" s="1"/>
  <c r="CO45" i="9" s="1"/>
  <c r="CK40" i="9"/>
  <c r="CG40" i="9"/>
  <c r="CC40" i="9"/>
  <c r="BY40" i="9"/>
  <c r="BU40" i="9"/>
  <c r="BP40" i="9"/>
  <c r="BO40" i="9"/>
  <c r="BK40" i="9"/>
  <c r="BG40" i="9"/>
  <c r="BA40" i="9"/>
  <c r="BC40" i="9" s="1"/>
  <c r="AY40" i="9"/>
  <c r="AX40" i="9"/>
  <c r="AT40" i="9"/>
  <c r="AO40" i="9"/>
  <c r="AK40" i="9"/>
  <c r="AJ40" i="9"/>
  <c r="AF40" i="9"/>
  <c r="AB40" i="9"/>
  <c r="X40" i="9"/>
  <c r="T40" i="9"/>
  <c r="I40" i="9"/>
  <c r="CL40" i="9" s="1"/>
  <c r="CO40" i="9" s="1"/>
  <c r="BQ46" i="9" l="1"/>
  <c r="CT60" i="9"/>
  <c r="CT59" i="9"/>
  <c r="N55" i="9"/>
  <c r="CT58" i="9"/>
  <c r="CT57" i="9"/>
  <c r="CT56" i="9"/>
  <c r="CT55" i="9"/>
  <c r="CT54" i="9"/>
  <c r="CT53" i="9"/>
  <c r="CT52" i="9"/>
  <c r="BQ51" i="9"/>
  <c r="CR51" i="9" s="1"/>
  <c r="AP51" i="9"/>
  <c r="CQ51" i="9" s="1"/>
  <c r="CP51" i="9"/>
  <c r="CS51" i="9" s="1"/>
  <c r="BQ50" i="9"/>
  <c r="CR50" i="9" s="1"/>
  <c r="BQ49" i="9"/>
  <c r="CR49" i="9" s="1"/>
  <c r="AP50" i="9"/>
  <c r="CQ50" i="9" s="1"/>
  <c r="AP49" i="9"/>
  <c r="CQ49" i="9" s="1"/>
  <c r="CP50" i="9"/>
  <c r="CS50" i="9" s="1"/>
  <c r="CP49" i="9"/>
  <c r="CS49" i="9" s="1"/>
  <c r="BQ48" i="9"/>
  <c r="CR48" i="9" s="1"/>
  <c r="AP48" i="9"/>
  <c r="CQ48" i="9" s="1"/>
  <c r="CL48" i="9"/>
  <c r="CO48" i="9" s="1"/>
  <c r="CP48" i="9" s="1"/>
  <c r="CS48" i="9" s="1"/>
  <c r="BQ47" i="9"/>
  <c r="CR47" i="9" s="1"/>
  <c r="AP47" i="9"/>
  <c r="CQ47" i="9" s="1"/>
  <c r="CP47" i="9"/>
  <c r="CS47" i="9" s="1"/>
  <c r="CR46" i="9"/>
  <c r="AP46" i="9"/>
  <c r="CQ46" i="9" s="1"/>
  <c r="CP46" i="9"/>
  <c r="CS46" i="9" s="1"/>
  <c r="BQ42" i="9"/>
  <c r="CR42" i="9" s="1"/>
  <c r="AP42" i="9"/>
  <c r="CQ42" i="9" s="1"/>
  <c r="CP42" i="9"/>
  <c r="CS42" i="9" s="1"/>
  <c r="BQ40" i="9"/>
  <c r="CR40" i="9" s="1"/>
  <c r="AP40" i="9"/>
  <c r="CQ40" i="9" s="1"/>
  <c r="BQ45" i="9"/>
  <c r="CR45" i="9" s="1"/>
  <c r="AP45" i="9"/>
  <c r="CQ45" i="9" s="1"/>
  <c r="CP45" i="9"/>
  <c r="CS45" i="9" s="1"/>
  <c r="CP40" i="9"/>
  <c r="CS40" i="9" s="1"/>
  <c r="CK44" i="9"/>
  <c r="CG44" i="9"/>
  <c r="CC44" i="9"/>
  <c r="BY44" i="9"/>
  <c r="BU44" i="9"/>
  <c r="BP44" i="9"/>
  <c r="BO44" i="9"/>
  <c r="BK44" i="9"/>
  <c r="BG44" i="9"/>
  <c r="BA44" i="9"/>
  <c r="BC44" i="9" s="1"/>
  <c r="AX44" i="9"/>
  <c r="AT44" i="9"/>
  <c r="AO44" i="9"/>
  <c r="AF44" i="9"/>
  <c r="X44" i="9"/>
  <c r="T44" i="9"/>
  <c r="I44" i="9"/>
  <c r="CK43" i="9"/>
  <c r="CG43" i="9"/>
  <c r="CC43" i="9"/>
  <c r="BY43" i="9"/>
  <c r="BU43" i="9"/>
  <c r="BP43" i="9"/>
  <c r="BO43" i="9"/>
  <c r="BK43" i="9"/>
  <c r="BG43" i="9"/>
  <c r="BA43" i="9"/>
  <c r="BC43" i="9" s="1"/>
  <c r="AY43" i="9"/>
  <c r="AX43" i="9"/>
  <c r="AT43" i="9"/>
  <c r="AO43" i="9"/>
  <c r="AK43" i="9"/>
  <c r="AJ43" i="9"/>
  <c r="AF43" i="9"/>
  <c r="AB43" i="9"/>
  <c r="X43" i="9"/>
  <c r="T43" i="9"/>
  <c r="I43" i="9"/>
  <c r="CK39" i="9"/>
  <c r="CG39" i="9"/>
  <c r="CC39" i="9"/>
  <c r="BY39" i="9"/>
  <c r="BU39" i="9"/>
  <c r="BP39" i="9"/>
  <c r="BO39" i="9"/>
  <c r="BK39" i="9"/>
  <c r="BG39" i="9"/>
  <c r="BA39" i="9"/>
  <c r="BC39" i="9" s="1"/>
  <c r="AY39" i="9"/>
  <c r="AX39" i="9"/>
  <c r="AT39" i="9"/>
  <c r="AO39" i="9"/>
  <c r="AK39" i="9"/>
  <c r="AJ39" i="9"/>
  <c r="AF39" i="9"/>
  <c r="AB39" i="9"/>
  <c r="X39" i="9"/>
  <c r="T39" i="9"/>
  <c r="I39" i="9"/>
  <c r="M39" i="9" s="1"/>
  <c r="CK37" i="9"/>
  <c r="CG37" i="9"/>
  <c r="CC37" i="9"/>
  <c r="BY37" i="9"/>
  <c r="BU37" i="9"/>
  <c r="BP37" i="9"/>
  <c r="BO37" i="9"/>
  <c r="BK37" i="9"/>
  <c r="BG37" i="9"/>
  <c r="BA37" i="9"/>
  <c r="BC37" i="9" s="1"/>
  <c r="AY37" i="9"/>
  <c r="AX37" i="9"/>
  <c r="AT37" i="9"/>
  <c r="AO37" i="9"/>
  <c r="AK37" i="9"/>
  <c r="AJ37" i="9"/>
  <c r="AF37" i="9"/>
  <c r="AB37" i="9"/>
  <c r="X37" i="9"/>
  <c r="T37" i="9"/>
  <c r="I37" i="9"/>
  <c r="CL37" i="9" s="1"/>
  <c r="CO37" i="9" s="1"/>
  <c r="CK36" i="9"/>
  <c r="CG36" i="9"/>
  <c r="CC36" i="9"/>
  <c r="BY36" i="9"/>
  <c r="BU36" i="9"/>
  <c r="BP36" i="9"/>
  <c r="BO36" i="9"/>
  <c r="BK36" i="9"/>
  <c r="BG36" i="9"/>
  <c r="BA36" i="9"/>
  <c r="BC36" i="9" s="1"/>
  <c r="AY36" i="9"/>
  <c r="AX36" i="9"/>
  <c r="AT36" i="9"/>
  <c r="AO36" i="9"/>
  <c r="AK36" i="9"/>
  <c r="AJ36" i="9"/>
  <c r="AF36" i="9"/>
  <c r="AB36" i="9"/>
  <c r="X36" i="9"/>
  <c r="T36" i="9"/>
  <c r="I36" i="9"/>
  <c r="CL36" i="9" s="1"/>
  <c r="CO36" i="9" s="1"/>
  <c r="CK35" i="9"/>
  <c r="CG35" i="9"/>
  <c r="CC35" i="9"/>
  <c r="BY35" i="9"/>
  <c r="BU35" i="9"/>
  <c r="BP35" i="9"/>
  <c r="BO35" i="9"/>
  <c r="BK35" i="9"/>
  <c r="BG35" i="9"/>
  <c r="BA35" i="9"/>
  <c r="BC35" i="9" s="1"/>
  <c r="AX35" i="9"/>
  <c r="AT35" i="9"/>
  <c r="AO35" i="9"/>
  <c r="AF35" i="9"/>
  <c r="X35" i="9"/>
  <c r="T35" i="9"/>
  <c r="I35" i="9"/>
  <c r="CL35" i="9" s="1"/>
  <c r="CO35" i="9" s="1"/>
  <c r="CK34" i="9"/>
  <c r="CG34" i="9"/>
  <c r="CC34" i="9"/>
  <c r="BY34" i="9"/>
  <c r="BU34" i="9"/>
  <c r="BP34" i="9"/>
  <c r="BO34" i="9"/>
  <c r="BK34" i="9"/>
  <c r="BG34" i="9"/>
  <c r="BA34" i="9"/>
  <c r="BC34" i="9" s="1"/>
  <c r="AY34" i="9"/>
  <c r="AX34" i="9"/>
  <c r="AT34" i="9"/>
  <c r="AO34" i="9"/>
  <c r="AK34" i="9"/>
  <c r="AJ34" i="9"/>
  <c r="AF34" i="9"/>
  <c r="AB34" i="9"/>
  <c r="X34" i="9"/>
  <c r="T34" i="9"/>
  <c r="I34" i="9"/>
  <c r="CL34" i="9" s="1"/>
  <c r="CO34" i="9" s="1"/>
  <c r="AT33" i="9"/>
  <c r="CK33" i="9"/>
  <c r="CG33" i="9"/>
  <c r="CC33" i="9"/>
  <c r="BY33" i="9"/>
  <c r="BU33" i="9"/>
  <c r="BP33" i="9"/>
  <c r="BO33" i="9"/>
  <c r="BK33" i="9"/>
  <c r="BG33" i="9"/>
  <c r="BA33" i="9"/>
  <c r="BC33" i="9" s="1"/>
  <c r="AY33" i="9"/>
  <c r="AX33" i="9"/>
  <c r="AO33" i="9"/>
  <c r="AK33" i="9"/>
  <c r="AJ33" i="9"/>
  <c r="AF33" i="9"/>
  <c r="AB33" i="9"/>
  <c r="X33" i="9"/>
  <c r="T33" i="9"/>
  <c r="I33" i="9"/>
  <c r="CL33" i="9" s="1"/>
  <c r="CO33" i="9" s="1"/>
  <c r="CL43" i="9" l="1"/>
  <c r="CO43" i="9" s="1"/>
  <c r="J43" i="9"/>
  <c r="J44" i="9" s="1"/>
  <c r="CT51" i="9"/>
  <c r="CT50" i="9"/>
  <c r="CT49" i="9"/>
  <c r="CT48" i="9"/>
  <c r="CT47" i="9"/>
  <c r="CT46" i="9"/>
  <c r="CT42" i="9"/>
  <c r="CT40" i="9"/>
  <c r="J39" i="9"/>
  <c r="CT45" i="9"/>
  <c r="CL39" i="9"/>
  <c r="CO39" i="9" s="1"/>
  <c r="CP39" i="9" s="1"/>
  <c r="CS39" i="9" s="1"/>
  <c r="AP44" i="9"/>
  <c r="CQ44" i="9" s="1"/>
  <c r="BQ44" i="9"/>
  <c r="CR44" i="9" s="1"/>
  <c r="CL44" i="9"/>
  <c r="CO44" i="9" s="1"/>
  <c r="CP44" i="9" s="1"/>
  <c r="CS44" i="9" s="1"/>
  <c r="CP43" i="9"/>
  <c r="CS43" i="9" s="1"/>
  <c r="BQ43" i="9"/>
  <c r="CR43" i="9" s="1"/>
  <c r="BQ39" i="9"/>
  <c r="CR39" i="9" s="1"/>
  <c r="AP39" i="9"/>
  <c r="CQ39" i="9" s="1"/>
  <c r="N39" i="9" s="1"/>
  <c r="AP43" i="9"/>
  <c r="CQ43" i="9" s="1"/>
  <c r="M33" i="9"/>
  <c r="BQ37" i="9"/>
  <c r="CR37" i="9" s="1"/>
  <c r="AP37" i="9"/>
  <c r="CQ37" i="9" s="1"/>
  <c r="CP37" i="9"/>
  <c r="CS37" i="9" s="1"/>
  <c r="BQ36" i="9"/>
  <c r="CR36" i="9" s="1"/>
  <c r="AP36" i="9"/>
  <c r="CQ36" i="9" s="1"/>
  <c r="CP36" i="9"/>
  <c r="CS36" i="9" s="1"/>
  <c r="BQ35" i="9"/>
  <c r="CR35" i="9" s="1"/>
  <c r="AP35" i="9"/>
  <c r="CQ35" i="9" s="1"/>
  <c r="CP35" i="9"/>
  <c r="CS35" i="9" s="1"/>
  <c r="BQ34" i="9"/>
  <c r="CR34" i="9" s="1"/>
  <c r="AP34" i="9"/>
  <c r="CQ34" i="9" s="1"/>
  <c r="CP34" i="9"/>
  <c r="CS34" i="9" s="1"/>
  <c r="BQ33" i="9"/>
  <c r="CR33" i="9" s="1"/>
  <c r="AP33" i="9"/>
  <c r="CQ33" i="9" s="1"/>
  <c r="CP33" i="9"/>
  <c r="CS33" i="9" s="1"/>
  <c r="J33" i="9"/>
  <c r="J34" i="9" s="1"/>
  <c r="J35" i="9" s="1"/>
  <c r="J36" i="9" s="1"/>
  <c r="J37" i="9" s="1"/>
  <c r="DG7" i="9"/>
  <c r="CK32" i="9"/>
  <c r="CG32" i="9"/>
  <c r="CC32" i="9"/>
  <c r="BY32" i="9"/>
  <c r="BU32" i="9"/>
  <c r="BP32" i="9"/>
  <c r="BO32" i="9"/>
  <c r="BK32" i="9"/>
  <c r="BG32" i="9"/>
  <c r="BA32" i="9"/>
  <c r="BC32" i="9" s="1"/>
  <c r="AY32" i="9"/>
  <c r="AX32" i="9"/>
  <c r="AT32" i="9"/>
  <c r="AO32" i="9"/>
  <c r="AK32" i="9"/>
  <c r="AJ32" i="9"/>
  <c r="AF32" i="9"/>
  <c r="AB32" i="9"/>
  <c r="X32" i="9"/>
  <c r="T32" i="9"/>
  <c r="I32" i="9"/>
  <c r="CK31" i="9"/>
  <c r="CG31" i="9"/>
  <c r="CC31" i="9"/>
  <c r="BY31" i="9"/>
  <c r="BU31" i="9"/>
  <c r="BP31" i="9"/>
  <c r="BO31" i="9"/>
  <c r="BK31" i="9"/>
  <c r="BG31" i="9"/>
  <c r="BA31" i="9"/>
  <c r="BC31" i="9" s="1"/>
  <c r="AY31" i="9"/>
  <c r="AX31" i="9"/>
  <c r="AT31" i="9"/>
  <c r="AO31" i="9"/>
  <c r="AK31" i="9"/>
  <c r="AJ31" i="9"/>
  <c r="AF31" i="9"/>
  <c r="AB31" i="9"/>
  <c r="X31" i="9"/>
  <c r="T31" i="9"/>
  <c r="I31" i="9"/>
  <c r="CL31" i="9" s="1"/>
  <c r="CO31" i="9" s="1"/>
  <c r="CK30" i="9"/>
  <c r="CG30" i="9"/>
  <c r="CC30" i="9"/>
  <c r="BY30" i="9"/>
  <c r="BU30" i="9"/>
  <c r="BP30" i="9"/>
  <c r="BO30" i="9"/>
  <c r="BK30" i="9"/>
  <c r="BG30" i="9"/>
  <c r="BA30" i="9"/>
  <c r="BC30" i="9" s="1"/>
  <c r="AY30" i="9"/>
  <c r="AX30" i="9"/>
  <c r="AT30" i="9"/>
  <c r="AO30" i="9"/>
  <c r="AK30" i="9"/>
  <c r="AJ30" i="9"/>
  <c r="AF30" i="9"/>
  <c r="AB30" i="9"/>
  <c r="X30" i="9"/>
  <c r="T30" i="9"/>
  <c r="I30" i="9"/>
  <c r="CL30" i="9" s="1"/>
  <c r="CO30" i="9" s="1"/>
  <c r="CK29" i="9"/>
  <c r="CG29" i="9"/>
  <c r="CC29" i="9"/>
  <c r="BY29" i="9"/>
  <c r="BU29" i="9"/>
  <c r="BP29" i="9"/>
  <c r="BO29" i="9"/>
  <c r="BK29" i="9"/>
  <c r="BG29" i="9"/>
  <c r="BA29" i="9"/>
  <c r="BC29" i="9" s="1"/>
  <c r="AY29" i="9"/>
  <c r="AX29" i="9"/>
  <c r="AT29" i="9"/>
  <c r="AO29" i="9"/>
  <c r="AK29" i="9"/>
  <c r="AJ29" i="9"/>
  <c r="AF29" i="9"/>
  <c r="AB29" i="9"/>
  <c r="X29" i="9"/>
  <c r="T29" i="9"/>
  <c r="I29" i="9"/>
  <c r="CL29" i="9" s="1"/>
  <c r="CO29" i="9" s="1"/>
  <c r="I28" i="9"/>
  <c r="CK28" i="9"/>
  <c r="CG28" i="9"/>
  <c r="CC28" i="9"/>
  <c r="BY28" i="9"/>
  <c r="BU28" i="9"/>
  <c r="BP28" i="9"/>
  <c r="BO28" i="9"/>
  <c r="BK28" i="9"/>
  <c r="BG28" i="9"/>
  <c r="BA28" i="9"/>
  <c r="BC28" i="9" s="1"/>
  <c r="AY28" i="9"/>
  <c r="AX28" i="9"/>
  <c r="AT28" i="9"/>
  <c r="AO28" i="9"/>
  <c r="AK28" i="9"/>
  <c r="AJ28" i="9"/>
  <c r="AF28" i="9"/>
  <c r="AB28" i="9"/>
  <c r="X28" i="9"/>
  <c r="T28" i="9"/>
  <c r="N33" i="9" l="1"/>
  <c r="AP29" i="9"/>
  <c r="CT44" i="9"/>
  <c r="CT43" i="9"/>
  <c r="CT39" i="9"/>
  <c r="M30" i="9"/>
  <c r="CT37" i="9"/>
  <c r="CT36" i="9"/>
  <c r="CT35" i="9"/>
  <c r="CT34" i="9"/>
  <c r="CT33" i="9"/>
  <c r="BQ32" i="9"/>
  <c r="CR32" i="9" s="1"/>
  <c r="AP32" i="9"/>
  <c r="CQ32" i="9" s="1"/>
  <c r="CL32" i="9"/>
  <c r="CO32" i="9" s="1"/>
  <c r="CP32" i="9" s="1"/>
  <c r="CS32" i="9" s="1"/>
  <c r="BQ31" i="9"/>
  <c r="CR31" i="9" s="1"/>
  <c r="AP31" i="9"/>
  <c r="CQ31" i="9" s="1"/>
  <c r="CP31" i="9"/>
  <c r="CS31" i="9" s="1"/>
  <c r="AP30" i="9"/>
  <c r="CQ30" i="9" s="1"/>
  <c r="J30" i="9"/>
  <c r="J31" i="9" s="1"/>
  <c r="J32" i="9" s="1"/>
  <c r="BQ30" i="9"/>
  <c r="CR30" i="9" s="1"/>
  <c r="CP30" i="9"/>
  <c r="CS30" i="9" s="1"/>
  <c r="BQ29" i="9"/>
  <c r="CR29" i="9" s="1"/>
  <c r="CQ29" i="9"/>
  <c r="CP29" i="9"/>
  <c r="CS29" i="9" s="1"/>
  <c r="AP28" i="9"/>
  <c r="CQ28" i="9" s="1"/>
  <c r="CL28" i="9"/>
  <c r="CO28" i="9" s="1"/>
  <c r="CP28" i="9" s="1"/>
  <c r="CS28" i="9" s="1"/>
  <c r="BQ28" i="9"/>
  <c r="CR28" i="9" s="1"/>
  <c r="CK27" i="9"/>
  <c r="CG27" i="9"/>
  <c r="CC27" i="9"/>
  <c r="BY27" i="9"/>
  <c r="BU27" i="9"/>
  <c r="BP27" i="9"/>
  <c r="BO27" i="9"/>
  <c r="BK27" i="9"/>
  <c r="BG27" i="9"/>
  <c r="BA27" i="9"/>
  <c r="BC27" i="9" s="1"/>
  <c r="AY27" i="9"/>
  <c r="AX27" i="9"/>
  <c r="AT27" i="9"/>
  <c r="AO27" i="9"/>
  <c r="AK27" i="9"/>
  <c r="AJ27" i="9"/>
  <c r="AF27" i="9"/>
  <c r="AB27" i="9"/>
  <c r="X27" i="9"/>
  <c r="T27" i="9"/>
  <c r="I27" i="9"/>
  <c r="CL27" i="9" s="1"/>
  <c r="CO27" i="9" s="1"/>
  <c r="CK26" i="9"/>
  <c r="CG26" i="9"/>
  <c r="CC26" i="9"/>
  <c r="BY26" i="9"/>
  <c r="BU26" i="9"/>
  <c r="BP26" i="9"/>
  <c r="BO26" i="9"/>
  <c r="BK26" i="9"/>
  <c r="BG26" i="9"/>
  <c r="BC26" i="9"/>
  <c r="BA26" i="9"/>
  <c r="AY26" i="9"/>
  <c r="AX26" i="9"/>
  <c r="AT26" i="9"/>
  <c r="AO26" i="9"/>
  <c r="AK26" i="9"/>
  <c r="AJ26" i="9"/>
  <c r="AF26" i="9"/>
  <c r="AB26" i="9"/>
  <c r="X26" i="9"/>
  <c r="T26" i="9"/>
  <c r="I26" i="9"/>
  <c r="CK25" i="9"/>
  <c r="CG25" i="9"/>
  <c r="CC25" i="9"/>
  <c r="BY25" i="9"/>
  <c r="BU25" i="9"/>
  <c r="BP25" i="9"/>
  <c r="BO25" i="9"/>
  <c r="BK25" i="9"/>
  <c r="BG25" i="9"/>
  <c r="BA25" i="9"/>
  <c r="BC25" i="9" s="1"/>
  <c r="AY25" i="9"/>
  <c r="AX25" i="9"/>
  <c r="AT25" i="9"/>
  <c r="AO25" i="9"/>
  <c r="AK25" i="9"/>
  <c r="AJ25" i="9"/>
  <c r="AF25" i="9"/>
  <c r="AB25" i="9"/>
  <c r="X25" i="9"/>
  <c r="T25" i="9"/>
  <c r="I25" i="9"/>
  <c r="CL25" i="9" s="1"/>
  <c r="CO25" i="9" s="1"/>
  <c r="CK24" i="9"/>
  <c r="CG24" i="9"/>
  <c r="CC24" i="9"/>
  <c r="BY24" i="9"/>
  <c r="BU24" i="9"/>
  <c r="BP24" i="9"/>
  <c r="BO24" i="9"/>
  <c r="BK24" i="9"/>
  <c r="BG24" i="9"/>
  <c r="BA24" i="9"/>
  <c r="BC24" i="9" s="1"/>
  <c r="AY24" i="9"/>
  <c r="AX24" i="9"/>
  <c r="AT24" i="9"/>
  <c r="AO24" i="9"/>
  <c r="AK24" i="9"/>
  <c r="AJ24" i="9"/>
  <c r="AF24" i="9"/>
  <c r="AB24" i="9"/>
  <c r="X24" i="9"/>
  <c r="T24" i="9"/>
  <c r="I24" i="9"/>
  <c r="CL24" i="9" s="1"/>
  <c r="CO24" i="9" s="1"/>
  <c r="DG6" i="9"/>
  <c r="CX8" i="9"/>
  <c r="CZ8" i="9" s="1"/>
  <c r="DB8" i="9" s="1"/>
  <c r="DD8" i="9" s="1"/>
  <c r="CZ7" i="9"/>
  <c r="DB7" i="9" s="1"/>
  <c r="DD7" i="9" s="1"/>
  <c r="CZ6" i="9"/>
  <c r="DB6" i="9" s="1"/>
  <c r="DD6" i="9" s="1"/>
  <c r="CK23" i="9"/>
  <c r="CG23" i="9"/>
  <c r="CC23" i="9"/>
  <c r="BY23" i="9"/>
  <c r="BU23" i="9"/>
  <c r="BP23" i="9"/>
  <c r="BO23" i="9"/>
  <c r="BK23" i="9"/>
  <c r="BG23" i="9"/>
  <c r="BA23" i="9"/>
  <c r="BC23" i="9" s="1"/>
  <c r="AY23" i="9"/>
  <c r="AX23" i="9"/>
  <c r="AT23" i="9"/>
  <c r="AO23" i="9"/>
  <c r="AK23" i="9"/>
  <c r="AJ23" i="9"/>
  <c r="AF23" i="9"/>
  <c r="AB23" i="9"/>
  <c r="X23" i="9"/>
  <c r="T23" i="9"/>
  <c r="I23" i="9"/>
  <c r="CL23" i="9" s="1"/>
  <c r="CO23" i="9" s="1"/>
  <c r="CK22" i="9"/>
  <c r="CG22" i="9"/>
  <c r="CC22" i="9"/>
  <c r="BY22" i="9"/>
  <c r="BU22" i="9"/>
  <c r="BP22" i="9"/>
  <c r="BO22" i="9"/>
  <c r="BK22" i="9"/>
  <c r="BG22" i="9"/>
  <c r="BA22" i="9"/>
  <c r="BC22" i="9" s="1"/>
  <c r="AY22" i="9"/>
  <c r="AX22" i="9"/>
  <c r="AT22" i="9"/>
  <c r="AO22" i="9"/>
  <c r="AK22" i="9"/>
  <c r="AJ22" i="9"/>
  <c r="AF22" i="9"/>
  <c r="AB22" i="9"/>
  <c r="X22" i="9"/>
  <c r="T22" i="9"/>
  <c r="I22" i="9"/>
  <c r="CL22" i="9" s="1"/>
  <c r="CO22" i="9" s="1"/>
  <c r="CK21" i="9"/>
  <c r="CG21" i="9"/>
  <c r="CC21" i="9"/>
  <c r="BY21" i="9"/>
  <c r="BU21" i="9"/>
  <c r="BP21" i="9"/>
  <c r="BO21" i="9"/>
  <c r="BK21" i="9"/>
  <c r="BG21" i="9"/>
  <c r="BA21" i="9"/>
  <c r="BC21" i="9" s="1"/>
  <c r="AY21" i="9"/>
  <c r="AX21" i="9"/>
  <c r="AT21" i="9"/>
  <c r="AO21" i="9"/>
  <c r="AK21" i="9"/>
  <c r="AJ21" i="9"/>
  <c r="AF21" i="9"/>
  <c r="AB21" i="9"/>
  <c r="X21" i="9"/>
  <c r="T21" i="9"/>
  <c r="I21" i="9"/>
  <c r="CL21" i="9" s="1"/>
  <c r="CO21" i="9" s="1"/>
  <c r="CK20" i="9"/>
  <c r="CG20" i="9"/>
  <c r="CC20" i="9"/>
  <c r="BY20" i="9"/>
  <c r="BU20" i="9"/>
  <c r="BP20" i="9"/>
  <c r="BO20" i="9"/>
  <c r="BK20" i="9"/>
  <c r="BG20" i="9"/>
  <c r="BA20" i="9"/>
  <c r="BC20" i="9" s="1"/>
  <c r="AY20" i="9"/>
  <c r="AX20" i="9"/>
  <c r="AT20" i="9"/>
  <c r="AO20" i="9"/>
  <c r="AK20" i="9"/>
  <c r="AJ20" i="9"/>
  <c r="AF20" i="9"/>
  <c r="AB20" i="9"/>
  <c r="X20" i="9"/>
  <c r="T20" i="9"/>
  <c r="I20" i="9"/>
  <c r="CL20" i="9" s="1"/>
  <c r="CO20" i="9" s="1"/>
  <c r="CK19" i="9"/>
  <c r="CG19" i="9"/>
  <c r="CC19" i="9"/>
  <c r="BY19" i="9"/>
  <c r="BU19" i="9"/>
  <c r="BP19" i="9"/>
  <c r="BO19" i="9"/>
  <c r="BK19" i="9"/>
  <c r="BG19" i="9"/>
  <c r="BA19" i="9"/>
  <c r="BC19" i="9" s="1"/>
  <c r="AY19" i="9"/>
  <c r="AX19" i="9"/>
  <c r="AT19" i="9"/>
  <c r="AO19" i="9"/>
  <c r="AK19" i="9"/>
  <c r="AJ19" i="9"/>
  <c r="AF19" i="9"/>
  <c r="AB19" i="9"/>
  <c r="X19" i="9"/>
  <c r="T19" i="9"/>
  <c r="I19" i="9"/>
  <c r="CL19" i="9" s="1"/>
  <c r="CO19" i="9" s="1"/>
  <c r="CK18" i="9"/>
  <c r="CG18" i="9"/>
  <c r="CC18" i="9"/>
  <c r="BY18" i="9"/>
  <c r="BU18" i="9"/>
  <c r="BP18" i="9"/>
  <c r="BO18" i="9"/>
  <c r="BK18" i="9"/>
  <c r="BG18" i="9"/>
  <c r="BA18" i="9"/>
  <c r="BC18" i="9" s="1"/>
  <c r="AY18" i="9"/>
  <c r="AX18" i="9"/>
  <c r="AT18" i="9"/>
  <c r="AO18" i="9"/>
  <c r="AK18" i="9"/>
  <c r="AJ18" i="9"/>
  <c r="AF18" i="9"/>
  <c r="AB18" i="9"/>
  <c r="X18" i="9"/>
  <c r="T18" i="9"/>
  <c r="I18" i="9"/>
  <c r="CL18" i="9" s="1"/>
  <c r="CO18" i="9" s="1"/>
  <c r="CK17" i="9"/>
  <c r="CG17" i="9"/>
  <c r="CC17" i="9"/>
  <c r="BY17" i="9"/>
  <c r="BU17" i="9"/>
  <c r="BP17" i="9"/>
  <c r="BO17" i="9"/>
  <c r="BK17" i="9"/>
  <c r="BG17" i="9"/>
  <c r="BA17" i="9"/>
  <c r="BC17" i="9" s="1"/>
  <c r="AY17" i="9"/>
  <c r="AX17" i="9"/>
  <c r="AT17" i="9"/>
  <c r="AO17" i="9"/>
  <c r="AK17" i="9"/>
  <c r="AJ17" i="9"/>
  <c r="AF17" i="9"/>
  <c r="AB17" i="9"/>
  <c r="X17" i="9"/>
  <c r="T17" i="9"/>
  <c r="I17" i="9"/>
  <c r="CL17" i="9" s="1"/>
  <c r="CO17" i="9" s="1"/>
  <c r="CK16" i="9"/>
  <c r="CG16" i="9"/>
  <c r="CC16" i="9"/>
  <c r="BY16" i="9"/>
  <c r="BU16" i="9"/>
  <c r="BP16" i="9"/>
  <c r="BO16" i="9"/>
  <c r="BK16" i="9"/>
  <c r="BG16" i="9"/>
  <c r="BA16" i="9"/>
  <c r="BC16" i="9" s="1"/>
  <c r="AY16" i="9"/>
  <c r="AX16" i="9"/>
  <c r="AT16" i="9"/>
  <c r="AO16" i="9"/>
  <c r="AK16" i="9"/>
  <c r="AJ16" i="9"/>
  <c r="AF16" i="9"/>
  <c r="AB16" i="9"/>
  <c r="X16" i="9"/>
  <c r="T16" i="9"/>
  <c r="I16" i="9"/>
  <c r="CL16" i="9" s="1"/>
  <c r="CO16" i="9" s="1"/>
  <c r="CK15" i="9"/>
  <c r="CG15" i="9"/>
  <c r="CC15" i="9"/>
  <c r="BY15" i="9"/>
  <c r="BU15" i="9"/>
  <c r="BP15" i="9"/>
  <c r="BO15" i="9"/>
  <c r="BK15" i="9"/>
  <c r="BG15" i="9"/>
  <c r="BA15" i="9"/>
  <c r="BC15" i="9" s="1"/>
  <c r="AY15" i="9"/>
  <c r="AX15" i="9"/>
  <c r="AT15" i="9"/>
  <c r="AO15" i="9"/>
  <c r="AK15" i="9"/>
  <c r="AJ15" i="9"/>
  <c r="AF15" i="9"/>
  <c r="AB15" i="9"/>
  <c r="X15" i="9"/>
  <c r="T15" i="9"/>
  <c r="I15" i="9"/>
  <c r="CK14" i="9"/>
  <c r="CG14" i="9"/>
  <c r="CC14" i="9"/>
  <c r="BY14" i="9"/>
  <c r="BU14" i="9"/>
  <c r="BP14" i="9"/>
  <c r="BO14" i="9"/>
  <c r="BK14" i="9"/>
  <c r="BG14" i="9"/>
  <c r="BA14" i="9"/>
  <c r="BC14" i="9" s="1"/>
  <c r="AY14" i="9"/>
  <c r="AX14" i="9"/>
  <c r="AT14" i="9"/>
  <c r="AO14" i="9"/>
  <c r="AK14" i="9"/>
  <c r="AJ14" i="9"/>
  <c r="AF14" i="9"/>
  <c r="AB14" i="9"/>
  <c r="X14" i="9"/>
  <c r="T14" i="9"/>
  <c r="I14" i="9"/>
  <c r="CL14" i="9" s="1"/>
  <c r="CO14" i="9" s="1"/>
  <c r="CK13" i="9"/>
  <c r="CG13" i="9"/>
  <c r="CC13" i="9"/>
  <c r="BY13" i="9"/>
  <c r="BU13" i="9"/>
  <c r="BP13" i="9"/>
  <c r="BO13" i="9"/>
  <c r="BK13" i="9"/>
  <c r="BG13" i="9"/>
  <c r="BA13" i="9"/>
  <c r="BC13" i="9" s="1"/>
  <c r="AY13" i="9"/>
  <c r="AX13" i="9"/>
  <c r="AT13" i="9"/>
  <c r="AO13" i="9"/>
  <c r="AK13" i="9"/>
  <c r="AJ13" i="9"/>
  <c r="AF13" i="9"/>
  <c r="AB13" i="9"/>
  <c r="X13" i="9"/>
  <c r="T13" i="9"/>
  <c r="I13" i="9"/>
  <c r="CL13" i="9" s="1"/>
  <c r="CO13" i="9" s="1"/>
  <c r="BK10" i="9"/>
  <c r="BA10" i="9"/>
  <c r="BC10" i="9" s="1"/>
  <c r="AX10" i="9"/>
  <c r="AT10" i="9"/>
  <c r="X10" i="9"/>
  <c r="T10" i="9"/>
  <c r="CK10" i="9"/>
  <c r="CG10" i="9"/>
  <c r="CC10" i="9"/>
  <c r="BY10" i="9"/>
  <c r="BU10" i="9"/>
  <c r="BP10" i="9"/>
  <c r="BO10" i="9"/>
  <c r="BG10" i="9"/>
  <c r="AO10" i="9"/>
  <c r="AF10" i="9"/>
  <c r="I10" i="9"/>
  <c r="CK12" i="9"/>
  <c r="CG12" i="9"/>
  <c r="CC12" i="9"/>
  <c r="BY12" i="9"/>
  <c r="BU12" i="9"/>
  <c r="BP12" i="9"/>
  <c r="BO12" i="9"/>
  <c r="BK12" i="9"/>
  <c r="BG12" i="9"/>
  <c r="BA12" i="9"/>
  <c r="BC12" i="9" s="1"/>
  <c r="AY12" i="9"/>
  <c r="AX12" i="9"/>
  <c r="AT12" i="9"/>
  <c r="AO12" i="9"/>
  <c r="AK12" i="9"/>
  <c r="AJ12" i="9"/>
  <c r="AF12" i="9"/>
  <c r="AB12" i="9"/>
  <c r="X12" i="9"/>
  <c r="T12" i="9"/>
  <c r="BA9" i="9"/>
  <c r="AT9" i="9"/>
  <c r="AO9" i="9"/>
  <c r="I12" i="9"/>
  <c r="J12" i="9" s="1"/>
  <c r="N30" i="9" l="1"/>
  <c r="J13" i="9"/>
  <c r="J14" i="9" s="1"/>
  <c r="J15" i="9" s="1"/>
  <c r="J16" i="9" s="1"/>
  <c r="J17" i="9" s="1"/>
  <c r="J18" i="9" s="1"/>
  <c r="J19" i="9" s="1"/>
  <c r="BQ13" i="9"/>
  <c r="M20" i="9"/>
  <c r="BQ12" i="9"/>
  <c r="BQ15" i="9"/>
  <c r="CR15" i="9" s="1"/>
  <c r="CL26" i="9"/>
  <c r="CO26" i="9" s="1"/>
  <c r="CP26" i="9" s="1"/>
  <c r="CS26" i="9" s="1"/>
  <c r="M26" i="9"/>
  <c r="BQ14" i="9"/>
  <c r="CR14" i="9" s="1"/>
  <c r="J20" i="9"/>
  <c r="J21" i="9" s="1"/>
  <c r="J22" i="9" s="1"/>
  <c r="J23" i="9" s="1"/>
  <c r="J24" i="9" s="1"/>
  <c r="J25" i="9" s="1"/>
  <c r="M12" i="9"/>
  <c r="CT32" i="9"/>
  <c r="CT31" i="9"/>
  <c r="CT30" i="9"/>
  <c r="CT29" i="9"/>
  <c r="CT28" i="9"/>
  <c r="BQ26" i="9"/>
  <c r="CR26" i="9" s="1"/>
  <c r="BQ27" i="9"/>
  <c r="CR27" i="9" s="1"/>
  <c r="AP26" i="9"/>
  <c r="CQ26" i="9" s="1"/>
  <c r="AP27" i="9"/>
  <c r="CQ27" i="9" s="1"/>
  <c r="CP27" i="9"/>
  <c r="CS27" i="9" s="1"/>
  <c r="J26" i="9"/>
  <c r="J27" i="9" s="1"/>
  <c r="J28" i="9" s="1"/>
  <c r="J29" i="9" s="1"/>
  <c r="BQ25" i="9"/>
  <c r="CR25" i="9" s="1"/>
  <c r="AP25" i="9"/>
  <c r="CQ25" i="9" s="1"/>
  <c r="CP25" i="9"/>
  <c r="CS25" i="9" s="1"/>
  <c r="BQ24" i="9"/>
  <c r="CR24" i="9" s="1"/>
  <c r="AP24" i="9"/>
  <c r="CQ24" i="9" s="1"/>
  <c r="CP24" i="9"/>
  <c r="CS24" i="9" s="1"/>
  <c r="BQ10" i="9"/>
  <c r="AP10" i="9"/>
  <c r="CQ10" i="9" s="1"/>
  <c r="BQ20" i="9"/>
  <c r="CR20" i="9" s="1"/>
  <c r="CP21" i="9"/>
  <c r="CS21" i="9" s="1"/>
  <c r="BQ19" i="9"/>
  <c r="CR19" i="9" s="1"/>
  <c r="BQ23" i="9"/>
  <c r="CR23" i="9" s="1"/>
  <c r="BQ18" i="9"/>
  <c r="CR18" i="9" s="1"/>
  <c r="AP19" i="9"/>
  <c r="CQ19" i="9" s="1"/>
  <c r="AP22" i="9"/>
  <c r="CQ22" i="9" s="1"/>
  <c r="AP20" i="9"/>
  <c r="CQ20" i="9" s="1"/>
  <c r="AP18" i="9"/>
  <c r="CQ18" i="9" s="1"/>
  <c r="AP21" i="9"/>
  <c r="CQ21" i="9" s="1"/>
  <c r="AP23" i="9"/>
  <c r="CQ23" i="9" s="1"/>
  <c r="CP22" i="9"/>
  <c r="CS22" i="9" s="1"/>
  <c r="BQ21" i="9"/>
  <c r="CR21" i="9" s="1"/>
  <c r="CP23" i="9"/>
  <c r="CS23" i="9" s="1"/>
  <c r="BQ22" i="9"/>
  <c r="CR22" i="9" s="1"/>
  <c r="CP20" i="9"/>
  <c r="CS20" i="9" s="1"/>
  <c r="CP19" i="9"/>
  <c r="CS19" i="9" s="1"/>
  <c r="CP18" i="9"/>
  <c r="CS18" i="9" s="1"/>
  <c r="BQ17" i="9"/>
  <c r="CR17" i="9" s="1"/>
  <c r="AP17" i="9"/>
  <c r="CQ17" i="9" s="1"/>
  <c r="CP17" i="9"/>
  <c r="CS17" i="9" s="1"/>
  <c r="BQ16" i="9"/>
  <c r="CR16" i="9" s="1"/>
  <c r="AP16" i="9"/>
  <c r="CQ16" i="9" s="1"/>
  <c r="CP16" i="9"/>
  <c r="CS16" i="9" s="1"/>
  <c r="CR13" i="9"/>
  <c r="AP15" i="9"/>
  <c r="CQ15" i="9" s="1"/>
  <c r="AP13" i="9"/>
  <c r="CQ13" i="9" s="1"/>
  <c r="AP14" i="9"/>
  <c r="CQ14" i="9" s="1"/>
  <c r="CL15" i="9"/>
  <c r="CO15" i="9" s="1"/>
  <c r="CP15" i="9" s="1"/>
  <c r="CS15" i="9" s="1"/>
  <c r="CP14" i="9"/>
  <c r="CS14" i="9" s="1"/>
  <c r="CP13" i="9"/>
  <c r="CS13" i="9" s="1"/>
  <c r="AP12" i="9"/>
  <c r="CQ12" i="9" s="1"/>
  <c r="CR12" i="9"/>
  <c r="CL12" i="9"/>
  <c r="CO12" i="9" s="1"/>
  <c r="CP12" i="9" s="1"/>
  <c r="CS12" i="9" s="1"/>
  <c r="CR10" i="9"/>
  <c r="CL10" i="9"/>
  <c r="CO10" i="9" s="1"/>
  <c r="CP10" i="9" s="1"/>
  <c r="CS10" i="9" s="1"/>
  <c r="N26" i="9" l="1"/>
  <c r="N12" i="9"/>
  <c r="N20" i="9"/>
  <c r="CX23" i="9"/>
  <c r="CZ23" i="9" s="1"/>
  <c r="CY23" i="9"/>
  <c r="DA23" i="9" s="1"/>
  <c r="CT26" i="9"/>
  <c r="CT27" i="9"/>
  <c r="CT25" i="9"/>
  <c r="CT24" i="9"/>
  <c r="CT22" i="9"/>
  <c r="CT20" i="9"/>
  <c r="CT19" i="9"/>
  <c r="CT18" i="9"/>
  <c r="CT23" i="9"/>
  <c r="CT21" i="9"/>
  <c r="CT17" i="9"/>
  <c r="CT16" i="9"/>
  <c r="CT15" i="9"/>
  <c r="CT13" i="9"/>
  <c r="CT14" i="9"/>
  <c r="CT12" i="9"/>
  <c r="CT10" i="9"/>
  <c r="BK9" i="9" l="1"/>
  <c r="BC9" i="9"/>
  <c r="AF9" i="9"/>
  <c r="AB9" i="9"/>
  <c r="X9" i="9"/>
  <c r="T9" i="9"/>
  <c r="BO9" i="9" l="1"/>
  <c r="AJ9" i="9"/>
  <c r="AX9" i="9"/>
  <c r="BG9" i="9"/>
  <c r="CK9" i="9"/>
  <c r="CG9" i="9"/>
  <c r="CC9" i="9"/>
  <c r="BY9" i="9"/>
  <c r="BU9" i="9"/>
  <c r="BP9" i="9" l="1"/>
  <c r="AK9" i="9"/>
  <c r="AY9" i="9"/>
  <c r="BQ9" i="9" s="1"/>
  <c r="I9" i="9"/>
  <c r="J9" i="9" l="1"/>
  <c r="J10" i="9" s="1"/>
  <c r="CL9" i="9"/>
  <c r="CO9" i="9" s="1"/>
  <c r="CP9" i="9" s="1"/>
  <c r="AP9" i="9"/>
  <c r="CS9" i="9" l="1"/>
  <c r="CR9" i="9"/>
  <c r="CQ9" i="9"/>
  <c r="CT9" i="9" l="1"/>
</calcChain>
</file>

<file path=xl/sharedStrings.xml><?xml version="1.0" encoding="utf-8"?>
<sst xmlns="http://schemas.openxmlformats.org/spreadsheetml/2006/main" count="349" uniqueCount="182">
  <si>
    <t>작업조</t>
    <phoneticPr fontId="1" type="noConversion"/>
  </si>
  <si>
    <t>구  분</t>
    <phoneticPr fontId="1" type="noConversion"/>
  </si>
  <si>
    <t>시점</t>
    <phoneticPr fontId="1" type="noConversion"/>
  </si>
  <si>
    <t>종점</t>
    <phoneticPr fontId="1" type="noConversion"/>
  </si>
  <si>
    <t>일 작업량</t>
    <phoneticPr fontId="1" type="noConversion"/>
  </si>
  <si>
    <t>소요기간</t>
    <phoneticPr fontId="1" type="noConversion"/>
  </si>
  <si>
    <t>수량</t>
    <phoneticPr fontId="1" type="noConversion"/>
  </si>
  <si>
    <t>양생</t>
    <phoneticPr fontId="1" type="noConversion"/>
  </si>
  <si>
    <t>시스템 공동구</t>
    <phoneticPr fontId="1" type="noConversion"/>
  </si>
  <si>
    <t>기초콘크리트(HSB)</t>
    <phoneticPr fontId="1" type="noConversion"/>
  </si>
  <si>
    <t>보조기층</t>
    <phoneticPr fontId="1" type="noConversion"/>
  </si>
  <si>
    <t>기층</t>
    <phoneticPr fontId="1" type="noConversion"/>
  </si>
  <si>
    <t>동상방지층</t>
    <phoneticPr fontId="1" type="noConversion"/>
  </si>
  <si>
    <t>프라임코팅/택코팅</t>
    <phoneticPr fontId="1" type="noConversion"/>
  </si>
  <si>
    <t>중간층/표층</t>
    <phoneticPr fontId="1" type="noConversion"/>
  </si>
  <si>
    <t>STA.</t>
    <phoneticPr fontId="1" type="noConversion"/>
  </si>
  <si>
    <t>구간</t>
    <phoneticPr fontId="1" type="noConversion"/>
  </si>
  <si>
    <t>콘크리트 종류</t>
    <phoneticPr fontId="1" type="noConversion"/>
  </si>
  <si>
    <t>보통</t>
    <phoneticPr fontId="1" type="noConversion"/>
  </si>
  <si>
    <t>양생(G)</t>
    <phoneticPr fontId="1" type="noConversion"/>
  </si>
  <si>
    <t>철근조립</t>
    <phoneticPr fontId="1" type="noConversion"/>
  </si>
  <si>
    <r>
      <t>거푸집</t>
    </r>
    <r>
      <rPr>
        <sz val="11"/>
        <color rgb="FFFF0000"/>
        <rFont val="맑은 고딕"/>
        <family val="3"/>
        <charset val="129"/>
        <scheme val="minor"/>
      </rPr>
      <t>(병행작업 선행 2일 반영)</t>
    </r>
    <phoneticPr fontId="1" type="noConversion"/>
  </si>
  <si>
    <r>
      <t>타설</t>
    </r>
    <r>
      <rPr>
        <sz val="11"/>
        <color rgb="FFFF0000"/>
        <rFont val="맑은 고딕"/>
        <family val="3"/>
        <charset val="129"/>
        <scheme val="minor"/>
      </rPr>
      <t>(격간시공)</t>
    </r>
    <phoneticPr fontId="1" type="noConversion"/>
  </si>
  <si>
    <t>콘크리트 도상(TCL)</t>
    <phoneticPr fontId="1" type="noConversion"/>
  </si>
  <si>
    <t>포장</t>
    <phoneticPr fontId="1" type="noConversion"/>
  </si>
  <si>
    <t>순서</t>
    <phoneticPr fontId="1" type="noConversion"/>
  </si>
  <si>
    <t>위탁지장물</t>
    <phoneticPr fontId="1" type="noConversion"/>
  </si>
  <si>
    <t>노반 공사</t>
    <phoneticPr fontId="1" type="noConversion"/>
  </si>
  <si>
    <t>아스팔트 깨기</t>
    <phoneticPr fontId="1" type="noConversion"/>
  </si>
  <si>
    <t>터파기</t>
    <phoneticPr fontId="1" type="noConversion"/>
  </si>
  <si>
    <t>거푸집</t>
    <phoneticPr fontId="1" type="noConversion"/>
  </si>
  <si>
    <r>
      <t>되메우기</t>
    </r>
    <r>
      <rPr>
        <sz val="11"/>
        <color rgb="FFFF0000"/>
        <rFont val="맑은 고딕"/>
        <family val="3"/>
        <charset val="129"/>
        <scheme val="minor"/>
      </rPr>
      <t>(관로부설 1일 추가)</t>
    </r>
    <phoneticPr fontId="1" type="noConversion"/>
  </si>
  <si>
    <t>궤도공사</t>
    <phoneticPr fontId="1" type="noConversion"/>
  </si>
  <si>
    <t>노반
합계</t>
    <phoneticPr fontId="1" type="noConversion"/>
  </si>
  <si>
    <t>거푸집</t>
    <phoneticPr fontId="1" type="noConversion"/>
  </si>
  <si>
    <t>강화노반</t>
    <phoneticPr fontId="1" type="noConversion"/>
  </si>
  <si>
    <r>
      <t>타설</t>
    </r>
    <r>
      <rPr>
        <sz val="11"/>
        <color rgb="FFFF0000"/>
        <rFont val="맑은 고딕"/>
        <family val="3"/>
        <charset val="129"/>
        <scheme val="minor"/>
      </rPr>
      <t>(격간시공)</t>
    </r>
    <phoneticPr fontId="1" type="noConversion"/>
  </si>
  <si>
    <t>양생</t>
    <phoneticPr fontId="1" type="noConversion"/>
  </si>
  <si>
    <t>교통처리</t>
    <phoneticPr fontId="1" type="noConversion"/>
  </si>
  <si>
    <t>포장기타(가설물 해체 등 포함)</t>
    <phoneticPr fontId="1" type="noConversion"/>
  </si>
  <si>
    <t>궤도
합계</t>
    <phoneticPr fontId="1" type="noConversion"/>
  </si>
  <si>
    <t>포장
합계</t>
    <phoneticPr fontId="1" type="noConversion"/>
  </si>
  <si>
    <t>노반</t>
    <phoneticPr fontId="1" type="noConversion"/>
  </si>
  <si>
    <t>궤도</t>
    <phoneticPr fontId="1" type="noConversion"/>
  </si>
  <si>
    <t>포장</t>
    <phoneticPr fontId="1" type="noConversion"/>
  </si>
  <si>
    <t>전체</t>
    <phoneticPr fontId="1" type="noConversion"/>
  </si>
  <si>
    <t>No</t>
    <phoneticPr fontId="1" type="noConversion"/>
  </si>
  <si>
    <t>연장
(구간)</t>
    <phoneticPr fontId="1" type="noConversion"/>
  </si>
  <si>
    <t>연장
(누계)</t>
    <phoneticPr fontId="1" type="noConversion"/>
  </si>
  <si>
    <t>파스콘 트로프 수량</t>
    <phoneticPr fontId="1" type="noConversion"/>
  </si>
  <si>
    <t>구간
특성</t>
    <phoneticPr fontId="1" type="noConversion"/>
  </si>
  <si>
    <t>시공
구간
분할</t>
    <phoneticPr fontId="1" type="noConversion"/>
  </si>
  <si>
    <t>시공
구간
연장</t>
    <phoneticPr fontId="1" type="noConversion"/>
  </si>
  <si>
    <t>(본)2-1-Su-S01정거장</t>
  </si>
  <si>
    <t>S01 정거장</t>
    <phoneticPr fontId="1" type="noConversion"/>
  </si>
  <si>
    <t>레일 설치(20m레일 일 10개소 접합)</t>
    <phoneticPr fontId="1" type="noConversion"/>
  </si>
  <si>
    <t>기존구조물 샘플</t>
    <phoneticPr fontId="1" type="noConversion"/>
  </si>
  <si>
    <t>일반구간 샘플</t>
    <phoneticPr fontId="1" type="noConversion"/>
  </si>
  <si>
    <t>구조물명</t>
    <phoneticPr fontId="1" type="noConversion"/>
  </si>
  <si>
    <t>(본)2-2-Su</t>
  </si>
  <si>
    <t>(본)2-3-Su</t>
  </si>
  <si>
    <t>(본)2-4-Su</t>
  </si>
  <si>
    <t>(본)2-5-Su-S02상선정거장</t>
    <phoneticPr fontId="1" type="noConversion"/>
  </si>
  <si>
    <t>S02 상선정거장</t>
    <phoneticPr fontId="1" type="noConversion"/>
  </si>
  <si>
    <t>(본)2-6-Su-S02하선정거장</t>
  </si>
  <si>
    <t>S02 하선정거장</t>
    <phoneticPr fontId="1" type="noConversion"/>
  </si>
  <si>
    <t>(본)2-7-Su</t>
  </si>
  <si>
    <t>(본)2-8-Su</t>
  </si>
  <si>
    <t>(본)2-9-Su</t>
  </si>
  <si>
    <t>(본)2-10-Hw</t>
  </si>
  <si>
    <t>(본)2-11-Hw</t>
  </si>
  <si>
    <t>(본)2-12-Hw</t>
  </si>
  <si>
    <t>개략검토</t>
    <phoneticPr fontId="1" type="noConversion"/>
  </si>
  <si>
    <t>트램부지 미확보 구간</t>
    <phoneticPr fontId="1" type="noConversion"/>
  </si>
  <si>
    <t>트램부지 확보 구간</t>
    <phoneticPr fontId="1" type="noConversion"/>
  </si>
  <si>
    <t>조당연장</t>
    <phoneticPr fontId="1" type="noConversion"/>
  </si>
  <si>
    <t>작업구간</t>
    <phoneticPr fontId="1" type="noConversion"/>
  </si>
  <si>
    <t>작업조</t>
    <phoneticPr fontId="1" type="noConversion"/>
  </si>
  <si>
    <t>전체연장</t>
    <phoneticPr fontId="1" type="noConversion"/>
  </si>
  <si>
    <t>구분</t>
    <phoneticPr fontId="1" type="noConversion"/>
  </si>
  <si>
    <t>소요공기
개략검토</t>
    <phoneticPr fontId="1" type="noConversion"/>
  </si>
  <si>
    <t>실 공사가능기간</t>
    <phoneticPr fontId="1" type="noConversion"/>
  </si>
  <si>
    <t>본선구간 전체</t>
    <phoneticPr fontId="1" type="noConversion"/>
  </si>
  <si>
    <t>조당구간</t>
    <phoneticPr fontId="1" type="noConversion"/>
  </si>
  <si>
    <t>구간당</t>
    <phoneticPr fontId="1" type="noConversion"/>
  </si>
  <si>
    <t>총공기</t>
    <phoneticPr fontId="1" type="noConversion"/>
  </si>
  <si>
    <t>(본)2-13-Hw-101정거장</t>
  </si>
  <si>
    <t>101정거장</t>
    <phoneticPr fontId="1" type="noConversion"/>
  </si>
  <si>
    <t>(본)2-14-Hw</t>
  </si>
  <si>
    <t>(본)2-15-하1-Hw</t>
  </si>
  <si>
    <t>(본)2-15-하2-Hw</t>
  </si>
  <si>
    <t>단선(상선 동시시공 고려)</t>
    <phoneticPr fontId="1" type="noConversion"/>
  </si>
  <si>
    <t>(본)2-16-Hw-102정거장</t>
    <phoneticPr fontId="1" type="noConversion"/>
  </si>
  <si>
    <t>102정거장</t>
    <phoneticPr fontId="1" type="noConversion"/>
  </si>
  <si>
    <t>15-1</t>
    <phoneticPr fontId="1" type="noConversion"/>
  </si>
  <si>
    <t>15-2</t>
    <phoneticPr fontId="1" type="noConversion"/>
  </si>
  <si>
    <t>(본)2-17-Hw</t>
  </si>
  <si>
    <t>(본)2-18-Hw</t>
    <phoneticPr fontId="1" type="noConversion"/>
  </si>
  <si>
    <t>(본)2-19-Hw-103정거장</t>
    <phoneticPr fontId="1" type="noConversion"/>
  </si>
  <si>
    <t>103정거장</t>
    <phoneticPr fontId="1" type="noConversion"/>
  </si>
  <si>
    <t>(본)2-20-Hw-104정거장</t>
    <phoneticPr fontId="1" type="noConversion"/>
  </si>
  <si>
    <t>104정거장</t>
    <phoneticPr fontId="1" type="noConversion"/>
  </si>
  <si>
    <t>트램부지</t>
    <phoneticPr fontId="1" type="noConversion"/>
  </si>
  <si>
    <t>미확보부지</t>
    <phoneticPr fontId="1" type="noConversion"/>
  </si>
  <si>
    <t>(본)2-21-Hw</t>
  </si>
  <si>
    <t>(본)2-22-Hw-105정거장</t>
    <phoneticPr fontId="1" type="noConversion"/>
  </si>
  <si>
    <t>105정거장</t>
    <phoneticPr fontId="1" type="noConversion"/>
  </si>
  <si>
    <t>예당교</t>
    <phoneticPr fontId="1" type="noConversion"/>
  </si>
  <si>
    <t>(본)2-23-Hw</t>
  </si>
  <si>
    <t>(본)2-24-Hw-106정거장</t>
  </si>
  <si>
    <t>106정거장</t>
    <phoneticPr fontId="1" type="noConversion"/>
  </si>
  <si>
    <t>트램부지 미확보 구간</t>
    <phoneticPr fontId="1" type="noConversion"/>
  </si>
  <si>
    <t>공사기간</t>
    <phoneticPr fontId="1" type="noConversion"/>
  </si>
  <si>
    <t>트램부지 확보 구간(TS)</t>
    <phoneticPr fontId="1" type="noConversion"/>
  </si>
  <si>
    <t>22-1</t>
    <phoneticPr fontId="1" type="noConversion"/>
  </si>
  <si>
    <t>(본)2-25-Hw(TS)</t>
  </si>
  <si>
    <t>우선시공</t>
    <phoneticPr fontId="1" type="noConversion"/>
  </si>
  <si>
    <t>트램부지</t>
    <phoneticPr fontId="1" type="noConversion"/>
  </si>
  <si>
    <t>26-1</t>
    <phoneticPr fontId="1" type="noConversion"/>
  </si>
  <si>
    <t>(기교)2-26/27</t>
  </si>
  <si>
    <t>치동천1교+일반11.65m 포함</t>
    <phoneticPr fontId="1" type="noConversion"/>
  </si>
  <si>
    <t>(본)2-27-Hw(TS)</t>
    <phoneticPr fontId="1" type="noConversion"/>
  </si>
  <si>
    <t>작업조</t>
    <phoneticPr fontId="1" type="noConversion"/>
  </si>
  <si>
    <t>(본)2-28-Hw(TS)(P)</t>
  </si>
  <si>
    <t>트램부지
1구간</t>
    <phoneticPr fontId="1" type="noConversion"/>
  </si>
  <si>
    <t>(본)2-29-Hw-107정거장(P)</t>
  </si>
  <si>
    <t>(본)2-30-Hw</t>
  </si>
  <si>
    <t>트램부지
2구간</t>
    <phoneticPr fontId="1" type="noConversion"/>
  </si>
  <si>
    <t>(본)2-31-Hw(TS)(P)</t>
  </si>
  <si>
    <t>트램부지+107정거장</t>
    <phoneticPr fontId="1" type="noConversion"/>
  </si>
  <si>
    <t>소요공기 정리</t>
    <phoneticPr fontId="1" type="noConversion"/>
  </si>
  <si>
    <t>(본)2-32-Hw(TS)-108정거장(TS)(P)</t>
  </si>
  <si>
    <t>트램부지 + 108정거장</t>
    <phoneticPr fontId="1" type="noConversion"/>
  </si>
  <si>
    <t>32-1</t>
    <phoneticPr fontId="1" type="noConversion"/>
  </si>
  <si>
    <t>(기교)2-32/33(TS)(P)</t>
  </si>
  <si>
    <t>오산리천6교(트램부지)</t>
    <phoneticPr fontId="1" type="noConversion"/>
  </si>
  <si>
    <t>(본)2-34-Hw(TS)(P)</t>
  </si>
  <si>
    <t>트램부지
3구간</t>
    <phoneticPr fontId="1" type="noConversion"/>
  </si>
  <si>
    <t>(본)2-35-Hw(TS)-109정거장(P)</t>
  </si>
  <si>
    <t>트램부지+109정거장</t>
    <phoneticPr fontId="1" type="noConversion"/>
  </si>
  <si>
    <t>35-1</t>
    <phoneticPr fontId="1" type="noConversion"/>
  </si>
  <si>
    <t>(기교)2-35/36(TS)(P)</t>
  </si>
  <si>
    <t>신리천2교(트램부지)</t>
    <phoneticPr fontId="1" type="noConversion"/>
  </si>
  <si>
    <t>(본)2-36-Hw(TS)(P)</t>
  </si>
  <si>
    <t>(본)2-37-Hw(TS)-110정거장(P)</t>
  </si>
  <si>
    <t>트램부지+110정거장</t>
    <phoneticPr fontId="1" type="noConversion"/>
  </si>
  <si>
    <t>트램부지
4구간</t>
    <phoneticPr fontId="1" type="noConversion"/>
  </si>
  <si>
    <t>(본)2-38-Hw(TS)(P)</t>
  </si>
  <si>
    <t>(본)2-39-Hw(TS)-111정거장(P)</t>
  </si>
  <si>
    <t>트램부지+111정거장</t>
    <phoneticPr fontId="1" type="noConversion"/>
  </si>
  <si>
    <t>39-1</t>
    <phoneticPr fontId="1" type="noConversion"/>
  </si>
  <si>
    <t>(기교)2-39/40(TS)(P)</t>
  </si>
  <si>
    <t>송방천3교</t>
    <phoneticPr fontId="1" type="noConversion"/>
  </si>
  <si>
    <t>(본)2-40-Hw(TS)-112정거장(P)</t>
  </si>
  <si>
    <t>트램부지+112정거장</t>
    <phoneticPr fontId="1" type="noConversion"/>
  </si>
  <si>
    <t>트램부지
5구간</t>
    <phoneticPr fontId="1" type="noConversion"/>
  </si>
  <si>
    <t>일반부지
1구간</t>
    <phoneticPr fontId="1" type="noConversion"/>
  </si>
  <si>
    <t>일반부지
2구간</t>
    <phoneticPr fontId="1" type="noConversion"/>
  </si>
  <si>
    <t>일반부지
3구간</t>
    <phoneticPr fontId="1" type="noConversion"/>
  </si>
  <si>
    <t>일반부지
4구간</t>
    <phoneticPr fontId="1" type="noConversion"/>
  </si>
  <si>
    <t>일반부지
5구간</t>
    <phoneticPr fontId="1" type="noConversion"/>
  </si>
  <si>
    <t>(본)2-41-Hw(TS)(P)</t>
  </si>
  <si>
    <t>(본)2-42-Hw(TS)(P)</t>
  </si>
  <si>
    <t>(본)2-43-Hw(TS)(P)</t>
  </si>
  <si>
    <t>(본)2-44-Hw(TS)-113정거장(P)</t>
  </si>
  <si>
    <t>트램부지+113정거장</t>
    <phoneticPr fontId="1" type="noConversion"/>
  </si>
  <si>
    <t>트램부지
6구간</t>
    <phoneticPr fontId="1" type="noConversion"/>
  </si>
  <si>
    <t>동인12공구</t>
    <phoneticPr fontId="1" type="noConversion"/>
  </si>
  <si>
    <t>(본)2-45-Hw(TS)(P)</t>
  </si>
  <si>
    <t>45-1</t>
    <phoneticPr fontId="1" type="noConversion"/>
  </si>
  <si>
    <t>(기지)2-45/46(P)</t>
  </si>
  <si>
    <t>송동지하차도</t>
    <phoneticPr fontId="1" type="noConversion"/>
  </si>
  <si>
    <t>(본)2-46-Hw(P)</t>
  </si>
  <si>
    <t>(본)2-47-Hw-114정거장</t>
  </si>
  <si>
    <t>114정거장</t>
    <phoneticPr fontId="1" type="noConversion"/>
  </si>
  <si>
    <t>트램부지
7구간</t>
    <phoneticPr fontId="1" type="noConversion"/>
  </si>
  <si>
    <t>(본)2-26-Hw(TS)(P)</t>
    <phoneticPr fontId="1" type="noConversion"/>
  </si>
  <si>
    <t>(기교)2-22/23(P)</t>
    <phoneticPr fontId="1" type="noConversion"/>
  </si>
  <si>
    <t>(본)2-33-Hw(TS)(P)</t>
    <phoneticPr fontId="1" type="noConversion"/>
  </si>
  <si>
    <t>2공구 일반구간 공기산출 근거</t>
    <phoneticPr fontId="1" type="noConversion"/>
  </si>
  <si>
    <t>동탄 도시철도 건설공사(1단계) 기본설계 기술제안</t>
    <phoneticPr fontId="1" type="noConversion"/>
  </si>
  <si>
    <t>2026.07.26(일)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</si>
</sst>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7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#,##0.0&quot;㎥/일&quot;"/>
    <numFmt numFmtId="177" formatCode="#,##0&quot;㎥/일&quot;"/>
    <numFmt numFmtId="178" formatCode="#,##0&quot;㎡/일&quot;"/>
    <numFmt numFmtId="179" formatCode="#,##0&quot;일&quot;"/>
    <numFmt numFmtId="180" formatCode="#,##0.0&quot;ton/일&quot;"/>
    <numFmt numFmtId="181" formatCode="#,##0&quot;m/일&quot;"/>
    <numFmt numFmtId="182" formatCode="#,##0.0&quot;m&quot;"/>
    <numFmt numFmtId="183" formatCode="#,##0.0&quot;일&quot;"/>
    <numFmt numFmtId="184" formatCode="#,##0&quot;개조&quot;"/>
    <numFmt numFmtId="185" formatCode="0.000"/>
    <numFmt numFmtId="186" formatCode="#,##0.00_ "/>
    <numFmt numFmtId="187" formatCode="_ * #,##0_ ;_ * \-#,##0_ ;_ * &quot;-&quot;_ ;_ @_ "/>
    <numFmt numFmtId="188" formatCode="0.000_ "/>
    <numFmt numFmtId="189" formatCode="0.0"/>
    <numFmt numFmtId="190" formatCode="&quot;년&quot;\ "/>
    <numFmt numFmtId="191" formatCode="&quot;₩&quot;#,##0;&quot;₩&quot;\-#,##0"/>
    <numFmt numFmtId="192" formatCode="_-&quot;S&quot;\ * #,##0.00_-;\-&quot;S&quot;\ * #,##0.00_-;_-&quot;S&quot;\ * &quot;-&quot;??_-;_-@_-"/>
    <numFmt numFmtId="193" formatCode="0\ &quot;EA&quot;"/>
    <numFmt numFmtId="194" formatCode="#\ ?/2"/>
    <numFmt numFmtId="195" formatCode="0_ "/>
    <numFmt numFmtId="196" formatCode="_ * #,##0.00_ ;_ * \-#,##0.00_ ;_ * &quot;-&quot;??_ ;_ @_ "/>
    <numFmt numFmtId="197" formatCode="##0.000&quot;㎥&quot;"/>
    <numFmt numFmtId="198" formatCode="##0.000&quot;㎡&quot;"/>
    <numFmt numFmtId="199" formatCode="##0.000&quot;㎡/개소&quot;"/>
    <numFmt numFmtId="200" formatCode="##0.000&quot;kg&quot;"/>
    <numFmt numFmtId="201" formatCode="##0.00&quot;m&quot;"/>
    <numFmt numFmtId="202" formatCode="##&quot;%&quot;"/>
    <numFmt numFmtId="203" formatCode="\t\=0.00"/>
    <numFmt numFmtId="204" formatCode="0.000&quot;*&quot;"/>
    <numFmt numFmtId="205" formatCode="_-\-* #,##0_-;\-* #,##0_-;_-* &quot;-&quot;_-;_-@_-"/>
    <numFmt numFmtId="206" formatCode="&quot;₩&quot;#,##0;[Red]&quot;₩&quot;&quot;₩&quot;\-#,##0"/>
    <numFmt numFmtId="207" formatCode="General_)"/>
    <numFmt numFmtId="208" formatCode="0.0_)"/>
    <numFmt numFmtId="209" formatCode="0.000\ "/>
    <numFmt numFmtId="210" formatCode="#\!\,##0\!.00_ "/>
    <numFmt numFmtId="211" formatCode="_-* #,##0.0_-;\-* #,##0.0_-;_-* &quot;-&quot;_-;_-@_-"/>
    <numFmt numFmtId="212" formatCode="0&quot;km&quot;000.0000"/>
    <numFmt numFmtId="213" formatCode="_(* #,##0_);_(* \(#,##0\);_(* \-_);_(@_)"/>
    <numFmt numFmtId="214" formatCode="#,##0&quot;개월&quot;"/>
    <numFmt numFmtId="215" formatCode="#,##0&quot;m&quot;"/>
    <numFmt numFmtId="216" formatCode="0.0&quot;구간&quot;"/>
    <numFmt numFmtId="217" formatCode="0&quot;개조&quot;"/>
    <numFmt numFmtId="218" formatCode="#,##0.0&quot;개월&quot;"/>
    <numFmt numFmtId="219" formatCode="0&quot;-&quot;0&quot;조&quot;"/>
  </numFmts>
  <fonts count="6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-윤고딕120"/>
      <family val="1"/>
      <charset val="129"/>
    </font>
    <font>
      <sz val="11"/>
      <color theme="1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1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바탕체"/>
      <family val="1"/>
      <charset val="129"/>
    </font>
    <font>
      <sz val="9"/>
      <color indexed="8"/>
      <name val="굴림체"/>
      <family val="3"/>
      <charset val="129"/>
    </font>
    <font>
      <sz val="10"/>
      <name val="Arial"/>
      <family val="2"/>
    </font>
    <font>
      <sz val="9"/>
      <name val="굴림체"/>
      <family val="3"/>
      <charset val="129"/>
    </font>
    <font>
      <u/>
      <sz val="11"/>
      <color indexed="36"/>
      <name val="돋움"/>
      <family val="3"/>
      <charset val="129"/>
    </font>
    <font>
      <sz val="12"/>
      <name val="굴림체"/>
      <family val="3"/>
      <charset val="129"/>
    </font>
    <font>
      <sz val="11"/>
      <name val="굴림체"/>
      <family val="3"/>
      <charset val="129"/>
    </font>
    <font>
      <sz val="12"/>
      <name val="¹UAAA¼"/>
      <family val="3"/>
      <charset val="129"/>
    </font>
    <font>
      <sz val="10"/>
      <name val="MS Sans Serif"/>
      <family val="2"/>
    </font>
    <font>
      <sz val="10"/>
      <name val="굴림체"/>
      <family val="3"/>
      <charset val="129"/>
    </font>
    <font>
      <sz val="12"/>
      <name val="¹ÙÅÁÃ¼"/>
      <family val="1"/>
      <charset val="129"/>
    </font>
    <font>
      <sz val="12"/>
      <name val="뼻뮝"/>
      <family val="1"/>
      <charset val="129"/>
    </font>
    <font>
      <sz val="8"/>
      <name val="Arial"/>
      <family val="2"/>
    </font>
    <font>
      <sz val="12"/>
      <name val="돋움체"/>
      <family val="3"/>
      <charset val="129"/>
    </font>
    <font>
      <b/>
      <sz val="18"/>
      <name val="Arial"/>
      <family val="2"/>
    </font>
    <font>
      <b/>
      <sz val="12"/>
      <name val="Arial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돋움체"/>
      <family val="3"/>
      <charset val="129"/>
    </font>
    <font>
      <sz val="11"/>
      <color indexed="16"/>
      <name val="바탕체"/>
      <family val="1"/>
      <charset val="129"/>
    </font>
    <font>
      <b/>
      <sz val="14"/>
      <color indexed="12"/>
      <name val="바탕체"/>
      <family val="1"/>
      <charset val="129"/>
    </font>
    <font>
      <sz val="14"/>
      <name val="뼻뮝"/>
      <family val="1"/>
      <charset val="129"/>
    </font>
    <font>
      <sz val="9"/>
      <name val="바탕체"/>
      <family val="1"/>
      <charset val="129"/>
    </font>
    <font>
      <sz val="10"/>
      <name val="바탕체"/>
      <family val="1"/>
      <charset val="129"/>
    </font>
    <font>
      <b/>
      <sz val="12"/>
      <name val="돋움체"/>
      <family val="3"/>
      <charset val="129"/>
    </font>
    <font>
      <sz val="10"/>
      <name val="명조"/>
      <family val="3"/>
      <charset val="129"/>
    </font>
    <font>
      <b/>
      <sz val="12"/>
      <color indexed="12"/>
      <name val="돋움체"/>
      <family val="3"/>
      <charset val="129"/>
    </font>
    <font>
      <sz val="10"/>
      <color indexed="12"/>
      <name val="굴림체"/>
      <family val="3"/>
      <charset val="129"/>
    </font>
    <font>
      <b/>
      <sz val="10"/>
      <name val="Helv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12"/>
      <name val="Helv"/>
      <family val="2"/>
    </font>
    <font>
      <u/>
      <sz val="10"/>
      <color indexed="12"/>
      <name val="MS Sans Serif"/>
      <family val="2"/>
    </font>
    <font>
      <b/>
      <i/>
      <sz val="12"/>
      <name val="Times New Roman"/>
      <family val="1"/>
    </font>
    <font>
      <b/>
      <sz val="11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11"/>
      <color rgb="FF000000"/>
      <name val="-윤고딕120"/>
      <family val="1"/>
      <charset val="129"/>
    </font>
    <font>
      <sz val="11"/>
      <color rgb="FFFF0000"/>
      <name val="-윤고딕120"/>
      <family val="1"/>
      <charset val="129"/>
    </font>
    <font>
      <sz val="11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80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30"/>
      <color theme="1"/>
      <name val="맑은 고딕"/>
      <family val="3"/>
      <charset val="129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rgb="FF99CCF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12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8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6" fillId="0" borderId="0"/>
    <xf numFmtId="0" fontId="10" fillId="0" borderId="0">
      <alignment vertical="center"/>
    </xf>
    <xf numFmtId="0" fontId="11" fillId="0" borderId="0"/>
    <xf numFmtId="0" fontId="11" fillId="0" borderId="0"/>
    <xf numFmtId="0" fontId="17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1" fillId="0" borderId="9">
      <alignment horizontal="center"/>
    </xf>
    <xf numFmtId="0" fontId="2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/>
    <xf numFmtId="0" fontId="2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0" fontId="25" fillId="0" borderId="0"/>
    <xf numFmtId="0" fontId="13" fillId="0" borderId="0" applyFill="0" applyBorder="0" applyAlignment="0"/>
    <xf numFmtId="0" fontId="44" fillId="0" borderId="0"/>
    <xf numFmtId="0" fontId="13" fillId="0" borderId="0">
      <protection locked="0"/>
    </xf>
    <xf numFmtId="0" fontId="17" fillId="0" borderId="0" applyFont="0" applyFill="0" applyBorder="0" applyAlignment="0" applyProtection="0"/>
    <xf numFmtId="194" fontId="13" fillId="0" borderId="0"/>
    <xf numFmtId="0" fontId="17" fillId="0" borderId="0" applyFont="0" applyFill="0" applyBorder="0" applyAlignment="0" applyProtection="0"/>
    <xf numFmtId="3" fontId="17" fillId="0" borderId="0" applyFill="0" applyBorder="0" applyAlignment="0" applyProtection="0"/>
    <xf numFmtId="0" fontId="17" fillId="0" borderId="0" applyFont="0" applyFill="0" applyBorder="0" applyAlignment="0" applyProtection="0"/>
    <xf numFmtId="0" fontId="13" fillId="0" borderId="0">
      <protection locked="0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5" fontId="17" fillId="0" borderId="0" applyFont="0" applyFill="0" applyBorder="0" applyAlignment="0" applyProtection="0"/>
    <xf numFmtId="0" fontId="13" fillId="0" borderId="0"/>
    <xf numFmtId="0" fontId="17" fillId="0" borderId="0" applyFont="0" applyFill="0" applyBorder="0" applyAlignment="0" applyProtection="0"/>
    <xf numFmtId="193" fontId="13" fillId="0" borderId="0"/>
    <xf numFmtId="0" fontId="45" fillId="0" borderId="0">
      <protection locked="0"/>
    </xf>
    <xf numFmtId="0" fontId="45" fillId="0" borderId="0">
      <protection locked="0"/>
    </xf>
    <xf numFmtId="0" fontId="46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46" fillId="0" borderId="0">
      <protection locked="0"/>
    </xf>
    <xf numFmtId="2" fontId="17" fillId="0" borderId="0" applyFont="0" applyFill="0" applyBorder="0" applyAlignment="0" applyProtection="0"/>
    <xf numFmtId="38" fontId="27" fillId="4" borderId="0" applyNumberFormat="0" applyBorder="0" applyAlignment="0" applyProtection="0"/>
    <xf numFmtId="0" fontId="47" fillId="0" borderId="0">
      <alignment horizontal="left"/>
    </xf>
    <xf numFmtId="0" fontId="30" fillId="0" borderId="10" applyNumberFormat="0" applyAlignment="0" applyProtection="0">
      <alignment horizontal="left" vertical="center"/>
    </xf>
    <xf numFmtId="0" fontId="30" fillId="0" borderId="3">
      <alignment horizontal="left" vertical="center"/>
    </xf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90" fontId="11" fillId="0" borderId="0">
      <protection locked="0"/>
    </xf>
    <xf numFmtId="190" fontId="11" fillId="0" borderId="0">
      <protection locked="0"/>
    </xf>
    <xf numFmtId="0" fontId="48" fillId="0" borderId="0" applyNumberFormat="0" applyFill="0" applyBorder="0" applyAlignment="0" applyProtection="0"/>
    <xf numFmtId="10" fontId="27" fillId="5" borderId="1" applyNumberFormat="0" applyBorder="0" applyAlignment="0" applyProtection="0"/>
    <xf numFmtId="207" fontId="49" fillId="0" borderId="0">
      <alignment horizontal="left"/>
    </xf>
    <xf numFmtId="187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0" fontId="50" fillId="0" borderId="11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28" fillId="0" borderId="0"/>
    <xf numFmtId="0" fontId="17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3" fillId="0" borderId="0">
      <protection locked="0"/>
    </xf>
    <xf numFmtId="10" fontId="17" fillId="0" borderId="0" applyFont="0" applyFill="0" applyBorder="0" applyAlignment="0" applyProtection="0"/>
    <xf numFmtId="186" fontId="13" fillId="0" borderId="0">
      <protection locked="0"/>
    </xf>
    <xf numFmtId="0" fontId="50" fillId="0" borderId="0"/>
    <xf numFmtId="208" fontId="51" fillId="0" borderId="0">
      <alignment horizontal="center"/>
    </xf>
    <xf numFmtId="0" fontId="52" fillId="0" borderId="0" applyFill="0" applyBorder="0" applyProtection="0">
      <alignment horizontal="centerContinuous" vertical="center"/>
    </xf>
    <xf numFmtId="0" fontId="20" fillId="6" borderId="0" applyFill="0" applyBorder="0" applyProtection="0">
      <alignment horizontal="center" vertical="center"/>
    </xf>
    <xf numFmtId="0" fontId="17" fillId="0" borderId="12" applyNumberFormat="0" applyFont="0" applyFill="0" applyAlignment="0" applyProtection="0"/>
    <xf numFmtId="0" fontId="15" fillId="0" borderId="9">
      <alignment horizontal="left"/>
    </xf>
    <xf numFmtId="2" fontId="3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13" applyBorder="0">
      <alignment horizontal="distributed"/>
      <protection locked="0"/>
    </xf>
    <xf numFmtId="0" fontId="31" fillId="0" borderId="0" applyFont="0" applyFill="0" applyBorder="0" applyAlignment="0" applyProtection="0"/>
    <xf numFmtId="204" fontId="35" fillId="0" borderId="0" applyFill="0" applyBorder="0">
      <alignment horizontal="center" vertical="center"/>
    </xf>
    <xf numFmtId="202" fontId="34" fillId="0" borderId="14" applyFill="0" applyBorder="0">
      <alignment horizontal="center" vertical="center"/>
      <protection locked="0"/>
    </xf>
    <xf numFmtId="200" fontId="34" fillId="0" borderId="8" applyFill="0" applyBorder="0">
      <alignment horizontal="center"/>
      <protection locked="0"/>
    </xf>
    <xf numFmtId="201" fontId="34" fillId="0" borderId="8" applyFill="0" applyBorder="0">
      <alignment horizontal="center"/>
      <protection locked="0"/>
    </xf>
    <xf numFmtId="198" fontId="34" fillId="0" borderId="15">
      <alignment horizontal="center"/>
      <protection locked="0"/>
    </xf>
    <xf numFmtId="199" fontId="34" fillId="0" borderId="15">
      <alignment horizontal="center"/>
      <protection locked="0"/>
    </xf>
    <xf numFmtId="205" fontId="34" fillId="0" borderId="15">
      <alignment horizontal="center"/>
      <protection locked="0"/>
    </xf>
    <xf numFmtId="197" fontId="34" fillId="0" borderId="15">
      <alignment horizontal="center"/>
      <protection locked="0"/>
    </xf>
    <xf numFmtId="203" fontId="34" fillId="0" borderId="2" applyFill="0" applyBorder="0">
      <alignment horizontal="center" vertical="center"/>
      <protection locked="0"/>
    </xf>
    <xf numFmtId="0" fontId="31" fillId="0" borderId="0" applyFont="0" applyFill="0" applyBorder="0" applyAlignment="0" applyProtection="0"/>
    <xf numFmtId="0" fontId="36" fillId="0" borderId="0" applyProtection="0"/>
    <xf numFmtId="0" fontId="19" fillId="0" borderId="0" applyNumberFormat="0" applyFill="0" applyBorder="0" applyAlignment="0" applyProtection="0">
      <alignment vertical="top"/>
      <protection locked="0"/>
    </xf>
    <xf numFmtId="40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9" fontId="21" fillId="6" borderId="0" applyFill="0" applyBorder="0" applyProtection="0">
      <alignment horizontal="right"/>
    </xf>
    <xf numFmtId="10" fontId="21" fillId="0" borderId="0" applyFill="0" applyBorder="0" applyProtection="0">
      <alignment horizontal="right"/>
    </xf>
    <xf numFmtId="0" fontId="26" fillId="0" borderId="0"/>
    <xf numFmtId="49" fontId="34" fillId="0" borderId="6" applyFill="0" applyBorder="0">
      <alignment horizontal="center" vertical="center"/>
      <protection locked="0"/>
    </xf>
    <xf numFmtId="0" fontId="38" fillId="0" borderId="0" applyNumberFormat="0" applyFont="0" applyFill="0" applyBorder="0" applyProtection="0">
      <alignment horizontal="centerContinuous" vertical="center"/>
    </xf>
    <xf numFmtId="188" fontId="38" fillId="0" borderId="0" applyFill="0" applyBorder="0" applyProtection="0">
      <alignment horizontal="centerContinuous" vertical="center"/>
    </xf>
    <xf numFmtId="195" fontId="38" fillId="0" borderId="0" applyNumberFormat="0" applyFont="0" applyFill="0" applyBorder="0" applyProtection="0">
      <alignment horizontal="centerContinuous"/>
    </xf>
    <xf numFmtId="0" fontId="39" fillId="0" borderId="0" applyNumberFormat="0" applyFont="0" applyFill="0" applyBorder="0" applyProtection="0">
      <alignment horizontal="centerContinuous" vertical="center"/>
    </xf>
    <xf numFmtId="195" fontId="38" fillId="0" borderId="0" applyNumberFormat="0" applyFont="0" applyFill="0" applyBorder="0" applyProtection="0">
      <alignment horizontal="centerContinuous" vertical="center"/>
    </xf>
    <xf numFmtId="0" fontId="40" fillId="0" borderId="0" applyProtection="0">
      <alignment vertical="center"/>
      <protection locked="0"/>
    </xf>
    <xf numFmtId="195" fontId="18" fillId="0" borderId="16" applyFont="0" applyFill="0" applyBorder="0" applyAlignment="0" applyProtection="0">
      <alignment vertical="center"/>
    </xf>
    <xf numFmtId="188" fontId="18" fillId="0" borderId="16" applyFont="0" applyFill="0" applyBorder="0" applyAlignment="0" applyProtection="0">
      <alignment vertical="center"/>
    </xf>
    <xf numFmtId="0" fontId="14" fillId="0" borderId="0"/>
    <xf numFmtId="195" fontId="38" fillId="0" borderId="0" applyFont="0" applyFill="0" applyBorder="0" applyProtection="0">
      <alignment horizontal="centerContinuous" vertical="center"/>
    </xf>
    <xf numFmtId="206" fontId="17" fillId="0" borderId="0">
      <alignment vertical="center"/>
    </xf>
    <xf numFmtId="189" fontId="38" fillId="0" borderId="0" applyFont="0" applyFill="0" applyBorder="0" applyProtection="0">
      <alignment horizontal="centerContinuous" vertical="center"/>
    </xf>
    <xf numFmtId="185" fontId="38" fillId="0" borderId="0" applyFont="0" applyFill="0" applyBorder="0" applyProtection="0">
      <alignment horizontal="centerContinuous" vertical="center"/>
    </xf>
    <xf numFmtId="209" fontId="38" fillId="0" borderId="17" applyFont="0" applyFill="0" applyBorder="0" applyProtection="0">
      <alignment horizontal="right" vertical="center"/>
      <protection locked="0"/>
    </xf>
    <xf numFmtId="209" fontId="24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0" fontId="17" fillId="0" borderId="0"/>
    <xf numFmtId="0" fontId="41" fillId="0" borderId="18"/>
    <xf numFmtId="0" fontId="42" fillId="0" borderId="6" applyBorder="0">
      <alignment horizontal="distributed" vertical="center"/>
      <protection locked="0"/>
    </xf>
    <xf numFmtId="0" fontId="43" fillId="0" borderId="0">
      <alignment vertical="center"/>
    </xf>
    <xf numFmtId="195" fontId="38" fillId="0" borderId="0" applyNumberFormat="0" applyFont="0" applyFill="0" applyBorder="0" applyProtection="0">
      <alignment vertical="center"/>
    </xf>
    <xf numFmtId="4" fontId="31" fillId="0" borderId="0" applyFont="0" applyFill="0" applyBorder="0" applyAlignment="0" applyProtection="0"/>
    <xf numFmtId="3" fontId="31" fillId="0" borderId="0" applyFont="0" applyFill="0" applyBorder="0" applyAlignment="0" applyProtection="0"/>
    <xf numFmtId="0" fontId="11" fillId="0" borderId="0"/>
    <xf numFmtId="0" fontId="11" fillId="0" borderId="0" applyFont="0" applyFill="0" applyBorder="0" applyAlignment="0" applyProtection="0"/>
    <xf numFmtId="0" fontId="17" fillId="0" borderId="1"/>
    <xf numFmtId="210" fontId="21" fillId="6" borderId="0" applyFill="0" applyBorder="0" applyProtection="0">
      <alignment horizontal="right"/>
    </xf>
    <xf numFmtId="0" fontId="11" fillId="0" borderId="0" applyFont="0" applyFill="0" applyBorder="0" applyAlignment="0" applyProtection="0"/>
    <xf numFmtId="42" fontId="13" fillId="0" borderId="0" applyFont="0" applyFill="0" applyBorder="0" applyAlignment="0" applyProtection="0"/>
    <xf numFmtId="0" fontId="11" fillId="0" borderId="0" applyFont="0" applyFill="0" applyBorder="0" applyAlignment="0" applyProtection="0"/>
    <xf numFmtId="10" fontId="31" fillId="0" borderId="0" applyFont="0" applyFill="0" applyBorder="0" applyAlignment="0" applyProtection="0"/>
    <xf numFmtId="0" fontId="53" fillId="0" borderId="0">
      <alignment vertical="center"/>
    </xf>
    <xf numFmtId="0" fontId="31" fillId="0" borderId="12" applyNumberFormat="0" applyFont="0" applyFill="0" applyAlignment="0" applyProtection="0"/>
    <xf numFmtId="192" fontId="13" fillId="0" borderId="0" applyFont="0" applyFill="0" applyBorder="0" applyAlignment="0" applyProtection="0"/>
    <xf numFmtId="191" fontId="31" fillId="0" borderId="0" applyFont="0" applyFill="0" applyBorder="0" applyAlignment="0" applyProtection="0"/>
    <xf numFmtId="0" fontId="10" fillId="0" borderId="0">
      <alignment vertical="center"/>
    </xf>
    <xf numFmtId="41" fontId="13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0" fontId="13" fillId="0" borderId="0"/>
    <xf numFmtId="0" fontId="10" fillId="0" borderId="0">
      <alignment vertical="center"/>
    </xf>
    <xf numFmtId="0" fontId="54" fillId="0" borderId="0">
      <alignment vertical="center"/>
    </xf>
    <xf numFmtId="0" fontId="13" fillId="0" borderId="0"/>
    <xf numFmtId="0" fontId="10" fillId="0" borderId="0">
      <alignment vertical="center"/>
    </xf>
    <xf numFmtId="0" fontId="11" fillId="0" borderId="0" applyAlignment="0"/>
    <xf numFmtId="213" fontId="2" fillId="0" borderId="0">
      <alignment vertical="center"/>
    </xf>
  </cellStyleXfs>
  <cellXfs count="406">
    <xf numFmtId="0" fontId="0" fillId="0" borderId="0" xfId="0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179" fontId="9" fillId="0" borderId="4" xfId="0" applyNumberFormat="1" applyFont="1" applyFill="1" applyBorder="1" applyAlignment="1">
      <alignment horizontal="center" vertical="center" wrapText="1"/>
    </xf>
    <xf numFmtId="179" fontId="9" fillId="0" borderId="1" xfId="0" applyNumberFormat="1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176" fontId="55" fillId="0" borderId="1" xfId="0" applyNumberFormat="1" applyFont="1" applyFill="1" applyBorder="1" applyAlignment="1">
      <alignment horizontal="center" vertical="center" wrapText="1"/>
    </xf>
    <xf numFmtId="184" fontId="55" fillId="0" borderId="1" xfId="0" applyNumberFormat="1" applyFont="1" applyFill="1" applyBorder="1" applyAlignment="1">
      <alignment horizontal="center" vertical="center" wrapText="1"/>
    </xf>
    <xf numFmtId="183" fontId="55" fillId="3" borderId="1" xfId="0" applyNumberFormat="1" applyFont="1" applyFill="1" applyBorder="1" applyAlignment="1">
      <alignment horizontal="center" vertical="center" wrapText="1"/>
    </xf>
    <xf numFmtId="177" fontId="55" fillId="0" borderId="1" xfId="0" applyNumberFormat="1" applyFont="1" applyFill="1" applyBorder="1" applyAlignment="1">
      <alignment horizontal="center" vertical="center" wrapText="1"/>
    </xf>
    <xf numFmtId="183" fontId="56" fillId="3" borderId="1" xfId="0" applyNumberFormat="1" applyFont="1" applyFill="1" applyBorder="1" applyAlignment="1">
      <alignment horizontal="center" vertical="center" wrapText="1"/>
    </xf>
    <xf numFmtId="178" fontId="55" fillId="0" borderId="1" xfId="0" applyNumberFormat="1" applyFont="1" applyFill="1" applyBorder="1" applyAlignment="1">
      <alignment horizontal="center" vertical="center" wrapText="1"/>
    </xf>
    <xf numFmtId="180" fontId="55" fillId="0" borderId="1" xfId="0" applyNumberFormat="1" applyFont="1" applyFill="1" applyBorder="1" applyAlignment="1">
      <alignment horizontal="center" vertical="center" wrapText="1"/>
    </xf>
    <xf numFmtId="181" fontId="55" fillId="0" borderId="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0" fillId="0" borderId="0" xfId="0">
      <alignment vertical="center"/>
    </xf>
    <xf numFmtId="183" fontId="9" fillId="9" borderId="1" xfId="0" applyNumberFormat="1" applyFont="1" applyFill="1" applyBorder="1" applyAlignment="1">
      <alignment horizontal="center" vertical="center" wrapText="1"/>
    </xf>
    <xf numFmtId="179" fontId="55" fillId="3" borderId="1" xfId="0" applyNumberFormat="1" applyFont="1" applyFill="1" applyBorder="1" applyAlignment="1">
      <alignment horizontal="center" vertical="center" wrapText="1"/>
    </xf>
    <xf numFmtId="179" fontId="9" fillId="12" borderId="1" xfId="0" applyNumberFormat="1" applyFont="1" applyFill="1" applyBorder="1" applyAlignment="1">
      <alignment horizontal="center" vertical="center" wrapText="1"/>
    </xf>
    <xf numFmtId="183" fontId="9" fillId="8" borderId="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181" fontId="56" fillId="0" borderId="1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0" borderId="0" xfId="0">
      <alignment vertical="center"/>
    </xf>
    <xf numFmtId="211" fontId="12" fillId="2" borderId="1" xfId="1" applyNumberFormat="1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182" fontId="0" fillId="0" borderId="1" xfId="0" applyNumberFormat="1" applyFont="1" applyBorder="1" applyAlignment="1">
      <alignment horizontal="center" vertical="center"/>
    </xf>
    <xf numFmtId="211" fontId="12" fillId="2" borderId="1" xfId="1" applyNumberFormat="1" applyFont="1" applyFill="1" applyBorder="1" applyAlignment="1">
      <alignment horizontal="center" vertical="center"/>
    </xf>
    <xf numFmtId="212" fontId="12" fillId="0" borderId="1" xfId="0" applyNumberFormat="1" applyFont="1" applyFill="1" applyBorder="1" applyAlignment="1">
      <alignment horizontal="center" vertical="center"/>
    </xf>
    <xf numFmtId="182" fontId="0" fillId="0" borderId="1" xfId="0" applyNumberFormat="1" applyFont="1" applyBorder="1" applyAlignment="1">
      <alignment horizontal="center" vertical="center"/>
    </xf>
    <xf numFmtId="182" fontId="0" fillId="0" borderId="1" xfId="0" applyNumberFormat="1" applyFont="1" applyBorder="1" applyAlignment="1">
      <alignment horizontal="center" vertical="center"/>
    </xf>
    <xf numFmtId="183" fontId="9" fillId="8" borderId="21" xfId="0" applyNumberFormat="1" applyFont="1" applyFill="1" applyBorder="1" applyAlignment="1">
      <alignment horizontal="center" vertical="center" wrapText="1"/>
    </xf>
    <xf numFmtId="214" fontId="55" fillId="0" borderId="1" xfId="0" applyNumberFormat="1" applyFont="1" applyFill="1" applyBorder="1" applyAlignment="1">
      <alignment horizontal="center" vertical="center" wrapText="1"/>
    </xf>
    <xf numFmtId="178" fontId="55" fillId="0" borderId="21" xfId="0" applyNumberFormat="1" applyFont="1" applyFill="1" applyBorder="1" applyAlignment="1">
      <alignment horizontal="center" vertical="center" wrapText="1"/>
    </xf>
    <xf numFmtId="182" fontId="0" fillId="0" borderId="4" xfId="0" applyNumberFormat="1" applyFont="1" applyBorder="1" applyAlignment="1">
      <alignment horizontal="center" vertical="center"/>
    </xf>
    <xf numFmtId="182" fontId="61" fillId="0" borderId="1" xfId="0" applyNumberFormat="1" applyFont="1" applyBorder="1" applyAlignment="1">
      <alignment horizontal="center" vertical="center"/>
    </xf>
    <xf numFmtId="182" fontId="61" fillId="0" borderId="21" xfId="0" applyNumberFormat="1" applyFont="1" applyBorder="1" applyAlignment="1">
      <alignment horizontal="center" vertical="center"/>
    </xf>
    <xf numFmtId="181" fontId="55" fillId="0" borderId="21" xfId="0" applyNumberFormat="1" applyFont="1" applyFill="1" applyBorder="1" applyAlignment="1">
      <alignment horizontal="center" vertical="center" wrapText="1"/>
    </xf>
    <xf numFmtId="215" fontId="0" fillId="0" borderId="1" xfId="0" applyNumberFormat="1" applyFont="1" applyBorder="1" applyAlignment="1">
      <alignment horizontal="center" vertical="center"/>
    </xf>
    <xf numFmtId="211" fontId="59" fillId="2" borderId="21" xfId="1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214" fontId="9" fillId="0" borderId="1" xfId="0" applyNumberFormat="1" applyFont="1" applyFill="1" applyBorder="1" applyAlignment="1">
      <alignment horizontal="center" vertical="center" wrapText="1"/>
    </xf>
    <xf numFmtId="180" fontId="55" fillId="0" borderId="21" xfId="0" applyNumberFormat="1" applyFont="1" applyFill="1" applyBorder="1" applyAlignment="1">
      <alignment horizontal="center" vertical="center" wrapText="1"/>
    </xf>
    <xf numFmtId="177" fontId="55" fillId="0" borderId="4" xfId="0" applyNumberFormat="1" applyFont="1" applyFill="1" applyBorder="1" applyAlignment="1">
      <alignment horizontal="center" vertical="center" wrapText="1"/>
    </xf>
    <xf numFmtId="183" fontId="55" fillId="3" borderId="4" xfId="0" applyNumberFormat="1" applyFont="1" applyFill="1" applyBorder="1" applyAlignment="1">
      <alignment horizontal="center" vertical="center" wrapText="1"/>
    </xf>
    <xf numFmtId="184" fontId="55" fillId="0" borderId="4" xfId="0" applyNumberFormat="1" applyFont="1" applyFill="1" applyBorder="1" applyAlignment="1">
      <alignment horizontal="center" vertical="center" wrapText="1"/>
    </xf>
    <xf numFmtId="211" fontId="12" fillId="11" borderId="4" xfId="1" applyNumberFormat="1" applyFont="1" applyFill="1" applyBorder="1" applyAlignment="1">
      <alignment horizontal="center" vertical="center"/>
    </xf>
    <xf numFmtId="182" fontId="0" fillId="0" borderId="4" xfId="0" applyNumberFormat="1" applyFont="1" applyBorder="1" applyAlignment="1">
      <alignment horizontal="right" vertical="center"/>
    </xf>
    <xf numFmtId="212" fontId="12" fillId="14" borderId="4" xfId="0" applyNumberFormat="1" applyFont="1" applyFill="1" applyBorder="1" applyAlignment="1">
      <alignment horizontal="center" vertical="center"/>
    </xf>
    <xf numFmtId="176" fontId="55" fillId="0" borderId="4" xfId="0" applyNumberFormat="1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179" fontId="9" fillId="0" borderId="19" xfId="0" applyNumberFormat="1" applyFont="1" applyFill="1" applyBorder="1" applyAlignment="1">
      <alignment horizontal="center" vertical="center" wrapText="1"/>
    </xf>
    <xf numFmtId="179" fontId="9" fillId="12" borderId="19" xfId="0" applyNumberFormat="1" applyFont="1" applyFill="1" applyBorder="1" applyAlignment="1">
      <alignment horizontal="center" vertical="center" wrapText="1"/>
    </xf>
    <xf numFmtId="0" fontId="57" fillId="10" borderId="4" xfId="146" applyFont="1" applyFill="1" applyBorder="1" applyAlignment="1">
      <alignment horizontal="center" vertical="center" wrapText="1"/>
    </xf>
    <xf numFmtId="182" fontId="61" fillId="0" borderId="19" xfId="0" applyNumberFormat="1" applyFont="1" applyBorder="1" applyAlignment="1">
      <alignment horizontal="center" vertical="center"/>
    </xf>
    <xf numFmtId="180" fontId="55" fillId="0" borderId="19" xfId="0" applyNumberFormat="1" applyFont="1" applyFill="1" applyBorder="1" applyAlignment="1">
      <alignment horizontal="center" vertical="center" wrapText="1"/>
    </xf>
    <xf numFmtId="181" fontId="56" fillId="0" borderId="19" xfId="0" applyNumberFormat="1" applyFont="1" applyFill="1" applyBorder="1" applyAlignment="1">
      <alignment horizontal="center" vertical="center" wrapText="1"/>
    </xf>
    <xf numFmtId="178" fontId="55" fillId="0" borderId="19" xfId="0" applyNumberFormat="1" applyFont="1" applyFill="1" applyBorder="1" applyAlignment="1">
      <alignment horizontal="center" vertical="center" wrapText="1"/>
    </xf>
    <xf numFmtId="183" fontId="9" fillId="9" borderId="19" xfId="0" applyNumberFormat="1" applyFont="1" applyFill="1" applyBorder="1" applyAlignment="1">
      <alignment horizontal="center" vertical="center" wrapText="1"/>
    </xf>
    <xf numFmtId="176" fontId="55" fillId="0" borderId="19" xfId="0" applyNumberFormat="1" applyFont="1" applyFill="1" applyBorder="1" applyAlignment="1">
      <alignment horizontal="center" vertical="center" wrapText="1"/>
    </xf>
    <xf numFmtId="179" fontId="55" fillId="3" borderId="19" xfId="0" applyNumberFormat="1" applyFont="1" applyFill="1" applyBorder="1" applyAlignment="1">
      <alignment horizontal="center" vertical="center" wrapText="1"/>
    </xf>
    <xf numFmtId="183" fontId="56" fillId="3" borderId="19" xfId="0" applyNumberFormat="1" applyFont="1" applyFill="1" applyBorder="1" applyAlignment="1">
      <alignment horizontal="center" vertical="center" wrapText="1"/>
    </xf>
    <xf numFmtId="177" fontId="55" fillId="0" borderId="19" xfId="0" applyNumberFormat="1" applyFont="1" applyFill="1" applyBorder="1" applyAlignment="1">
      <alignment horizontal="center" vertical="center" wrapText="1"/>
    </xf>
    <xf numFmtId="181" fontId="55" fillId="0" borderId="19" xfId="0" applyNumberFormat="1" applyFont="1" applyFill="1" applyBorder="1" applyAlignment="1">
      <alignment horizontal="center" vertical="center" wrapText="1"/>
    </xf>
    <xf numFmtId="0" fontId="59" fillId="0" borderId="19" xfId="146" applyFont="1" applyFill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217" fontId="0" fillId="0" borderId="1" xfId="0" applyNumberFormat="1" applyFont="1" applyBorder="1" applyAlignment="1">
      <alignment horizontal="center" vertical="center"/>
    </xf>
    <xf numFmtId="216" fontId="0" fillId="0" borderId="1" xfId="0" applyNumberFormat="1" applyFont="1" applyBorder="1" applyAlignment="1">
      <alignment horizontal="center" vertical="center"/>
    </xf>
    <xf numFmtId="179" fontId="9" fillId="12" borderId="2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212" fontId="60" fillId="0" borderId="1" xfId="0" applyNumberFormat="1" applyFont="1" applyBorder="1" applyAlignment="1">
      <alignment horizontal="right" vertical="center" shrinkToFit="1"/>
    </xf>
    <xf numFmtId="179" fontId="9" fillId="0" borderId="21" xfId="0" applyNumberFormat="1" applyFont="1" applyFill="1" applyBorder="1" applyAlignment="1">
      <alignment horizontal="center" vertical="center" wrapText="1"/>
    </xf>
    <xf numFmtId="183" fontId="56" fillId="3" borderId="21" xfId="0" applyNumberFormat="1" applyFont="1" applyFill="1" applyBorder="1" applyAlignment="1">
      <alignment horizontal="center" vertical="center" wrapText="1"/>
    </xf>
    <xf numFmtId="181" fontId="56" fillId="0" borderId="21" xfId="0" applyNumberFormat="1" applyFont="1" applyFill="1" applyBorder="1" applyAlignment="1">
      <alignment horizontal="center" vertical="center" wrapText="1"/>
    </xf>
    <xf numFmtId="215" fontId="0" fillId="0" borderId="1" xfId="0" applyNumberFormat="1" applyFont="1" applyBorder="1" applyAlignment="1">
      <alignment horizontal="right" vertical="center"/>
    </xf>
    <xf numFmtId="182" fontId="0" fillId="0" borderId="1" xfId="0" applyNumberFormat="1" applyFont="1" applyBorder="1" applyAlignment="1">
      <alignment horizontal="right" vertical="center"/>
    </xf>
    <xf numFmtId="184" fontId="55" fillId="0" borderId="21" xfId="0" applyNumberFormat="1" applyFont="1" applyFill="1" applyBorder="1" applyAlignment="1">
      <alignment horizontal="center" vertical="center" wrapText="1"/>
    </xf>
    <xf numFmtId="218" fontId="0" fillId="0" borderId="4" xfId="0" applyNumberFormat="1" applyFont="1" applyBorder="1" applyAlignment="1">
      <alignment horizontal="center" vertical="center"/>
    </xf>
    <xf numFmtId="183" fontId="9" fillId="9" borderId="21" xfId="0" applyNumberFormat="1" applyFont="1" applyFill="1" applyBorder="1" applyAlignment="1">
      <alignment horizontal="center" vertical="center" wrapText="1"/>
    </xf>
    <xf numFmtId="177" fontId="55" fillId="0" borderId="21" xfId="0" applyNumberFormat="1" applyFont="1" applyFill="1" applyBorder="1" applyAlignment="1">
      <alignment horizontal="center" vertical="center" wrapText="1"/>
    </xf>
    <xf numFmtId="183" fontId="55" fillId="3" borderId="2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176" fontId="55" fillId="0" borderId="21" xfId="0" applyNumberFormat="1" applyFont="1" applyFill="1" applyBorder="1" applyAlignment="1">
      <alignment horizontal="center" vertical="center" wrapText="1"/>
    </xf>
    <xf numFmtId="211" fontId="12" fillId="2" borderId="21" xfId="1" applyNumberFormat="1" applyFont="1" applyFill="1" applyBorder="1" applyAlignment="1">
      <alignment horizontal="center" vertical="center"/>
    </xf>
    <xf numFmtId="179" fontId="55" fillId="3" borderId="21" xfId="0" applyNumberFormat="1" applyFont="1" applyFill="1" applyBorder="1" applyAlignment="1">
      <alignment horizontal="center" vertical="center" wrapText="1"/>
    </xf>
    <xf numFmtId="182" fontId="0" fillId="0" borderId="21" xfId="0" applyNumberFormat="1" applyFont="1" applyBorder="1" applyAlignment="1">
      <alignment horizontal="center" vertical="center"/>
    </xf>
    <xf numFmtId="182" fontId="0" fillId="0" borderId="21" xfId="0" applyNumberFormat="1" applyFont="1" applyBorder="1" applyAlignment="1">
      <alignment horizontal="right" vertical="center"/>
    </xf>
    <xf numFmtId="0" fontId="0" fillId="0" borderId="21" xfId="0" applyFont="1" applyBorder="1" applyAlignment="1">
      <alignment horizontal="center" vertical="center"/>
    </xf>
    <xf numFmtId="179" fontId="9" fillId="12" borderId="4" xfId="0" applyNumberFormat="1" applyFont="1" applyFill="1" applyBorder="1" applyAlignment="1">
      <alignment horizontal="center" vertical="center" wrapText="1"/>
    </xf>
    <xf numFmtId="181" fontId="55" fillId="0" borderId="4" xfId="0" applyNumberFormat="1" applyFont="1" applyFill="1" applyBorder="1" applyAlignment="1">
      <alignment horizontal="center" vertical="center" wrapText="1"/>
    </xf>
    <xf numFmtId="182" fontId="61" fillId="0" borderId="4" xfId="0" applyNumberFormat="1" applyFont="1" applyBorder="1" applyAlignment="1">
      <alignment horizontal="center" vertical="center"/>
    </xf>
    <xf numFmtId="183" fontId="9" fillId="8" borderId="4" xfId="0" applyNumberFormat="1" applyFont="1" applyFill="1" applyBorder="1" applyAlignment="1">
      <alignment horizontal="center" vertical="center" wrapText="1"/>
    </xf>
    <xf numFmtId="180" fontId="55" fillId="0" borderId="4" xfId="0" applyNumberFormat="1" applyFont="1" applyFill="1" applyBorder="1" applyAlignment="1">
      <alignment horizontal="center" vertical="center" wrapText="1"/>
    </xf>
    <xf numFmtId="178" fontId="55" fillId="0" borderId="4" xfId="0" applyNumberFormat="1" applyFont="1" applyFill="1" applyBorder="1" applyAlignment="1">
      <alignment horizontal="center" vertical="center" wrapText="1"/>
    </xf>
    <xf numFmtId="183" fontId="9" fillId="9" borderId="4" xfId="0" applyNumberFormat="1" applyFont="1" applyFill="1" applyBorder="1" applyAlignment="1">
      <alignment horizontal="center" vertical="center" wrapText="1"/>
    </xf>
    <xf numFmtId="183" fontId="56" fillId="3" borderId="4" xfId="0" applyNumberFormat="1" applyFont="1" applyFill="1" applyBorder="1" applyAlignment="1">
      <alignment horizontal="center" vertical="center" wrapText="1"/>
    </xf>
    <xf numFmtId="181" fontId="56" fillId="0" borderId="4" xfId="0" applyNumberFormat="1" applyFont="1" applyFill="1" applyBorder="1" applyAlignment="1">
      <alignment horizontal="center" vertical="center" wrapText="1"/>
    </xf>
    <xf numFmtId="179" fontId="55" fillId="3" borderId="4" xfId="0" applyNumberFormat="1" applyFont="1" applyFill="1" applyBorder="1" applyAlignment="1">
      <alignment horizontal="center" vertical="center" wrapText="1"/>
    </xf>
    <xf numFmtId="182" fontId="0" fillId="0" borderId="19" xfId="0" applyNumberFormat="1" applyFont="1" applyBorder="1" applyAlignment="1">
      <alignment horizontal="right" vertical="center"/>
    </xf>
    <xf numFmtId="183" fontId="9" fillId="8" borderId="19" xfId="0" applyNumberFormat="1" applyFont="1" applyFill="1" applyBorder="1" applyAlignment="1">
      <alignment horizontal="center" vertical="center" wrapText="1"/>
    </xf>
    <xf numFmtId="211" fontId="59" fillId="2" borderId="19" xfId="1" applyNumberFormat="1" applyFont="1" applyFill="1" applyBorder="1" applyAlignment="1">
      <alignment horizontal="center" vertical="center"/>
    </xf>
    <xf numFmtId="182" fontId="0" fillId="0" borderId="19" xfId="0" applyNumberFormat="1" applyFont="1" applyBorder="1" applyAlignment="1">
      <alignment horizontal="center" vertical="center"/>
    </xf>
    <xf numFmtId="184" fontId="55" fillId="0" borderId="19" xfId="0" applyNumberFormat="1" applyFont="1" applyFill="1" applyBorder="1" applyAlignment="1">
      <alignment horizontal="center" vertical="center" wrapText="1"/>
    </xf>
    <xf numFmtId="183" fontId="55" fillId="3" borderId="19" xfId="0" applyNumberFormat="1" applyFont="1" applyFill="1" applyBorder="1" applyAlignment="1">
      <alignment horizontal="center" vertical="center" wrapText="1"/>
    </xf>
    <xf numFmtId="212" fontId="60" fillId="0" borderId="1" xfId="0" applyNumberFormat="1" applyFont="1" applyBorder="1" applyAlignment="1">
      <alignment horizontal="right" vertical="center" shrinkToFit="1"/>
    </xf>
    <xf numFmtId="0" fontId="59" fillId="0" borderId="1" xfId="0" applyFont="1" applyBorder="1" applyAlignment="1">
      <alignment horizontal="center" vertical="center"/>
    </xf>
    <xf numFmtId="212" fontId="60" fillId="0" borderId="19" xfId="0" applyNumberFormat="1" applyFont="1" applyBorder="1" applyAlignment="1">
      <alignment horizontal="right" vertical="center" shrinkToFit="1"/>
    </xf>
    <xf numFmtId="0" fontId="59" fillId="0" borderId="1" xfId="146" applyFont="1" applyFill="1" applyBorder="1" applyAlignment="1">
      <alignment horizontal="center" vertical="center"/>
    </xf>
    <xf numFmtId="211" fontId="59" fillId="2" borderId="1" xfId="1" applyNumberFormat="1" applyFont="1" applyFill="1" applyBorder="1" applyAlignment="1">
      <alignment horizontal="center" vertical="center"/>
    </xf>
    <xf numFmtId="211" fontId="12" fillId="2" borderId="4" xfId="1" applyNumberFormat="1" applyFont="1" applyFill="1" applyBorder="1" applyAlignment="1">
      <alignment horizontal="center" vertical="center"/>
    </xf>
    <xf numFmtId="211" fontId="12" fillId="11" borderId="4" xfId="1" applyNumberFormat="1" applyFont="1" applyFill="1" applyBorder="1" applyAlignment="1">
      <alignment horizontal="right" vertical="center"/>
    </xf>
    <xf numFmtId="218" fontId="0" fillId="0" borderId="1" xfId="0" applyNumberFormat="1" applyFont="1" applyBorder="1" applyAlignment="1">
      <alignment horizontal="center" vertical="center"/>
    </xf>
    <xf numFmtId="0" fontId="59" fillId="0" borderId="21" xfId="146" applyFont="1" applyFill="1" applyBorder="1" applyAlignment="1">
      <alignment horizontal="center" vertical="center"/>
    </xf>
    <xf numFmtId="182" fontId="0" fillId="0" borderId="19" xfId="0" applyNumberFormat="1" applyFont="1" applyBorder="1" applyAlignment="1">
      <alignment horizontal="center" vertical="center"/>
    </xf>
    <xf numFmtId="212" fontId="60" fillId="0" borderId="21" xfId="0" applyNumberFormat="1" applyFont="1" applyBorder="1" applyAlignment="1">
      <alignment horizontal="right" vertical="center" shrinkToFit="1"/>
    </xf>
    <xf numFmtId="212" fontId="60" fillId="0" borderId="1" xfId="0" applyNumberFormat="1" applyFont="1" applyBorder="1" applyAlignment="1">
      <alignment horizontal="right" vertical="center" shrinkToFit="1"/>
    </xf>
    <xf numFmtId="0" fontId="59" fillId="0" borderId="1" xfId="146" applyFont="1" applyFill="1" applyBorder="1" applyAlignment="1">
      <alignment horizontal="center" vertical="center"/>
    </xf>
    <xf numFmtId="211" fontId="59" fillId="2" borderId="1" xfId="1" applyNumberFormat="1" applyFont="1" applyFill="1" applyBorder="1" applyAlignment="1">
      <alignment horizontal="center" vertical="center"/>
    </xf>
    <xf numFmtId="212" fontId="60" fillId="0" borderId="1" xfId="0" applyNumberFormat="1" applyFont="1" applyBorder="1" applyAlignment="1">
      <alignment vertical="center" shrinkToFit="1"/>
    </xf>
    <xf numFmtId="182" fontId="0" fillId="0" borderId="1" xfId="0" applyNumberFormat="1" applyFont="1" applyBorder="1" applyAlignment="1">
      <alignment horizontal="center" vertical="center"/>
    </xf>
    <xf numFmtId="182" fontId="0" fillId="0" borderId="19" xfId="0" applyNumberFormat="1" applyFont="1" applyBorder="1" applyAlignment="1">
      <alignment horizontal="center" vertical="center"/>
    </xf>
    <xf numFmtId="182" fontId="0" fillId="0" borderId="2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84" fontId="56" fillId="0" borderId="2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/>
    </xf>
    <xf numFmtId="184" fontId="56" fillId="0" borderId="1" xfId="0" applyNumberFormat="1" applyFont="1" applyFill="1" applyBorder="1" applyAlignment="1">
      <alignment horizontal="center" vertical="center" wrapText="1"/>
    </xf>
    <xf numFmtId="49" fontId="0" fillId="0" borderId="21" xfId="0" applyNumberFormat="1" applyFont="1" applyBorder="1" applyAlignment="1">
      <alignment horizontal="center" vertical="center"/>
    </xf>
    <xf numFmtId="0" fontId="59" fillId="0" borderId="1" xfId="146" applyFont="1" applyFill="1" applyBorder="1" applyAlignment="1">
      <alignment horizontal="center" vertical="center"/>
    </xf>
    <xf numFmtId="212" fontId="60" fillId="0" borderId="21" xfId="0" applyNumberFormat="1" applyFont="1" applyBorder="1" applyAlignment="1">
      <alignment vertical="center" shrinkToFit="1"/>
    </xf>
    <xf numFmtId="211" fontId="59" fillId="2" borderId="1" xfId="1" applyNumberFormat="1" applyFont="1" applyFill="1" applyBorder="1" applyAlignment="1">
      <alignment horizontal="center" vertical="center"/>
    </xf>
    <xf numFmtId="212" fontId="60" fillId="0" borderId="1" xfId="0" applyNumberFormat="1" applyFont="1" applyBorder="1" applyAlignment="1">
      <alignment vertical="center" shrinkToFit="1"/>
    </xf>
    <xf numFmtId="211" fontId="12" fillId="2" borderId="4" xfId="1" applyNumberFormat="1" applyFont="1" applyFill="1" applyBorder="1" applyAlignment="1">
      <alignment horizontal="center" vertical="center"/>
    </xf>
    <xf numFmtId="212" fontId="60" fillId="0" borderId="4" xfId="0" applyNumberFormat="1" applyFont="1" applyBorder="1" applyAlignment="1">
      <alignment vertical="center" shrinkToFit="1"/>
    </xf>
    <xf numFmtId="212" fontId="60" fillId="0" borderId="21" xfId="0" applyNumberFormat="1" applyFont="1" applyBorder="1" applyAlignment="1">
      <alignment horizontal="right" vertical="center" shrinkToFit="1"/>
    </xf>
    <xf numFmtId="212" fontId="60" fillId="0" borderId="1" xfId="0" applyNumberFormat="1" applyFont="1" applyBorder="1" applyAlignment="1">
      <alignment horizontal="right" vertical="center" shrinkToFit="1"/>
    </xf>
    <xf numFmtId="212" fontId="60" fillId="0" borderId="19" xfId="0" applyNumberFormat="1" applyFont="1" applyBorder="1" applyAlignment="1">
      <alignment horizontal="right" vertical="center" shrinkToFit="1"/>
    </xf>
    <xf numFmtId="0" fontId="59" fillId="0" borderId="1" xfId="146" applyFont="1" applyFill="1" applyBorder="1" applyAlignment="1">
      <alignment horizontal="center" vertical="center"/>
    </xf>
    <xf numFmtId="0" fontId="59" fillId="0" borderId="4" xfId="146" applyFont="1" applyFill="1" applyBorder="1" applyAlignment="1">
      <alignment horizontal="center" vertical="center"/>
    </xf>
    <xf numFmtId="211" fontId="59" fillId="2" borderId="4" xfId="1" applyNumberFormat="1" applyFont="1" applyFill="1" applyBorder="1" applyAlignment="1">
      <alignment horizontal="center" vertical="center"/>
    </xf>
    <xf numFmtId="211" fontId="12" fillId="2" borderId="19" xfId="1" applyNumberFormat="1" applyFont="1" applyFill="1" applyBorder="1" applyAlignment="1">
      <alignment horizontal="center" vertical="center"/>
    </xf>
    <xf numFmtId="212" fontId="60" fillId="0" borderId="4" xfId="0" applyNumberFormat="1" applyFont="1" applyBorder="1" applyAlignment="1">
      <alignment vertical="center" shrinkToFit="1"/>
    </xf>
    <xf numFmtId="182" fontId="0" fillId="0" borderId="1" xfId="0" applyNumberFormat="1" applyFont="1" applyBorder="1" applyAlignment="1">
      <alignment horizontal="center" vertical="center"/>
    </xf>
    <xf numFmtId="182" fontId="0" fillId="0" borderId="4" xfId="0" applyNumberFormat="1" applyFont="1" applyBorder="1" applyAlignment="1">
      <alignment horizontal="center" vertical="center"/>
    </xf>
    <xf numFmtId="218" fontId="0" fillId="0" borderId="1" xfId="0" applyNumberFormat="1" applyFont="1" applyBorder="1" applyAlignment="1">
      <alignment horizontal="center" vertical="center"/>
    </xf>
    <xf numFmtId="218" fontId="0" fillId="0" borderId="4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57" fillId="10" borderId="1" xfId="146" applyFont="1" applyFill="1" applyBorder="1" applyAlignment="1">
      <alignment horizontal="center" vertical="center" wrapText="1"/>
    </xf>
    <xf numFmtId="211" fontId="12" fillId="16" borderId="11" xfId="1" applyNumberFormat="1" applyFont="1" applyFill="1" applyBorder="1" applyAlignment="1">
      <alignment horizontal="right" vertical="center"/>
    </xf>
    <xf numFmtId="211" fontId="12" fillId="16" borderId="11" xfId="1" applyNumberFormat="1" applyFont="1" applyFill="1" applyBorder="1" applyAlignment="1">
      <alignment horizontal="center" vertical="center"/>
    </xf>
    <xf numFmtId="212" fontId="12" fillId="16" borderId="11" xfId="0" applyNumberFormat="1" applyFont="1" applyFill="1" applyBorder="1" applyAlignment="1">
      <alignment horizontal="center" vertical="center"/>
    </xf>
    <xf numFmtId="0" fontId="57" fillId="14" borderId="1" xfId="146" applyFont="1" applyFill="1" applyBorder="1" applyAlignment="1">
      <alignment horizontal="center" vertical="center" wrapText="1"/>
    </xf>
    <xf numFmtId="0" fontId="58" fillId="16" borderId="11" xfId="0" applyFont="1" applyFill="1" applyBorder="1" applyAlignment="1">
      <alignment horizontal="center" vertical="center"/>
    </xf>
    <xf numFmtId="211" fontId="59" fillId="11" borderId="1" xfId="1" applyNumberFormat="1" applyFont="1" applyFill="1" applyBorder="1" applyAlignment="1">
      <alignment horizontal="center" vertical="center"/>
    </xf>
    <xf numFmtId="212" fontId="60" fillId="0" borderId="1" xfId="0" applyNumberFormat="1" applyFont="1" applyBorder="1" applyAlignment="1">
      <alignment horizontal="right" vertical="center" shrinkToFit="1"/>
    </xf>
    <xf numFmtId="212" fontId="60" fillId="0" borderId="19" xfId="0" applyNumberFormat="1" applyFont="1" applyBorder="1" applyAlignment="1">
      <alignment horizontal="right" vertical="center" shrinkToFit="1"/>
    </xf>
    <xf numFmtId="0" fontId="59" fillId="0" borderId="1" xfId="146" applyFont="1" applyFill="1" applyBorder="1" applyAlignment="1">
      <alignment horizontal="center" vertical="center"/>
    </xf>
    <xf numFmtId="212" fontId="60" fillId="0" borderId="21" xfId="0" applyNumberFormat="1" applyFont="1" applyBorder="1" applyAlignment="1">
      <alignment vertical="center" shrinkToFit="1"/>
    </xf>
    <xf numFmtId="212" fontId="60" fillId="15" borderId="1" xfId="0" applyNumberFormat="1" applyFont="1" applyFill="1" applyBorder="1" applyAlignment="1">
      <alignment horizontal="right" vertical="center" shrinkToFit="1"/>
    </xf>
    <xf numFmtId="211" fontId="59" fillId="2" borderId="1" xfId="1" applyNumberFormat="1" applyFont="1" applyFill="1" applyBorder="1" applyAlignment="1">
      <alignment horizontal="center" vertical="center"/>
    </xf>
    <xf numFmtId="212" fontId="60" fillId="0" borderId="1" xfId="0" applyNumberFormat="1" applyFont="1" applyBorder="1" applyAlignment="1">
      <alignment vertical="center" shrinkToFit="1"/>
    </xf>
    <xf numFmtId="211" fontId="12" fillId="2" borderId="19" xfId="1" applyNumberFormat="1" applyFont="1" applyFill="1" applyBorder="1" applyAlignment="1">
      <alignment horizontal="center" vertical="center"/>
    </xf>
    <xf numFmtId="211" fontId="12" fillId="11" borderId="1" xfId="1" applyNumberFormat="1" applyFont="1" applyFill="1" applyBorder="1" applyAlignment="1">
      <alignment horizontal="right" vertical="center"/>
    </xf>
    <xf numFmtId="0" fontId="53" fillId="0" borderId="0" xfId="0" applyFont="1">
      <alignment vertical="center"/>
    </xf>
    <xf numFmtId="214" fontId="58" fillId="16" borderId="11" xfId="0" applyNumberFormat="1" applyFont="1" applyFill="1" applyBorder="1" applyAlignment="1">
      <alignment horizontal="center" vertical="center" wrapText="1"/>
    </xf>
    <xf numFmtId="182" fontId="53" fillId="16" borderId="11" xfId="0" applyNumberFormat="1" applyFont="1" applyFill="1" applyBorder="1" applyAlignment="1">
      <alignment horizontal="right" vertical="center"/>
    </xf>
    <xf numFmtId="182" fontId="53" fillId="16" borderId="11" xfId="0" applyNumberFormat="1" applyFont="1" applyFill="1" applyBorder="1" applyAlignment="1">
      <alignment horizontal="center" vertical="center"/>
    </xf>
    <xf numFmtId="218" fontId="53" fillId="16" borderId="11" xfId="0" applyNumberFormat="1" applyFont="1" applyFill="1" applyBorder="1" applyAlignment="1">
      <alignment horizontal="center" vertical="center"/>
    </xf>
    <xf numFmtId="179" fontId="63" fillId="16" borderId="11" xfId="0" applyNumberFormat="1" applyFont="1" applyFill="1" applyBorder="1" applyAlignment="1">
      <alignment horizontal="center" vertical="center" wrapText="1"/>
    </xf>
    <xf numFmtId="176" fontId="63" fillId="16" borderId="11" xfId="0" applyNumberFormat="1" applyFont="1" applyFill="1" applyBorder="1" applyAlignment="1">
      <alignment horizontal="center" vertical="center" wrapText="1"/>
    </xf>
    <xf numFmtId="184" fontId="63" fillId="16" borderId="11" xfId="0" applyNumberFormat="1" applyFont="1" applyFill="1" applyBorder="1" applyAlignment="1">
      <alignment horizontal="center" vertical="center" wrapText="1"/>
    </xf>
    <xf numFmtId="183" fontId="63" fillId="16" borderId="11" xfId="0" applyNumberFormat="1" applyFont="1" applyFill="1" applyBorder="1" applyAlignment="1">
      <alignment horizontal="center" vertical="center" wrapText="1"/>
    </xf>
    <xf numFmtId="177" fontId="63" fillId="16" borderId="11" xfId="0" applyNumberFormat="1" applyFont="1" applyFill="1" applyBorder="1" applyAlignment="1">
      <alignment horizontal="center" vertical="center" wrapText="1"/>
    </xf>
    <xf numFmtId="181" fontId="3" fillId="16" borderId="11" xfId="0" applyNumberFormat="1" applyFont="1" applyFill="1" applyBorder="1" applyAlignment="1">
      <alignment horizontal="center" vertical="center" wrapText="1"/>
    </xf>
    <xf numFmtId="183" fontId="3" fillId="16" borderId="11" xfId="0" applyNumberFormat="1" applyFont="1" applyFill="1" applyBorder="1" applyAlignment="1">
      <alignment horizontal="center" vertical="center" wrapText="1"/>
    </xf>
    <xf numFmtId="183" fontId="64" fillId="16" borderId="11" xfId="0" applyNumberFormat="1" applyFont="1" applyFill="1" applyBorder="1" applyAlignment="1">
      <alignment horizontal="center" vertical="center" wrapText="1"/>
    </xf>
    <xf numFmtId="178" fontId="63" fillId="16" borderId="11" xfId="0" applyNumberFormat="1" applyFont="1" applyFill="1" applyBorder="1" applyAlignment="1">
      <alignment horizontal="center" vertical="center" wrapText="1"/>
    </xf>
    <xf numFmtId="180" fontId="63" fillId="16" borderId="11" xfId="0" applyNumberFormat="1" applyFont="1" applyFill="1" applyBorder="1" applyAlignment="1">
      <alignment horizontal="center" vertical="center" wrapText="1"/>
    </xf>
    <xf numFmtId="182" fontId="12" fillId="16" borderId="11" xfId="0" applyNumberFormat="1" applyFont="1" applyFill="1" applyBorder="1" applyAlignment="1">
      <alignment horizontal="center" vertical="center"/>
    </xf>
    <xf numFmtId="181" fontId="63" fillId="16" borderId="11" xfId="0" applyNumberFormat="1" applyFont="1" applyFill="1" applyBorder="1" applyAlignment="1">
      <alignment horizontal="center" vertical="center" wrapText="1"/>
    </xf>
    <xf numFmtId="179" fontId="64" fillId="16" borderId="11" xfId="0" applyNumberFormat="1" applyFont="1" applyFill="1" applyBorder="1" applyAlignment="1">
      <alignment horizontal="center" vertical="center" wrapText="1"/>
    </xf>
    <xf numFmtId="179" fontId="64" fillId="16" borderId="23" xfId="0" applyNumberFormat="1" applyFont="1" applyFill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180" fontId="63" fillId="17" borderId="0" xfId="0" applyNumberFormat="1" applyFont="1" applyFill="1" applyBorder="1" applyAlignment="1">
      <alignment horizontal="center" vertical="center" wrapText="1"/>
    </xf>
    <xf numFmtId="0" fontId="57" fillId="15" borderId="1" xfId="146" applyFont="1" applyFill="1" applyBorder="1" applyAlignment="1">
      <alignment horizontal="center" vertical="center" wrapText="1"/>
    </xf>
    <xf numFmtId="183" fontId="64" fillId="17" borderId="0" xfId="0" applyNumberFormat="1" applyFont="1" applyFill="1" applyBorder="1" applyAlignment="1">
      <alignment horizontal="center" vertical="center" wrapText="1"/>
    </xf>
    <xf numFmtId="177" fontId="63" fillId="17" borderId="0" xfId="0" applyNumberFormat="1" applyFont="1" applyFill="1" applyBorder="1" applyAlignment="1">
      <alignment horizontal="center" vertical="center" wrapText="1"/>
    </xf>
    <xf numFmtId="179" fontId="63" fillId="17" borderId="0" xfId="0" applyNumberFormat="1" applyFont="1" applyFill="1" applyBorder="1" applyAlignment="1">
      <alignment horizontal="center" vertical="center" wrapText="1"/>
    </xf>
    <xf numFmtId="183" fontId="63" fillId="17" borderId="0" xfId="0" applyNumberFormat="1" applyFont="1" applyFill="1" applyBorder="1" applyAlignment="1">
      <alignment horizontal="center" vertical="center" wrapText="1"/>
    </xf>
    <xf numFmtId="179" fontId="64" fillId="17" borderId="7" xfId="0" applyNumberFormat="1" applyFont="1" applyFill="1" applyBorder="1" applyAlignment="1">
      <alignment horizontal="center" vertical="center" wrapText="1"/>
    </xf>
    <xf numFmtId="211" fontId="12" fillId="17" borderId="0" xfId="1" applyNumberFormat="1" applyFont="1" applyFill="1" applyBorder="1" applyAlignment="1">
      <alignment horizontal="center" vertical="center"/>
    </xf>
    <xf numFmtId="211" fontId="12" fillId="17" borderId="0" xfId="1" applyNumberFormat="1" applyFont="1" applyFill="1" applyBorder="1" applyAlignment="1">
      <alignment horizontal="right" vertical="center"/>
    </xf>
    <xf numFmtId="184" fontId="63" fillId="17" borderId="0" xfId="0" applyNumberFormat="1" applyFont="1" applyFill="1" applyBorder="1" applyAlignment="1">
      <alignment horizontal="center" vertical="center" wrapText="1"/>
    </xf>
    <xf numFmtId="211" fontId="62" fillId="2" borderId="1" xfId="1" applyNumberFormat="1" applyFont="1" applyFill="1" applyBorder="1" applyAlignment="1">
      <alignment horizontal="center" vertical="center"/>
    </xf>
    <xf numFmtId="181" fontId="3" fillId="17" borderId="0" xfId="0" applyNumberFormat="1" applyFont="1" applyFill="1" applyBorder="1" applyAlignment="1">
      <alignment horizontal="center" vertical="center" wrapText="1"/>
    </xf>
    <xf numFmtId="183" fontId="3" fillId="17" borderId="0" xfId="0" applyNumberFormat="1" applyFont="1" applyFill="1" applyBorder="1" applyAlignment="1">
      <alignment horizontal="center" vertical="center" wrapText="1"/>
    </xf>
    <xf numFmtId="0" fontId="58" fillId="17" borderId="0" xfId="0" applyFont="1" applyFill="1" applyBorder="1" applyAlignment="1">
      <alignment horizontal="center" vertical="center"/>
    </xf>
    <xf numFmtId="182" fontId="53" fillId="17" borderId="0" xfId="0" applyNumberFormat="1" applyFont="1" applyFill="1" applyBorder="1" applyAlignment="1">
      <alignment horizontal="right" vertical="center"/>
    </xf>
    <xf numFmtId="179" fontId="64" fillId="17" borderId="0" xfId="0" applyNumberFormat="1" applyFont="1" applyFill="1" applyBorder="1" applyAlignment="1">
      <alignment horizontal="center" vertical="center" wrapText="1"/>
    </xf>
    <xf numFmtId="182" fontId="12" fillId="17" borderId="0" xfId="0" applyNumberFormat="1" applyFont="1" applyFill="1" applyBorder="1" applyAlignment="1">
      <alignment horizontal="center" vertical="center"/>
    </xf>
    <xf numFmtId="176" fontId="63" fillId="17" borderId="0" xfId="0" applyNumberFormat="1" applyFont="1" applyFill="1" applyBorder="1" applyAlignment="1">
      <alignment horizontal="center" vertical="center" wrapText="1"/>
    </xf>
    <xf numFmtId="214" fontId="58" fillId="17" borderId="0" xfId="0" applyNumberFormat="1" applyFont="1" applyFill="1" applyBorder="1" applyAlignment="1">
      <alignment horizontal="center" vertical="center" wrapText="1"/>
    </xf>
    <xf numFmtId="212" fontId="12" fillId="17" borderId="0" xfId="0" applyNumberFormat="1" applyFont="1" applyFill="1" applyBorder="1" applyAlignment="1">
      <alignment horizontal="center" vertical="center"/>
    </xf>
    <xf numFmtId="181" fontId="63" fillId="17" borderId="0" xfId="0" applyNumberFormat="1" applyFont="1" applyFill="1" applyBorder="1" applyAlignment="1">
      <alignment horizontal="center" vertical="center" wrapText="1"/>
    </xf>
    <xf numFmtId="178" fontId="63" fillId="17" borderId="0" xfId="0" applyNumberFormat="1" applyFont="1" applyFill="1" applyBorder="1" applyAlignment="1">
      <alignment horizontal="center" vertical="center" wrapText="1"/>
    </xf>
    <xf numFmtId="182" fontId="53" fillId="17" borderId="0" xfId="0" applyNumberFormat="1" applyFont="1" applyFill="1" applyBorder="1" applyAlignment="1">
      <alignment horizontal="center" vertical="center"/>
    </xf>
    <xf numFmtId="218" fontId="53" fillId="17" borderId="0" xfId="0" applyNumberFormat="1" applyFont="1" applyFill="1" applyBorder="1" applyAlignment="1">
      <alignment horizontal="center" vertical="center"/>
    </xf>
    <xf numFmtId="182" fontId="0" fillId="0" borderId="1" xfId="0" applyNumberFormat="1" applyFont="1" applyBorder="1" applyAlignment="1">
      <alignment horizontal="center" vertical="center"/>
    </xf>
    <xf numFmtId="182" fontId="0" fillId="0" borderId="19" xfId="0" applyNumberFormat="1" applyFont="1" applyBorder="1" applyAlignment="1">
      <alignment horizontal="center" vertical="center"/>
    </xf>
    <xf numFmtId="182" fontId="0" fillId="0" borderId="2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82" fontId="0" fillId="0" borderId="4" xfId="0" applyNumberFormat="1" applyFont="1" applyBorder="1" applyAlignment="1">
      <alignment horizontal="center" vertical="center"/>
    </xf>
    <xf numFmtId="179" fontId="9" fillId="18" borderId="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179" fontId="9" fillId="18" borderId="19" xfId="0" applyNumberFormat="1" applyFont="1" applyFill="1" applyBorder="1" applyAlignment="1">
      <alignment horizontal="center" vertical="center" wrapText="1"/>
    </xf>
    <xf numFmtId="219" fontId="53" fillId="17" borderId="0" xfId="0" applyNumberFormat="1" applyFont="1" applyFill="1" applyBorder="1" applyAlignment="1">
      <alignment horizontal="center" vertical="center"/>
    </xf>
    <xf numFmtId="179" fontId="9" fillId="18" borderId="4" xfId="0" applyNumberFormat="1" applyFont="1" applyFill="1" applyBorder="1" applyAlignment="1">
      <alignment horizontal="center" vertical="center" wrapText="1"/>
    </xf>
    <xf numFmtId="211" fontId="62" fillId="2" borderId="21" xfId="1" applyNumberFormat="1" applyFont="1" applyFill="1" applyBorder="1" applyAlignment="1">
      <alignment horizontal="center" vertical="center"/>
    </xf>
    <xf numFmtId="212" fontId="60" fillId="0" borderId="1" xfId="0" applyNumberFormat="1" applyFont="1" applyBorder="1" applyAlignment="1">
      <alignment horizontal="right" vertical="center" shrinkToFit="1"/>
    </xf>
    <xf numFmtId="0" fontId="59" fillId="0" borderId="1" xfId="146" applyFont="1" applyFill="1" applyBorder="1" applyAlignment="1">
      <alignment horizontal="center" vertical="center"/>
    </xf>
    <xf numFmtId="0" fontId="59" fillId="0" borderId="4" xfId="146" applyFont="1" applyFill="1" applyBorder="1" applyAlignment="1">
      <alignment horizontal="center" vertical="center"/>
    </xf>
    <xf numFmtId="211" fontId="59" fillId="2" borderId="4" xfId="1" applyNumberFormat="1" applyFont="1" applyFill="1" applyBorder="1" applyAlignment="1">
      <alignment horizontal="center" vertical="center"/>
    </xf>
    <xf numFmtId="212" fontId="60" fillId="0" borderId="4" xfId="0" applyNumberFormat="1" applyFont="1" applyBorder="1" applyAlignment="1">
      <alignment vertical="center" shrinkToFit="1"/>
    </xf>
    <xf numFmtId="0" fontId="0" fillId="0" borderId="1" xfId="0" applyFont="1" applyBorder="1" applyAlignment="1">
      <alignment horizontal="center" vertical="center"/>
    </xf>
    <xf numFmtId="212" fontId="60" fillId="0" borderId="1" xfId="0" applyNumberFormat="1" applyFont="1" applyBorder="1" applyAlignment="1">
      <alignment horizontal="right" vertical="center" shrinkToFit="1"/>
    </xf>
    <xf numFmtId="212" fontId="60" fillId="0" borderId="19" xfId="0" applyNumberFormat="1" applyFont="1" applyBorder="1" applyAlignment="1">
      <alignment horizontal="right" vertical="center" shrinkToFit="1"/>
    </xf>
    <xf numFmtId="0" fontId="59" fillId="0" borderId="1" xfId="146" applyFont="1" applyFill="1" applyBorder="1" applyAlignment="1">
      <alignment horizontal="center" vertical="center"/>
    </xf>
    <xf numFmtId="211" fontId="12" fillId="2" borderId="19" xfId="1" applyNumberFormat="1" applyFont="1" applyFill="1" applyBorder="1" applyAlignment="1">
      <alignment horizontal="center" vertical="center"/>
    </xf>
    <xf numFmtId="212" fontId="60" fillId="0" borderId="21" xfId="0" applyNumberFormat="1" applyFont="1" applyBorder="1" applyAlignment="1">
      <alignment horizontal="right" vertical="center" shrinkToFit="1"/>
    </xf>
    <xf numFmtId="212" fontId="60" fillId="0" borderId="1" xfId="0" applyNumberFormat="1" applyFont="1" applyBorder="1" applyAlignment="1">
      <alignment horizontal="right" vertical="center" shrinkToFit="1"/>
    </xf>
    <xf numFmtId="0" fontId="59" fillId="0" borderId="1" xfId="146" applyFont="1" applyFill="1" applyBorder="1" applyAlignment="1">
      <alignment horizontal="center" vertical="center"/>
    </xf>
    <xf numFmtId="0" fontId="59" fillId="0" borderId="4" xfId="146" applyFont="1" applyFill="1" applyBorder="1" applyAlignment="1">
      <alignment horizontal="center" vertical="center"/>
    </xf>
    <xf numFmtId="212" fontId="60" fillId="0" borderId="4" xfId="0" applyNumberFormat="1" applyFont="1" applyBorder="1" applyAlignment="1">
      <alignment horizontal="right" vertical="center" shrinkToFit="1"/>
    </xf>
    <xf numFmtId="212" fontId="60" fillId="15" borderId="1" xfId="0" applyNumberFormat="1" applyFont="1" applyFill="1" applyBorder="1" applyAlignment="1">
      <alignment horizontal="right" vertical="center" shrinkToFit="1"/>
    </xf>
    <xf numFmtId="211" fontId="12" fillId="2" borderId="4" xfId="1" applyNumberFormat="1" applyFont="1" applyFill="1" applyBorder="1" applyAlignment="1">
      <alignment horizontal="center" vertical="center"/>
    </xf>
    <xf numFmtId="211" fontId="12" fillId="11" borderId="1" xfId="1" applyNumberFormat="1" applyFont="1" applyFill="1" applyBorder="1" applyAlignment="1">
      <alignment horizontal="right" vertical="center"/>
    </xf>
    <xf numFmtId="0" fontId="53" fillId="7" borderId="1" xfId="0" applyFont="1" applyFill="1" applyBorder="1" applyAlignment="1">
      <alignment horizontal="center" vertical="center"/>
    </xf>
    <xf numFmtId="179" fontId="63" fillId="2" borderId="4" xfId="0" applyNumberFormat="1" applyFont="1" applyFill="1" applyBorder="1" applyAlignment="1">
      <alignment horizontal="center" vertical="center" wrapText="1"/>
    </xf>
    <xf numFmtId="179" fontId="65" fillId="2" borderId="1" xfId="0" applyNumberFormat="1" applyFont="1" applyFill="1" applyBorder="1" applyAlignment="1">
      <alignment horizontal="center" vertical="center" wrapText="1"/>
    </xf>
    <xf numFmtId="179" fontId="63" fillId="2" borderId="21" xfId="0" applyNumberFormat="1" applyFont="1" applyFill="1" applyBorder="1" applyAlignment="1">
      <alignment horizontal="center" vertical="center" wrapText="1"/>
    </xf>
    <xf numFmtId="0" fontId="66" fillId="0" borderId="1" xfId="146" applyFont="1" applyFill="1" applyBorder="1" applyAlignment="1">
      <alignment horizontal="center" vertical="center"/>
    </xf>
    <xf numFmtId="49" fontId="0" fillId="0" borderId="25" xfId="0" applyNumberFormat="1" applyFont="1" applyBorder="1" applyAlignment="1">
      <alignment horizontal="center" vertical="center"/>
    </xf>
    <xf numFmtId="0" fontId="57" fillId="10" borderId="25" xfId="146" applyFont="1" applyFill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/>
    </xf>
    <xf numFmtId="179" fontId="63" fillId="2" borderId="25" xfId="0" applyNumberFormat="1" applyFont="1" applyFill="1" applyBorder="1" applyAlignment="1">
      <alignment horizontal="center" vertical="center" wrapText="1"/>
    </xf>
    <xf numFmtId="182" fontId="0" fillId="0" borderId="25" xfId="0" applyNumberFormat="1" applyFont="1" applyBorder="1" applyAlignment="1">
      <alignment horizontal="right" vertical="center"/>
    </xf>
    <xf numFmtId="182" fontId="0" fillId="0" borderId="25" xfId="0" applyNumberFormat="1" applyFont="1" applyBorder="1" applyAlignment="1">
      <alignment horizontal="center" vertical="center"/>
    </xf>
    <xf numFmtId="179" fontId="55" fillId="3" borderId="25" xfId="0" applyNumberFormat="1" applyFont="1" applyFill="1" applyBorder="1" applyAlignment="1">
      <alignment horizontal="center" vertical="center" wrapText="1"/>
    </xf>
    <xf numFmtId="176" fontId="55" fillId="0" borderId="25" xfId="0" applyNumberFormat="1" applyFont="1" applyFill="1" applyBorder="1" applyAlignment="1">
      <alignment horizontal="center" vertical="center" wrapText="1"/>
    </xf>
    <xf numFmtId="184" fontId="55" fillId="0" borderId="25" xfId="0" applyNumberFormat="1" applyFont="1" applyFill="1" applyBorder="1" applyAlignment="1">
      <alignment horizontal="center" vertical="center" wrapText="1"/>
    </xf>
    <xf numFmtId="183" fontId="55" fillId="3" borderId="25" xfId="0" applyNumberFormat="1" applyFont="1" applyFill="1" applyBorder="1" applyAlignment="1">
      <alignment horizontal="center" vertical="center" wrapText="1"/>
    </xf>
    <xf numFmtId="211" fontId="12" fillId="2" borderId="25" xfId="1" applyNumberFormat="1" applyFont="1" applyFill="1" applyBorder="1" applyAlignment="1">
      <alignment horizontal="center" vertical="center"/>
    </xf>
    <xf numFmtId="177" fontId="55" fillId="0" borderId="25" xfId="0" applyNumberFormat="1" applyFont="1" applyFill="1" applyBorder="1" applyAlignment="1">
      <alignment horizontal="center" vertical="center" wrapText="1"/>
    </xf>
    <xf numFmtId="211" fontId="12" fillId="11" borderId="25" xfId="1" applyNumberFormat="1" applyFont="1" applyFill="1" applyBorder="1" applyAlignment="1">
      <alignment horizontal="right" vertical="center"/>
    </xf>
    <xf numFmtId="181" fontId="56" fillId="0" borderId="25" xfId="0" applyNumberFormat="1" applyFont="1" applyFill="1" applyBorder="1" applyAlignment="1">
      <alignment horizontal="center" vertical="center" wrapText="1"/>
    </xf>
    <xf numFmtId="183" fontId="56" fillId="3" borderId="25" xfId="0" applyNumberFormat="1" applyFont="1" applyFill="1" applyBorder="1" applyAlignment="1">
      <alignment horizontal="center" vertical="center" wrapText="1"/>
    </xf>
    <xf numFmtId="183" fontId="9" fillId="9" borderId="25" xfId="0" applyNumberFormat="1" applyFont="1" applyFill="1" applyBorder="1" applyAlignment="1">
      <alignment horizontal="center" vertical="center" wrapText="1"/>
    </xf>
    <xf numFmtId="178" fontId="55" fillId="0" borderId="25" xfId="0" applyNumberFormat="1" applyFont="1" applyFill="1" applyBorder="1" applyAlignment="1">
      <alignment horizontal="center" vertical="center" wrapText="1"/>
    </xf>
    <xf numFmtId="180" fontId="55" fillId="0" borderId="25" xfId="0" applyNumberFormat="1" applyFont="1" applyFill="1" applyBorder="1" applyAlignment="1">
      <alignment horizontal="center" vertical="center" wrapText="1"/>
    </xf>
    <xf numFmtId="183" fontId="9" fillId="8" borderId="25" xfId="0" applyNumberFormat="1" applyFont="1" applyFill="1" applyBorder="1" applyAlignment="1">
      <alignment horizontal="center" vertical="center" wrapText="1"/>
    </xf>
    <xf numFmtId="182" fontId="61" fillId="0" borderId="25" xfId="0" applyNumberFormat="1" applyFont="1" applyBorder="1" applyAlignment="1">
      <alignment horizontal="center" vertical="center"/>
    </xf>
    <xf numFmtId="181" fontId="55" fillId="0" borderId="25" xfId="0" applyNumberFormat="1" applyFont="1" applyFill="1" applyBorder="1" applyAlignment="1">
      <alignment horizontal="center" vertical="center" wrapText="1"/>
    </xf>
    <xf numFmtId="179" fontId="9" fillId="12" borderId="25" xfId="0" applyNumberFormat="1" applyFont="1" applyFill="1" applyBorder="1" applyAlignment="1">
      <alignment horizontal="center" vertical="center" wrapText="1"/>
    </xf>
    <xf numFmtId="179" fontId="9" fillId="0" borderId="25" xfId="0" applyNumberFormat="1" applyFont="1" applyFill="1" applyBorder="1" applyAlignment="1">
      <alignment horizontal="center" vertical="center" wrapText="1"/>
    </xf>
    <xf numFmtId="179" fontId="63" fillId="2" borderId="19" xfId="0" applyNumberFormat="1" applyFont="1" applyFill="1" applyBorder="1" applyAlignment="1">
      <alignment horizontal="center" vertical="center" wrapText="1"/>
    </xf>
    <xf numFmtId="179" fontId="63" fillId="2" borderId="1" xfId="0" applyNumberFormat="1" applyFont="1" applyFill="1" applyBorder="1" applyAlignment="1">
      <alignment horizontal="center" vertical="center" wrapText="1"/>
    </xf>
    <xf numFmtId="212" fontId="60" fillId="0" borderId="21" xfId="0" applyNumberFormat="1" applyFont="1" applyBorder="1" applyAlignment="1">
      <alignment horizontal="right" vertical="center" shrinkToFit="1"/>
    </xf>
    <xf numFmtId="212" fontId="60" fillId="0" borderId="1" xfId="0" applyNumberFormat="1" applyFont="1" applyBorder="1" applyAlignment="1">
      <alignment horizontal="right" vertical="center" shrinkToFit="1"/>
    </xf>
    <xf numFmtId="212" fontId="60" fillId="0" borderId="19" xfId="0" applyNumberFormat="1" applyFont="1" applyBorder="1" applyAlignment="1">
      <alignment horizontal="right" vertical="center" shrinkToFit="1"/>
    </xf>
    <xf numFmtId="0" fontId="59" fillId="0" borderId="1" xfId="146" applyFont="1" applyFill="1" applyBorder="1" applyAlignment="1">
      <alignment horizontal="center" vertical="center"/>
    </xf>
    <xf numFmtId="0" fontId="59" fillId="0" borderId="4" xfId="146" applyFont="1" applyFill="1" applyBorder="1" applyAlignment="1">
      <alignment horizontal="center" vertical="center"/>
    </xf>
    <xf numFmtId="212" fontId="60" fillId="0" borderId="4" xfId="0" applyNumberFormat="1" applyFont="1" applyBorder="1" applyAlignment="1">
      <alignment horizontal="right" vertical="center" shrinkToFit="1"/>
    </xf>
    <xf numFmtId="212" fontId="60" fillId="15" borderId="25" xfId="0" applyNumberFormat="1" applyFont="1" applyFill="1" applyBorder="1" applyAlignment="1">
      <alignment horizontal="right" vertical="center" shrinkToFit="1"/>
    </xf>
    <xf numFmtId="0" fontId="57" fillId="15" borderId="25" xfId="146" applyFont="1" applyFill="1" applyBorder="1" applyAlignment="1">
      <alignment horizontal="center" vertical="center" wrapText="1"/>
    </xf>
    <xf numFmtId="212" fontId="60" fillId="15" borderId="1" xfId="0" applyNumberFormat="1" applyFont="1" applyFill="1" applyBorder="1" applyAlignment="1">
      <alignment horizontal="right" vertical="center" shrinkToFit="1"/>
    </xf>
    <xf numFmtId="211" fontId="59" fillId="2" borderId="1" xfId="1" applyNumberFormat="1" applyFont="1" applyFill="1" applyBorder="1" applyAlignment="1">
      <alignment horizontal="center" vertical="center"/>
    </xf>
    <xf numFmtId="212" fontId="60" fillId="0" borderId="1" xfId="0" applyNumberFormat="1" applyFont="1" applyBorder="1" applyAlignment="1">
      <alignment vertical="center" shrinkToFit="1"/>
    </xf>
    <xf numFmtId="211" fontId="12" fillId="2" borderId="4" xfId="1" applyNumberFormat="1" applyFont="1" applyFill="1" applyBorder="1" applyAlignment="1">
      <alignment horizontal="center" vertical="center"/>
    </xf>
    <xf numFmtId="211" fontId="12" fillId="2" borderId="19" xfId="1" applyNumberFormat="1" applyFont="1" applyFill="1" applyBorder="1" applyAlignment="1">
      <alignment horizontal="center" vertical="center"/>
    </xf>
    <xf numFmtId="211" fontId="59" fillId="11" borderId="25" xfId="1" applyNumberFormat="1" applyFont="1" applyFill="1" applyBorder="1" applyAlignment="1">
      <alignment horizontal="center" vertical="center"/>
    </xf>
    <xf numFmtId="211" fontId="12" fillId="11" borderId="1" xfId="1" applyNumberFormat="1" applyFont="1" applyFill="1" applyBorder="1" applyAlignment="1">
      <alignment horizontal="right" vertical="center"/>
    </xf>
    <xf numFmtId="212" fontId="60" fillId="15" borderId="21" xfId="0" applyNumberFormat="1" applyFont="1" applyFill="1" applyBorder="1" applyAlignment="1">
      <alignment horizontal="right" vertical="center" shrinkToFit="1"/>
    </xf>
    <xf numFmtId="211" fontId="59" fillId="11" borderId="21" xfId="1" applyNumberFormat="1" applyFont="1" applyFill="1" applyBorder="1" applyAlignment="1">
      <alignment horizontal="center" vertical="center"/>
    </xf>
    <xf numFmtId="211" fontId="12" fillId="11" borderId="21" xfId="1" applyNumberFormat="1" applyFont="1" applyFill="1" applyBorder="1" applyAlignment="1">
      <alignment horizontal="right" vertical="center"/>
    </xf>
    <xf numFmtId="0" fontId="57" fillId="15" borderId="21" xfId="146" applyFont="1" applyFill="1" applyBorder="1" applyAlignment="1">
      <alignment horizontal="center" vertical="center" wrapText="1"/>
    </xf>
    <xf numFmtId="0" fontId="57" fillId="10" borderId="21" xfId="146" applyFont="1" applyFill="1" applyBorder="1" applyAlignment="1">
      <alignment horizontal="center" vertical="center" wrapText="1"/>
    </xf>
    <xf numFmtId="212" fontId="60" fillId="0" borderId="21" xfId="0" applyNumberFormat="1" applyFont="1" applyBorder="1" applyAlignment="1">
      <alignment horizontal="right" vertical="center" shrinkToFit="1"/>
    </xf>
    <xf numFmtId="212" fontId="60" fillId="0" borderId="1" xfId="0" applyNumberFormat="1" applyFont="1" applyBorder="1" applyAlignment="1">
      <alignment horizontal="right" vertical="center" shrinkToFit="1"/>
    </xf>
    <xf numFmtId="212" fontId="60" fillId="0" borderId="19" xfId="0" applyNumberFormat="1" applyFont="1" applyBorder="1" applyAlignment="1">
      <alignment horizontal="right" vertical="center" shrinkToFit="1"/>
    </xf>
    <xf numFmtId="0" fontId="59" fillId="0" borderId="1" xfId="146" applyFont="1" applyFill="1" applyBorder="1" applyAlignment="1">
      <alignment horizontal="center" vertical="center"/>
    </xf>
    <xf numFmtId="0" fontId="59" fillId="0" borderId="4" xfId="146" applyFont="1" applyFill="1" applyBorder="1" applyAlignment="1">
      <alignment horizontal="center" vertical="center"/>
    </xf>
    <xf numFmtId="212" fontId="60" fillId="0" borderId="4" xfId="0" applyNumberFormat="1" applyFont="1" applyBorder="1" applyAlignment="1">
      <alignment horizontal="right" vertical="center" shrinkToFit="1"/>
    </xf>
    <xf numFmtId="212" fontId="60" fillId="15" borderId="1" xfId="0" applyNumberFormat="1" applyFont="1" applyFill="1" applyBorder="1" applyAlignment="1">
      <alignment horizontal="right" vertical="center" shrinkToFit="1"/>
    </xf>
    <xf numFmtId="211" fontId="12" fillId="2" borderId="4" xfId="1" applyNumberFormat="1" applyFont="1" applyFill="1" applyBorder="1" applyAlignment="1">
      <alignment horizontal="center" vertical="center"/>
    </xf>
    <xf numFmtId="211" fontId="12" fillId="2" borderId="19" xfId="1" applyNumberFormat="1" applyFont="1" applyFill="1" applyBorder="1" applyAlignment="1">
      <alignment horizontal="center" vertical="center"/>
    </xf>
    <xf numFmtId="211" fontId="12" fillId="11" borderId="1" xfId="1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vertical="center"/>
    </xf>
    <xf numFmtId="0" fontId="67" fillId="0" borderId="0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211" fontId="12" fillId="9" borderId="1" xfId="1" applyNumberFormat="1" applyFont="1" applyFill="1" applyBorder="1" applyAlignment="1">
      <alignment horizontal="center" vertical="center"/>
    </xf>
    <xf numFmtId="182" fontId="0" fillId="19" borderId="21" xfId="0" applyNumberFormat="1" applyFont="1" applyFill="1" applyBorder="1" applyAlignment="1">
      <alignment horizontal="center" vertical="center" wrapText="1"/>
    </xf>
    <xf numFmtId="182" fontId="0" fillId="19" borderId="1" xfId="0" applyNumberFormat="1" applyFont="1" applyFill="1" applyBorder="1" applyAlignment="1">
      <alignment horizontal="center" vertical="center" wrapText="1"/>
    </xf>
    <xf numFmtId="182" fontId="0" fillId="19" borderId="19" xfId="0" applyNumberFormat="1" applyFont="1" applyFill="1" applyBorder="1" applyAlignment="1">
      <alignment horizontal="center" vertical="center" wrapText="1"/>
    </xf>
    <xf numFmtId="182" fontId="0" fillId="19" borderId="21" xfId="0" applyNumberFormat="1" applyFont="1" applyFill="1" applyBorder="1" applyAlignment="1">
      <alignment horizontal="center" vertical="center"/>
    </xf>
    <xf numFmtId="182" fontId="0" fillId="19" borderId="1" xfId="0" applyNumberFormat="1" applyFont="1" applyFill="1" applyBorder="1" applyAlignment="1">
      <alignment horizontal="center" vertical="center"/>
    </xf>
    <xf numFmtId="182" fontId="0" fillId="19" borderId="19" xfId="0" applyNumberFormat="1" applyFont="1" applyFill="1" applyBorder="1" applyAlignment="1">
      <alignment horizontal="center" vertical="center"/>
    </xf>
    <xf numFmtId="218" fontId="0" fillId="19" borderId="21" xfId="0" applyNumberFormat="1" applyFont="1" applyFill="1" applyBorder="1" applyAlignment="1">
      <alignment horizontal="center" vertical="center"/>
    </xf>
    <xf numFmtId="218" fontId="0" fillId="19" borderId="1" xfId="0" applyNumberFormat="1" applyFont="1" applyFill="1" applyBorder="1" applyAlignment="1">
      <alignment horizontal="center" vertical="center"/>
    </xf>
    <xf numFmtId="218" fontId="0" fillId="19" borderId="19" xfId="0" applyNumberFormat="1" applyFont="1" applyFill="1" applyBorder="1" applyAlignment="1">
      <alignment horizontal="center" vertical="center"/>
    </xf>
    <xf numFmtId="219" fontId="0" fillId="19" borderId="21" xfId="0" applyNumberFormat="1" applyFont="1" applyFill="1" applyBorder="1" applyAlignment="1">
      <alignment horizontal="center" vertical="center"/>
    </xf>
    <xf numFmtId="219" fontId="0" fillId="19" borderId="1" xfId="0" applyNumberFormat="1" applyFont="1" applyFill="1" applyBorder="1" applyAlignment="1">
      <alignment horizontal="center" vertical="center"/>
    </xf>
    <xf numFmtId="219" fontId="0" fillId="19" borderId="19" xfId="0" applyNumberFormat="1" applyFont="1" applyFill="1" applyBorder="1" applyAlignment="1">
      <alignment horizontal="center" vertical="center"/>
    </xf>
    <xf numFmtId="182" fontId="0" fillId="19" borderId="4" xfId="0" applyNumberFormat="1" applyFont="1" applyFill="1" applyBorder="1" applyAlignment="1">
      <alignment horizontal="center" vertical="center" wrapText="1"/>
    </xf>
    <xf numFmtId="182" fontId="0" fillId="19" borderId="4" xfId="0" applyNumberFormat="1" applyFont="1" applyFill="1" applyBorder="1" applyAlignment="1">
      <alignment horizontal="center" vertical="center"/>
    </xf>
    <xf numFmtId="218" fontId="0" fillId="19" borderId="4" xfId="0" applyNumberFormat="1" applyFont="1" applyFill="1" applyBorder="1" applyAlignment="1">
      <alignment horizontal="center" vertical="center"/>
    </xf>
    <xf numFmtId="219" fontId="0" fillId="19" borderId="4" xfId="0" applyNumberFormat="1" applyFont="1" applyFill="1" applyBorder="1" applyAlignment="1">
      <alignment horizontal="center" vertical="center"/>
    </xf>
    <xf numFmtId="182" fontId="0" fillId="18" borderId="21" xfId="0" applyNumberFormat="1" applyFont="1" applyFill="1" applyBorder="1" applyAlignment="1">
      <alignment horizontal="center" vertical="center" wrapText="1"/>
    </xf>
    <xf numFmtId="182" fontId="0" fillId="18" borderId="1" xfId="0" applyNumberFormat="1" applyFont="1" applyFill="1" applyBorder="1" applyAlignment="1">
      <alignment horizontal="center" vertical="center" wrapText="1"/>
    </xf>
    <xf numFmtId="182" fontId="0" fillId="18" borderId="4" xfId="0" applyNumberFormat="1" applyFont="1" applyFill="1" applyBorder="1" applyAlignment="1">
      <alignment horizontal="center" vertical="center" wrapText="1"/>
    </xf>
    <xf numFmtId="182" fontId="0" fillId="18" borderId="21" xfId="0" applyNumberFormat="1" applyFont="1" applyFill="1" applyBorder="1" applyAlignment="1">
      <alignment horizontal="center" vertical="center"/>
    </xf>
    <xf numFmtId="182" fontId="0" fillId="18" borderId="1" xfId="0" applyNumberFormat="1" applyFont="1" applyFill="1" applyBorder="1" applyAlignment="1">
      <alignment horizontal="center" vertical="center"/>
    </xf>
    <xf numFmtId="182" fontId="0" fillId="18" borderId="4" xfId="0" applyNumberFormat="1" applyFont="1" applyFill="1" applyBorder="1" applyAlignment="1">
      <alignment horizontal="center" vertical="center"/>
    </xf>
    <xf numFmtId="218" fontId="0" fillId="18" borderId="21" xfId="0" applyNumberFormat="1" applyFont="1" applyFill="1" applyBorder="1" applyAlignment="1">
      <alignment horizontal="center" vertical="center"/>
    </xf>
    <xf numFmtId="218" fontId="0" fillId="18" borderId="1" xfId="0" applyNumberFormat="1" applyFont="1" applyFill="1" applyBorder="1" applyAlignment="1">
      <alignment horizontal="center" vertical="center"/>
    </xf>
    <xf numFmtId="218" fontId="0" fillId="18" borderId="4" xfId="0" applyNumberFormat="1" applyFont="1" applyFill="1" applyBorder="1" applyAlignment="1">
      <alignment horizontal="center" vertical="center"/>
    </xf>
    <xf numFmtId="219" fontId="0" fillId="18" borderId="21" xfId="0" applyNumberFormat="1" applyFont="1" applyFill="1" applyBorder="1" applyAlignment="1">
      <alignment horizontal="center" vertical="center"/>
    </xf>
    <xf numFmtId="219" fontId="0" fillId="18" borderId="1" xfId="0" applyNumberFormat="1" applyFont="1" applyFill="1" applyBorder="1" applyAlignment="1">
      <alignment horizontal="center" vertical="center"/>
    </xf>
    <xf numFmtId="219" fontId="0" fillId="18" borderId="4" xfId="0" applyNumberFormat="1" applyFont="1" applyFill="1" applyBorder="1" applyAlignment="1">
      <alignment horizontal="center" vertical="center"/>
    </xf>
    <xf numFmtId="182" fontId="0" fillId="3" borderId="21" xfId="0" applyNumberFormat="1" applyFont="1" applyFill="1" applyBorder="1" applyAlignment="1">
      <alignment horizontal="center" vertical="center" wrapText="1"/>
    </xf>
    <xf numFmtId="182" fontId="0" fillId="3" borderId="1" xfId="0" applyNumberFormat="1" applyFont="1" applyFill="1" applyBorder="1" applyAlignment="1">
      <alignment horizontal="center" vertical="center" wrapText="1"/>
    </xf>
    <xf numFmtId="182" fontId="0" fillId="3" borderId="19" xfId="0" applyNumberFormat="1" applyFont="1" applyFill="1" applyBorder="1" applyAlignment="1">
      <alignment horizontal="center" vertical="center" wrapText="1"/>
    </xf>
    <xf numFmtId="182" fontId="0" fillId="3" borderId="21" xfId="0" applyNumberFormat="1" applyFont="1" applyFill="1" applyBorder="1" applyAlignment="1">
      <alignment horizontal="center" vertical="center"/>
    </xf>
    <xf numFmtId="182" fontId="0" fillId="3" borderId="1" xfId="0" applyNumberFormat="1" applyFont="1" applyFill="1" applyBorder="1" applyAlignment="1">
      <alignment horizontal="center" vertical="center"/>
    </xf>
    <xf numFmtId="182" fontId="0" fillId="3" borderId="19" xfId="0" applyNumberFormat="1" applyFont="1" applyFill="1" applyBorder="1" applyAlignment="1">
      <alignment horizontal="center" vertical="center"/>
    </xf>
    <xf numFmtId="218" fontId="0" fillId="3" borderId="21" xfId="0" applyNumberFormat="1" applyFont="1" applyFill="1" applyBorder="1" applyAlignment="1">
      <alignment horizontal="center" vertical="center"/>
    </xf>
    <xf numFmtId="218" fontId="0" fillId="3" borderId="1" xfId="0" applyNumberFormat="1" applyFont="1" applyFill="1" applyBorder="1" applyAlignment="1">
      <alignment horizontal="center" vertical="center"/>
    </xf>
    <xf numFmtId="218" fontId="0" fillId="3" borderId="19" xfId="0" applyNumberFormat="1" applyFont="1" applyFill="1" applyBorder="1" applyAlignment="1">
      <alignment horizontal="center" vertical="center"/>
    </xf>
    <xf numFmtId="219" fontId="0" fillId="3" borderId="21" xfId="0" applyNumberFormat="1" applyFont="1" applyFill="1" applyBorder="1" applyAlignment="1">
      <alignment horizontal="center" vertical="center"/>
    </xf>
    <xf numFmtId="219" fontId="0" fillId="3" borderId="1" xfId="0" applyNumberFormat="1" applyFont="1" applyFill="1" applyBorder="1" applyAlignment="1">
      <alignment horizontal="center" vertical="center"/>
    </xf>
    <xf numFmtId="219" fontId="0" fillId="3" borderId="19" xfId="0" applyNumberFormat="1" applyFont="1" applyFill="1" applyBorder="1" applyAlignment="1">
      <alignment horizontal="center" vertical="center"/>
    </xf>
    <xf numFmtId="182" fontId="0" fillId="19" borderId="20" xfId="0" applyNumberFormat="1" applyFont="1" applyFill="1" applyBorder="1" applyAlignment="1">
      <alignment horizontal="center" vertical="center" wrapText="1"/>
    </xf>
    <xf numFmtId="182" fontId="0" fillId="19" borderId="5" xfId="0" applyNumberFormat="1" applyFont="1" applyFill="1" applyBorder="1" applyAlignment="1">
      <alignment horizontal="center" vertical="center" wrapText="1"/>
    </xf>
    <xf numFmtId="182" fontId="0" fillId="19" borderId="22" xfId="0" applyNumberFormat="1" applyFont="1" applyFill="1" applyBorder="1" applyAlignment="1">
      <alignment horizontal="center" vertical="center" wrapText="1"/>
    </xf>
    <xf numFmtId="182" fontId="0" fillId="19" borderId="20" xfId="0" applyNumberFormat="1" applyFont="1" applyFill="1" applyBorder="1" applyAlignment="1">
      <alignment horizontal="center" vertical="center"/>
    </xf>
    <xf numFmtId="182" fontId="0" fillId="19" borderId="5" xfId="0" applyNumberFormat="1" applyFont="1" applyFill="1" applyBorder="1" applyAlignment="1">
      <alignment horizontal="center" vertical="center"/>
    </xf>
    <xf numFmtId="182" fontId="0" fillId="19" borderId="22" xfId="0" applyNumberFormat="1" applyFont="1" applyFill="1" applyBorder="1" applyAlignment="1">
      <alignment horizontal="center" vertical="center"/>
    </xf>
    <xf numFmtId="218" fontId="0" fillId="19" borderId="20" xfId="0" applyNumberFormat="1" applyFont="1" applyFill="1" applyBorder="1" applyAlignment="1">
      <alignment horizontal="center" vertical="center"/>
    </xf>
    <xf numFmtId="218" fontId="0" fillId="19" borderId="5" xfId="0" applyNumberFormat="1" applyFont="1" applyFill="1" applyBorder="1" applyAlignment="1">
      <alignment horizontal="center" vertical="center"/>
    </xf>
    <xf numFmtId="218" fontId="0" fillId="19" borderId="22" xfId="0" applyNumberFormat="1" applyFont="1" applyFill="1" applyBorder="1" applyAlignment="1">
      <alignment horizontal="center" vertical="center"/>
    </xf>
    <xf numFmtId="219" fontId="0" fillId="19" borderId="20" xfId="0" applyNumberFormat="1" applyFont="1" applyFill="1" applyBorder="1" applyAlignment="1">
      <alignment horizontal="center" vertical="center"/>
    </xf>
    <xf numFmtId="219" fontId="0" fillId="19" borderId="5" xfId="0" applyNumberFormat="1" applyFont="1" applyFill="1" applyBorder="1" applyAlignment="1">
      <alignment horizontal="center" vertical="center"/>
    </xf>
    <xf numFmtId="219" fontId="0" fillId="19" borderId="22" xfId="0" applyNumberFormat="1" applyFont="1" applyFill="1" applyBorder="1" applyAlignment="1">
      <alignment horizontal="center" vertical="center"/>
    </xf>
    <xf numFmtId="182" fontId="0" fillId="3" borderId="4" xfId="0" applyNumberFormat="1" applyFont="1" applyFill="1" applyBorder="1" applyAlignment="1">
      <alignment horizontal="center" vertical="center" wrapText="1"/>
    </xf>
    <xf numFmtId="182" fontId="0" fillId="3" borderId="4" xfId="0" applyNumberFormat="1" applyFont="1" applyFill="1" applyBorder="1" applyAlignment="1">
      <alignment horizontal="center" vertical="center"/>
    </xf>
    <xf numFmtId="218" fontId="0" fillId="3" borderId="4" xfId="0" applyNumberFormat="1" applyFont="1" applyFill="1" applyBorder="1" applyAlignment="1">
      <alignment horizontal="center" vertical="center"/>
    </xf>
    <xf numFmtId="219" fontId="0" fillId="3" borderId="4" xfId="0" applyNumberFormat="1" applyFont="1" applyFill="1" applyBorder="1" applyAlignment="1">
      <alignment horizontal="center" vertical="center"/>
    </xf>
    <xf numFmtId="211" fontId="12" fillId="9" borderId="21" xfId="1" applyNumberFormat="1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right" vertical="center" wrapText="1"/>
    </xf>
    <xf numFmtId="0" fontId="0" fillId="7" borderId="1" xfId="0" applyFont="1" applyFill="1" applyBorder="1" applyAlignment="1">
      <alignment horizontal="right" vertical="center"/>
    </xf>
    <xf numFmtId="0" fontId="0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58" fillId="13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214" fontId="9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219" fontId="53" fillId="3" borderId="21" xfId="0" applyNumberFormat="1" applyFont="1" applyFill="1" applyBorder="1" applyAlignment="1">
      <alignment horizontal="center" vertical="center"/>
    </xf>
    <xf numFmtId="219" fontId="53" fillId="3" borderId="1" xfId="0" applyNumberFormat="1" applyFont="1" applyFill="1" applyBorder="1" applyAlignment="1">
      <alignment horizontal="center" vertical="center"/>
    </xf>
    <xf numFmtId="219" fontId="53" fillId="3" borderId="19" xfId="0" applyNumberFormat="1" applyFont="1" applyFill="1" applyBorder="1" applyAlignment="1">
      <alignment horizontal="center" vertical="center"/>
    </xf>
    <xf numFmtId="219" fontId="0" fillId="18" borderId="19" xfId="0" applyNumberFormat="1" applyFont="1" applyFill="1" applyBorder="1" applyAlignment="1">
      <alignment horizontal="center" vertical="center"/>
    </xf>
    <xf numFmtId="218" fontId="55" fillId="18" borderId="20" xfId="0" applyNumberFormat="1" applyFont="1" applyFill="1" applyBorder="1" applyAlignment="1">
      <alignment horizontal="center" vertical="center" wrapText="1"/>
    </xf>
    <xf numFmtId="218" fontId="55" fillId="18" borderId="5" xfId="0" applyNumberFormat="1" applyFont="1" applyFill="1" applyBorder="1" applyAlignment="1">
      <alignment horizontal="center" vertical="center" wrapText="1"/>
    </xf>
    <xf numFmtId="218" fontId="55" fillId="18" borderId="22" xfId="0" applyNumberFormat="1" applyFont="1" applyFill="1" applyBorder="1" applyAlignment="1">
      <alignment horizontal="center" vertical="center" wrapText="1"/>
    </xf>
    <xf numFmtId="219" fontId="55" fillId="18" borderId="20" xfId="0" applyNumberFormat="1" applyFont="1" applyFill="1" applyBorder="1" applyAlignment="1">
      <alignment horizontal="center" vertical="center" wrapText="1"/>
    </xf>
    <xf numFmtId="219" fontId="55" fillId="18" borderId="5" xfId="0" applyNumberFormat="1" applyFont="1" applyFill="1" applyBorder="1" applyAlignment="1">
      <alignment horizontal="center" vertical="center" wrapText="1"/>
    </xf>
    <xf numFmtId="219" fontId="55" fillId="18" borderId="22" xfId="0" applyNumberFormat="1" applyFont="1" applyFill="1" applyBorder="1" applyAlignment="1">
      <alignment horizontal="center" vertical="center" wrapText="1"/>
    </xf>
    <xf numFmtId="211" fontId="12" fillId="9" borderId="4" xfId="1" applyNumberFormat="1" applyFont="1" applyFill="1" applyBorder="1" applyAlignment="1">
      <alignment horizontal="center" vertical="center"/>
    </xf>
    <xf numFmtId="211" fontId="12" fillId="9" borderId="25" xfId="1" applyNumberFormat="1" applyFont="1" applyFill="1" applyBorder="1" applyAlignment="1">
      <alignment horizontal="center" vertical="center"/>
    </xf>
    <xf numFmtId="0" fontId="67" fillId="0" borderId="0" xfId="0" applyFont="1" applyBorder="1" applyAlignment="1">
      <alignment horizontal="center" vertical="center"/>
    </xf>
    <xf numFmtId="182" fontId="0" fillId="18" borderId="19" xfId="0" applyNumberFormat="1" applyFont="1" applyFill="1" applyBorder="1" applyAlignment="1">
      <alignment horizontal="center" vertical="center"/>
    </xf>
    <xf numFmtId="182" fontId="65" fillId="18" borderId="21" xfId="0" applyNumberFormat="1" applyFont="1" applyFill="1" applyBorder="1" applyAlignment="1">
      <alignment horizontal="center" vertical="center"/>
    </xf>
    <xf numFmtId="182" fontId="65" fillId="18" borderId="1" xfId="0" applyNumberFormat="1" applyFont="1" applyFill="1" applyBorder="1" applyAlignment="1">
      <alignment horizontal="center" vertical="center"/>
    </xf>
    <xf numFmtId="182" fontId="65" fillId="18" borderId="19" xfId="0" applyNumberFormat="1" applyFont="1" applyFill="1" applyBorder="1" applyAlignment="1">
      <alignment horizontal="center" vertical="center"/>
    </xf>
    <xf numFmtId="218" fontId="0" fillId="18" borderId="19" xfId="0" applyNumberFormat="1" applyFont="1" applyFill="1" applyBorder="1" applyAlignment="1">
      <alignment horizontal="center" vertical="center"/>
    </xf>
    <xf numFmtId="0" fontId="58" fillId="16" borderId="24" xfId="0" applyFont="1" applyFill="1" applyBorder="1" applyAlignment="1">
      <alignment horizontal="center" vertical="center"/>
    </xf>
    <xf numFmtId="0" fontId="58" fillId="16" borderId="11" xfId="0" applyFont="1" applyFill="1" applyBorder="1" applyAlignment="1">
      <alignment horizontal="center" vertical="center"/>
    </xf>
    <xf numFmtId="0" fontId="58" fillId="17" borderId="8" xfId="0" applyFont="1" applyFill="1" applyBorder="1" applyAlignment="1">
      <alignment horizontal="center" vertical="center"/>
    </xf>
    <xf numFmtId="0" fontId="58" fillId="17" borderId="0" xfId="0" applyFont="1" applyFill="1" applyBorder="1" applyAlignment="1">
      <alignment horizontal="center" vertical="center"/>
    </xf>
    <xf numFmtId="182" fontId="0" fillId="18" borderId="20" xfId="0" applyNumberFormat="1" applyFont="1" applyFill="1" applyBorder="1" applyAlignment="1">
      <alignment horizontal="center" vertical="center" wrapText="1"/>
    </xf>
    <xf numFmtId="182" fontId="0" fillId="18" borderId="5" xfId="0" applyNumberFormat="1" applyFont="1" applyFill="1" applyBorder="1" applyAlignment="1">
      <alignment horizontal="center" vertical="center"/>
    </xf>
    <xf numFmtId="182" fontId="0" fillId="18" borderId="22" xfId="0" applyNumberFormat="1" applyFont="1" applyFill="1" applyBorder="1" applyAlignment="1">
      <alignment horizontal="center" vertical="center"/>
    </xf>
    <xf numFmtId="182" fontId="0" fillId="18" borderId="20" xfId="0" applyNumberFormat="1" applyFont="1" applyFill="1" applyBorder="1" applyAlignment="1">
      <alignment horizontal="center" vertical="center"/>
    </xf>
  </cellXfs>
  <cellStyles count="148">
    <cellStyle name="??&amp;O?&amp;H?_x0008__x000f__x0007_?_x0007__x0001__x0001_" xfId="8"/>
    <cellStyle name="??&amp;O?&amp;H?_x0008_??_x0007__x0001__x0001_" xfId="9"/>
    <cellStyle name="?W?_laroux" xfId="10"/>
    <cellStyle name="’E‰Y [0.00]_laroux" xfId="11"/>
    <cellStyle name="’E‰Y_laroux" xfId="12"/>
    <cellStyle name="2)" xfId="13"/>
    <cellStyle name="ÅëÈ­ [0]_»óºÎ¼ö·®Áý°è " xfId="14"/>
    <cellStyle name="AeE­ [0]_INQUIRY ¿μ¾÷AßAø " xfId="15"/>
    <cellStyle name="ÅëÈ­_»óºÎ¼ö·®Áý°è " xfId="16"/>
    <cellStyle name="AeE­_INQUIRY ¿μ¾÷AßAø " xfId="17"/>
    <cellStyle name="ALIGNMENT" xfId="18"/>
    <cellStyle name="ÄÞ¸¶ [0]_»óºÎ¼ö·®Áý°è " xfId="19"/>
    <cellStyle name="AÞ¸¶ [0]_INQUIRY ¿μ¾÷AßAø " xfId="20"/>
    <cellStyle name="ÄÞ¸¶_»óºÎ¼ö·®Áý°è " xfId="21"/>
    <cellStyle name="AÞ¸¶_INQUIRY ¿μ¾÷AßAø " xfId="22"/>
    <cellStyle name="C￥AØ_¿μ¾÷CoE² " xfId="23"/>
    <cellStyle name="Ç¥ÁØ_»óºÎ¼ö·®Áý°è " xfId="24"/>
    <cellStyle name="Calc Currency (0)" xfId="25"/>
    <cellStyle name="category" xfId="26"/>
    <cellStyle name="Comma" xfId="27"/>
    <cellStyle name="Comma [0]_ SG&amp;A Bridge " xfId="28"/>
    <cellStyle name="comma zerodec" xfId="29"/>
    <cellStyle name="Comma_ SG&amp;A Bridge " xfId="30"/>
    <cellStyle name="Comma0" xfId="31"/>
    <cellStyle name="Currenby_Cash&amp;DSO Chart" xfId="32"/>
    <cellStyle name="Currency" xfId="33"/>
    <cellStyle name="Currency [0]_ SG&amp;A Bridge " xfId="34"/>
    <cellStyle name="Currency_ SG&amp;A Bridge " xfId="35"/>
    <cellStyle name="Currency0" xfId="36"/>
    <cellStyle name="Currency1" xfId="37"/>
    <cellStyle name="Date" xfId="38"/>
    <cellStyle name="Dollar (zero dec)" xfId="39"/>
    <cellStyle name="F2" xfId="40"/>
    <cellStyle name="F3" xfId="41"/>
    <cellStyle name="F4" xfId="42"/>
    <cellStyle name="F5" xfId="43"/>
    <cellStyle name="F6" xfId="44"/>
    <cellStyle name="F7" xfId="45"/>
    <cellStyle name="F8" xfId="46"/>
    <cellStyle name="Fixed" xfId="47"/>
    <cellStyle name="Grey" xfId="48"/>
    <cellStyle name="HEADER" xfId="49"/>
    <cellStyle name="Header1" xfId="50"/>
    <cellStyle name="Header2" xfId="51"/>
    <cellStyle name="Heading 1" xfId="52"/>
    <cellStyle name="Heading 2" xfId="53"/>
    <cellStyle name="Heading1" xfId="54"/>
    <cellStyle name="Heading2" xfId="55"/>
    <cellStyle name="Hyperlink_NEGS" xfId="56"/>
    <cellStyle name="Input [yellow]" xfId="57"/>
    <cellStyle name="Midtitle" xfId="58"/>
    <cellStyle name="Milliers [0]_Arabian Spec" xfId="59"/>
    <cellStyle name="Milliers_Arabian Spec" xfId="60"/>
    <cellStyle name="Model" xfId="61"/>
    <cellStyle name="Mon?aire [0]_Arabian Spec" xfId="62"/>
    <cellStyle name="Mon?aire_Arabian Spec" xfId="63"/>
    <cellStyle name="normal" xfId="64"/>
    <cellStyle name="Normal - Style1" xfId="65"/>
    <cellStyle name="Normal_ SG&amp;A Bridge " xfId="66"/>
    <cellStyle name="Œ…?æ맖?e [0.00]_laroux" xfId="67"/>
    <cellStyle name="Œ…?æ맖?e_laroux" xfId="68"/>
    <cellStyle name="Percent" xfId="69"/>
    <cellStyle name="Percent [2]" xfId="70"/>
    <cellStyle name="Percent_00_전체토공수량" xfId="71"/>
    <cellStyle name="subhead" xfId="72"/>
    <cellStyle name="testtitle" xfId="73"/>
    <cellStyle name="title [1]" xfId="74"/>
    <cellStyle name="title [2]" xfId="75"/>
    <cellStyle name="Total" xfId="76"/>
    <cellStyle name="UM" xfId="77"/>
    <cellStyle name="고정소숫점" xfId="78"/>
    <cellStyle name="고정출력1" xfId="79"/>
    <cellStyle name="고정출력2" xfId="80"/>
    <cellStyle name="공종-규격" xfId="81"/>
    <cellStyle name="날짜" xfId="82"/>
    <cellStyle name="단위-&quot;*&quot;" xfId="83"/>
    <cellStyle name="단위-%" xfId="84"/>
    <cellStyle name="단위-kg" xfId="85"/>
    <cellStyle name="단위-m" xfId="86"/>
    <cellStyle name="단위-㎡" xfId="87"/>
    <cellStyle name="단위-㎡/개소" xfId="88"/>
    <cellStyle name="단위-㎡_관보호공" xfId="89"/>
    <cellStyle name="단위-㎥" xfId="90"/>
    <cellStyle name="단위-t=" xfId="91"/>
    <cellStyle name="달러" xfId="92"/>
    <cellStyle name="대공종" xfId="93"/>
    <cellStyle name="뒤에 오는 하이퍼링크_1차포장공1" xfId="94"/>
    <cellStyle name="똿뗦먛귟 [0.00]_PRODUCT DETAIL Q1" xfId="95"/>
    <cellStyle name="똿뗦먛귟_PRODUCT DETAIL Q1" xfId="96"/>
    <cellStyle name="믅됞 [0.00]_PRODUCT DETAIL Q1" xfId="97"/>
    <cellStyle name="믅됞_PRODUCT DETAIL Q1" xfId="98"/>
    <cellStyle name="백분율 [0]" xfId="99"/>
    <cellStyle name="백분율 [2]" xfId="100"/>
    <cellStyle name="뷭?_BOOKSHIP" xfId="101"/>
    <cellStyle name="산출식" xfId="102"/>
    <cellStyle name="선택영역" xfId="103"/>
    <cellStyle name="선택영역 가운데" xfId="104"/>
    <cellStyle name="선택영역_토공수량" xfId="105"/>
    <cellStyle name="선택영역의 가운데" xfId="106"/>
    <cellStyle name="선택영영" xfId="107"/>
    <cellStyle name="소공종" xfId="108"/>
    <cellStyle name="소숫점0" xfId="109"/>
    <cellStyle name="소숫점3" xfId="110"/>
    <cellStyle name="수량산출" xfId="111"/>
    <cellStyle name="숫자" xfId="112"/>
    <cellStyle name="숫자(R)" xfId="113"/>
    <cellStyle name="숫자1" xfId="114"/>
    <cellStyle name="숫자3" xfId="115"/>
    <cellStyle name="숫자3R" xfId="116"/>
    <cellStyle name="숫자3자리" xfId="117"/>
    <cellStyle name="쉼표 [0]" xfId="1" builtinId="6"/>
    <cellStyle name="쉼표 [0] 2" xfId="2"/>
    <cellStyle name="쉼표 [0] 2 2" xfId="139"/>
    <cellStyle name="쉼표 [0] 3" xfId="147"/>
    <cellStyle name="쉼표 [0] 6" xfId="3"/>
    <cellStyle name="쉼표 [0] 6 2" xfId="140"/>
    <cellStyle name="쉼표 [0] 6 3" xfId="118"/>
    <cellStyle name="스타일 1" xfId="119"/>
    <cellStyle name="안건회계법인" xfId="120"/>
    <cellStyle name="양식-타이틀" xfId="121"/>
    <cellStyle name="유1" xfId="122"/>
    <cellStyle name="일반" xfId="123"/>
    <cellStyle name="자리수" xfId="124"/>
    <cellStyle name="자리수0" xfId="125"/>
    <cellStyle name="지정되지 않음" xfId="126"/>
    <cellStyle name="콤마 [0]_ 4.하중계산  " xfId="127"/>
    <cellStyle name="콤마 [1]" xfId="128"/>
    <cellStyle name="콤마 [2]" xfId="129"/>
    <cellStyle name="콤마_ 4.하중계산  " xfId="130"/>
    <cellStyle name="통화 [0] 2" xfId="131"/>
    <cellStyle name="통화 [0㉝〸" xfId="132"/>
    <cellStyle name="퍼센트" xfId="133"/>
    <cellStyle name="표준" xfId="0" builtinId="0"/>
    <cellStyle name="표준 12" xfId="143"/>
    <cellStyle name="표준 2" xfId="4"/>
    <cellStyle name="표준 2 3" xfId="5"/>
    <cellStyle name="표준 2 3 2" xfId="141"/>
    <cellStyle name="표준 3" xfId="138"/>
    <cellStyle name="표준 3 2" xfId="144"/>
    <cellStyle name="표준 4" xfId="6"/>
    <cellStyle name="표준 5" xfId="7"/>
    <cellStyle name="표준 5 2" xfId="142"/>
    <cellStyle name="표준 5 3" xfId="134"/>
    <cellStyle name="표준 6" xfId="145"/>
    <cellStyle name="표준_55" xfId="146"/>
    <cellStyle name="합산" xfId="135"/>
    <cellStyle name="화폐기호" xfId="136"/>
    <cellStyle name="화폐기호0" xfId="1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112"/>
  <sheetViews>
    <sheetView showGridLines="0" tabSelected="1" zoomScale="70" zoomScaleNormal="70" zoomScaleSheetLayoutView="40" workbookViewId="0">
      <selection activeCell="R3" sqref="R3"/>
    </sheetView>
  </sheetViews>
  <sheetFormatPr defaultRowHeight="16.5"/>
  <cols>
    <col min="1" max="1" width="3.375" customWidth="1"/>
    <col min="2" max="2" width="6" style="23" customWidth="1"/>
    <col min="3" max="3" width="32.625" customWidth="1"/>
    <col min="4" max="4" width="9.25" bestFit="1" customWidth="1"/>
    <col min="5" max="5" width="13.875" bestFit="1" customWidth="1"/>
    <col min="6" max="6" width="13.25" bestFit="1" customWidth="1"/>
    <col min="7" max="8" width="16.625" customWidth="1"/>
    <col min="9" max="9" width="8.125" style="76" customWidth="1"/>
    <col min="10" max="10" width="10.75" style="76" customWidth="1"/>
    <col min="11" max="11" width="26.125" style="24" customWidth="1"/>
    <col min="12" max="12" width="10" style="28" bestFit="1" customWidth="1"/>
    <col min="13" max="13" width="10.75" style="28" bestFit="1" customWidth="1"/>
    <col min="14" max="14" width="9.375" style="28" customWidth="1"/>
    <col min="15" max="15" width="9.375" style="219" customWidth="1"/>
    <col min="16" max="16" width="8.125" customWidth="1"/>
    <col min="17" max="17" width="9.375" bestFit="1" customWidth="1"/>
    <col min="18" max="18" width="9.625" customWidth="1"/>
    <col min="19" max="20" width="8.125" customWidth="1"/>
    <col min="21" max="21" width="10.25" bestFit="1" customWidth="1"/>
    <col min="22" max="22" width="11.125" bestFit="1" customWidth="1"/>
    <col min="23" max="23" width="9.25" bestFit="1" customWidth="1"/>
    <col min="24" max="24" width="8.125" customWidth="1"/>
    <col min="25" max="25" width="11.25" bestFit="1" customWidth="1"/>
    <col min="26" max="26" width="9.875" bestFit="1" customWidth="1"/>
    <col min="27" max="28" width="8.125" customWidth="1"/>
    <col min="29" max="29" width="10.25" bestFit="1" customWidth="1"/>
    <col min="30" max="33" width="8.125" customWidth="1"/>
    <col min="34" max="34" width="10.125" bestFit="1" customWidth="1"/>
    <col min="35" max="37" width="8.125" customWidth="1"/>
    <col min="38" max="38" width="8.25" customWidth="1"/>
    <col min="39" max="39" width="11.125" bestFit="1" customWidth="1"/>
    <col min="40" max="41" width="8.25" customWidth="1"/>
    <col min="42" max="42" width="11.125" style="17" bestFit="1" customWidth="1"/>
    <col min="43" max="51" width="8.25" customWidth="1"/>
    <col min="52" max="55" width="8.25" style="16" customWidth="1"/>
    <col min="56" max="60" width="8.25" customWidth="1"/>
    <col min="61" max="61" width="10.25" bestFit="1" customWidth="1"/>
    <col min="62" max="64" width="8.25" customWidth="1"/>
    <col min="65" max="65" width="11.125" bestFit="1" customWidth="1"/>
    <col min="66" max="68" width="8.25" customWidth="1"/>
    <col min="69" max="69" width="11.125" bestFit="1" customWidth="1"/>
    <col min="70" max="70" width="8.25" customWidth="1"/>
    <col min="71" max="71" width="11.125" bestFit="1" customWidth="1"/>
    <col min="72" max="74" width="8.25" customWidth="1"/>
    <col min="75" max="75" width="11.125" bestFit="1" customWidth="1"/>
    <col min="76" max="77" width="8.25" customWidth="1"/>
    <col min="78" max="79" width="9.625" bestFit="1" customWidth="1"/>
    <col min="80" max="81" width="8.25" customWidth="1"/>
    <col min="82" max="82" width="9.625" bestFit="1" customWidth="1"/>
    <col min="83" max="83" width="11.625" bestFit="1" customWidth="1"/>
    <col min="84" max="85" width="8.25" customWidth="1"/>
    <col min="86" max="86" width="9.625" bestFit="1" customWidth="1"/>
    <col min="87" max="87" width="9.75" bestFit="1" customWidth="1"/>
    <col min="88" max="95" width="8.25" customWidth="1"/>
    <col min="96" max="96" width="8.25" style="22" customWidth="1"/>
    <col min="97" max="97" width="8.25" customWidth="1"/>
    <col min="99" max="99" width="2.625" customWidth="1"/>
    <col min="102" max="102" width="12.25" customWidth="1"/>
    <col min="103" max="103" width="10.375" style="23" bestFit="1" customWidth="1"/>
    <col min="109" max="109" width="1.625" style="88" customWidth="1"/>
    <col min="110" max="110" width="14.75" style="23" customWidth="1"/>
    <col min="111" max="112" width="9" style="88"/>
  </cols>
  <sheetData>
    <row r="1" spans="1:112" ht="33" customHeight="1">
      <c r="B1" s="392" t="s">
        <v>180</v>
      </c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  <c r="P1" s="392"/>
      <c r="Q1" s="392"/>
      <c r="R1" s="302"/>
      <c r="S1" s="302"/>
      <c r="T1" s="302"/>
      <c r="U1" s="302"/>
      <c r="V1" s="302"/>
      <c r="W1" s="302"/>
      <c r="X1" s="302"/>
      <c r="Y1" s="302"/>
      <c r="Z1" s="302"/>
      <c r="AA1" s="302"/>
      <c r="AB1" s="302"/>
      <c r="AC1" s="302"/>
      <c r="AD1" s="302"/>
      <c r="AE1" s="302"/>
      <c r="AF1" s="302"/>
      <c r="AG1" s="302"/>
      <c r="AH1" s="302"/>
      <c r="AI1" s="302"/>
      <c r="AJ1" s="302"/>
      <c r="AK1" s="302"/>
    </row>
    <row r="2" spans="1:112" ht="45">
      <c r="B2" s="392" t="s">
        <v>179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03"/>
      <c r="Q2" s="303"/>
      <c r="R2" s="302"/>
      <c r="S2" s="302"/>
      <c r="T2" s="302"/>
      <c r="U2" s="302"/>
      <c r="V2" s="302"/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</row>
    <row r="3" spans="1:112" ht="24.95" customHeight="1">
      <c r="C3" s="2"/>
      <c r="D3" s="2"/>
      <c r="E3" s="3"/>
      <c r="F3" s="3"/>
      <c r="O3" s="304" t="s">
        <v>181</v>
      </c>
      <c r="AH3" s="1"/>
    </row>
    <row r="4" spans="1:112" ht="24.95" customHeight="1">
      <c r="C4" s="2"/>
      <c r="D4" s="2"/>
      <c r="E4" s="3"/>
      <c r="F4" s="3"/>
      <c r="AH4" s="1"/>
    </row>
    <row r="5" spans="1:112" s="6" customFormat="1" ht="17.25" customHeight="1">
      <c r="A5" s="363"/>
      <c r="B5" s="364" t="s">
        <v>1</v>
      </c>
      <c r="C5" s="364"/>
      <c r="D5" s="364"/>
      <c r="E5" s="364"/>
      <c r="F5" s="364"/>
      <c r="G5" s="364" t="s">
        <v>15</v>
      </c>
      <c r="H5" s="364"/>
      <c r="I5" s="365" t="s">
        <v>47</v>
      </c>
      <c r="J5" s="365" t="s">
        <v>48</v>
      </c>
      <c r="K5" s="369" t="s">
        <v>50</v>
      </c>
      <c r="L5" s="369" t="s">
        <v>51</v>
      </c>
      <c r="M5" s="369" t="s">
        <v>52</v>
      </c>
      <c r="N5" s="369" t="s">
        <v>80</v>
      </c>
      <c r="O5" s="369" t="s">
        <v>122</v>
      </c>
      <c r="P5" s="370" t="s">
        <v>27</v>
      </c>
      <c r="Q5" s="370"/>
      <c r="R5" s="370"/>
      <c r="S5" s="370"/>
      <c r="T5" s="370"/>
      <c r="U5" s="370"/>
      <c r="V5" s="370"/>
      <c r="W5" s="370"/>
      <c r="X5" s="370"/>
      <c r="Y5" s="370"/>
      <c r="Z5" s="370"/>
      <c r="AA5" s="370"/>
      <c r="AB5" s="370"/>
      <c r="AC5" s="370"/>
      <c r="AD5" s="370"/>
      <c r="AE5" s="370"/>
      <c r="AF5" s="370"/>
      <c r="AG5" s="370"/>
      <c r="AH5" s="370"/>
      <c r="AI5" s="370"/>
      <c r="AJ5" s="370"/>
      <c r="AK5" s="370"/>
      <c r="AL5" s="370"/>
      <c r="AM5" s="370"/>
      <c r="AN5" s="370"/>
      <c r="AO5" s="370"/>
      <c r="AP5" s="370"/>
      <c r="AQ5" s="367" t="s">
        <v>32</v>
      </c>
      <c r="AR5" s="367"/>
      <c r="AS5" s="367"/>
      <c r="AT5" s="367"/>
      <c r="AU5" s="367"/>
      <c r="AV5" s="367"/>
      <c r="AW5" s="367"/>
      <c r="AX5" s="367"/>
      <c r="AY5" s="367"/>
      <c r="AZ5" s="367"/>
      <c r="BA5" s="367"/>
      <c r="BB5" s="367"/>
      <c r="BC5" s="367"/>
      <c r="BD5" s="367"/>
      <c r="BE5" s="367"/>
      <c r="BF5" s="367"/>
      <c r="BG5" s="367"/>
      <c r="BH5" s="367"/>
      <c r="BI5" s="367"/>
      <c r="BJ5" s="367"/>
      <c r="BK5" s="367"/>
      <c r="BL5" s="367"/>
      <c r="BM5" s="367"/>
      <c r="BN5" s="367"/>
      <c r="BO5" s="367"/>
      <c r="BP5" s="367"/>
      <c r="BQ5" s="367"/>
      <c r="BR5" s="373" t="s">
        <v>24</v>
      </c>
      <c r="BS5" s="373"/>
      <c r="BT5" s="373"/>
      <c r="BU5" s="373"/>
      <c r="BV5" s="373"/>
      <c r="BW5" s="373"/>
      <c r="BX5" s="373"/>
      <c r="BY5" s="373"/>
      <c r="BZ5" s="373"/>
      <c r="CA5" s="373"/>
      <c r="CB5" s="373"/>
      <c r="CC5" s="373"/>
      <c r="CD5" s="373"/>
      <c r="CE5" s="373"/>
      <c r="CF5" s="373"/>
      <c r="CG5" s="373"/>
      <c r="CH5" s="373"/>
      <c r="CI5" s="373"/>
      <c r="CJ5" s="373"/>
      <c r="CK5" s="373"/>
      <c r="CL5" s="373"/>
      <c r="CM5" s="373"/>
      <c r="CN5" s="373"/>
      <c r="CO5" s="373"/>
      <c r="CP5" s="373"/>
      <c r="CQ5" s="372" t="s">
        <v>130</v>
      </c>
      <c r="CR5" s="372"/>
      <c r="CS5" s="372"/>
      <c r="CT5" s="372"/>
      <c r="CV5" s="379" t="s">
        <v>79</v>
      </c>
      <c r="CW5" s="379"/>
      <c r="CX5" s="7" t="s">
        <v>78</v>
      </c>
      <c r="CY5" s="7" t="s">
        <v>75</v>
      </c>
      <c r="CZ5" s="7" t="s">
        <v>76</v>
      </c>
      <c r="DA5" s="7" t="s">
        <v>77</v>
      </c>
      <c r="DB5" s="7" t="s">
        <v>83</v>
      </c>
      <c r="DC5" s="7" t="s">
        <v>84</v>
      </c>
      <c r="DD5" s="7" t="s">
        <v>85</v>
      </c>
      <c r="DF5" s="46"/>
      <c r="DG5" s="377" t="s">
        <v>81</v>
      </c>
      <c r="DH5" s="377"/>
    </row>
    <row r="6" spans="1:112" s="6" customFormat="1" ht="17.25" customHeight="1">
      <c r="A6" s="363"/>
      <c r="B6" s="364"/>
      <c r="C6" s="364"/>
      <c r="D6" s="364"/>
      <c r="E6" s="364"/>
      <c r="F6" s="364"/>
      <c r="G6" s="364"/>
      <c r="H6" s="364"/>
      <c r="I6" s="366"/>
      <c r="J6" s="366"/>
      <c r="K6" s="364"/>
      <c r="L6" s="364"/>
      <c r="M6" s="364"/>
      <c r="N6" s="364"/>
      <c r="O6" s="364"/>
      <c r="P6" s="368" t="s">
        <v>38</v>
      </c>
      <c r="Q6" s="368" t="s">
        <v>28</v>
      </c>
      <c r="R6" s="368"/>
      <c r="S6" s="368"/>
      <c r="T6" s="368"/>
      <c r="U6" s="368" t="s">
        <v>29</v>
      </c>
      <c r="V6" s="368"/>
      <c r="W6" s="368"/>
      <c r="X6" s="368"/>
      <c r="Y6" s="368" t="s">
        <v>8</v>
      </c>
      <c r="Z6" s="368"/>
      <c r="AA6" s="368"/>
      <c r="AB6" s="368"/>
      <c r="AC6" s="368"/>
      <c r="AD6" s="368"/>
      <c r="AE6" s="368"/>
      <c r="AF6" s="368"/>
      <c r="AG6" s="368"/>
      <c r="AH6" s="368"/>
      <c r="AI6" s="368"/>
      <c r="AJ6" s="368"/>
      <c r="AK6" s="368"/>
      <c r="AL6" s="368" t="s">
        <v>35</v>
      </c>
      <c r="AM6" s="368"/>
      <c r="AN6" s="368"/>
      <c r="AO6" s="368"/>
      <c r="AP6" s="371" t="s">
        <v>33</v>
      </c>
      <c r="AQ6" s="367" t="s">
        <v>9</v>
      </c>
      <c r="AR6" s="367"/>
      <c r="AS6" s="367"/>
      <c r="AT6" s="367"/>
      <c r="AU6" s="367"/>
      <c r="AV6" s="367"/>
      <c r="AW6" s="367"/>
      <c r="AX6" s="367"/>
      <c r="AY6" s="367"/>
      <c r="AZ6" s="367" t="s">
        <v>23</v>
      </c>
      <c r="BA6" s="367"/>
      <c r="BB6" s="367"/>
      <c r="BC6" s="367"/>
      <c r="BD6" s="367"/>
      <c r="BE6" s="367"/>
      <c r="BF6" s="367"/>
      <c r="BG6" s="367"/>
      <c r="BH6" s="367"/>
      <c r="BI6" s="367"/>
      <c r="BJ6" s="367"/>
      <c r="BK6" s="367"/>
      <c r="BL6" s="367"/>
      <c r="BM6" s="367"/>
      <c r="BN6" s="367"/>
      <c r="BO6" s="367"/>
      <c r="BP6" s="367"/>
      <c r="BQ6" s="374" t="s">
        <v>40</v>
      </c>
      <c r="BR6" s="373" t="s">
        <v>12</v>
      </c>
      <c r="BS6" s="373"/>
      <c r="BT6" s="373"/>
      <c r="BU6" s="373"/>
      <c r="BV6" s="373" t="s">
        <v>10</v>
      </c>
      <c r="BW6" s="373"/>
      <c r="BX6" s="373"/>
      <c r="BY6" s="373"/>
      <c r="BZ6" s="373" t="s">
        <v>11</v>
      </c>
      <c r="CA6" s="373"/>
      <c r="CB6" s="373"/>
      <c r="CC6" s="373"/>
      <c r="CD6" s="373" t="s">
        <v>13</v>
      </c>
      <c r="CE6" s="373"/>
      <c r="CF6" s="373"/>
      <c r="CG6" s="373"/>
      <c r="CH6" s="373" t="s">
        <v>14</v>
      </c>
      <c r="CI6" s="373"/>
      <c r="CJ6" s="373"/>
      <c r="CK6" s="373"/>
      <c r="CL6" s="373" t="s">
        <v>39</v>
      </c>
      <c r="CM6" s="373"/>
      <c r="CN6" s="373"/>
      <c r="CO6" s="373"/>
      <c r="CP6" s="376" t="s">
        <v>41</v>
      </c>
      <c r="CQ6" s="372"/>
      <c r="CR6" s="372"/>
      <c r="CS6" s="372"/>
      <c r="CT6" s="372"/>
      <c r="CV6" s="379" t="s">
        <v>73</v>
      </c>
      <c r="CW6" s="379"/>
      <c r="CX6" s="81">
        <v>5776.95</v>
      </c>
      <c r="CY6" s="44">
        <v>1000</v>
      </c>
      <c r="CZ6" s="74">
        <f>CX6/CY6</f>
        <v>5.7769500000000003</v>
      </c>
      <c r="DA6" s="73">
        <v>3</v>
      </c>
      <c r="DB6" s="74">
        <f>CZ6/DA6</f>
        <v>1.9256500000000001</v>
      </c>
      <c r="DC6" s="38">
        <v>10</v>
      </c>
      <c r="DD6" s="38">
        <f>DB6*DC6</f>
        <v>19.256500000000003</v>
      </c>
      <c r="DF6" s="46" t="s">
        <v>102</v>
      </c>
      <c r="DG6" s="378">
        <f>42-4</f>
        <v>38</v>
      </c>
      <c r="DH6" s="378"/>
    </row>
    <row r="7" spans="1:112" s="6" customFormat="1" ht="17.25" customHeight="1">
      <c r="A7" s="363"/>
      <c r="B7" s="364"/>
      <c r="C7" s="364"/>
      <c r="D7" s="364"/>
      <c r="E7" s="364"/>
      <c r="F7" s="364"/>
      <c r="G7" s="364"/>
      <c r="H7" s="364"/>
      <c r="I7" s="366"/>
      <c r="J7" s="366"/>
      <c r="K7" s="364"/>
      <c r="L7" s="364"/>
      <c r="M7" s="364"/>
      <c r="N7" s="364"/>
      <c r="O7" s="364"/>
      <c r="P7" s="368"/>
      <c r="Q7" s="368"/>
      <c r="R7" s="368"/>
      <c r="S7" s="368"/>
      <c r="T7" s="368"/>
      <c r="U7" s="368"/>
      <c r="V7" s="368"/>
      <c r="W7" s="368"/>
      <c r="X7" s="368"/>
      <c r="Y7" s="368" t="s">
        <v>31</v>
      </c>
      <c r="Z7" s="368"/>
      <c r="AA7" s="368"/>
      <c r="AB7" s="368"/>
      <c r="AC7" s="368" t="s">
        <v>30</v>
      </c>
      <c r="AD7" s="368"/>
      <c r="AE7" s="368"/>
      <c r="AF7" s="368"/>
      <c r="AG7" s="368" t="s">
        <v>22</v>
      </c>
      <c r="AH7" s="368"/>
      <c r="AI7" s="368"/>
      <c r="AJ7" s="368"/>
      <c r="AK7" s="368" t="s">
        <v>19</v>
      </c>
      <c r="AL7" s="368"/>
      <c r="AM7" s="368"/>
      <c r="AN7" s="368"/>
      <c r="AO7" s="368"/>
      <c r="AP7" s="370"/>
      <c r="AQ7" s="367" t="s">
        <v>34</v>
      </c>
      <c r="AR7" s="367"/>
      <c r="AS7" s="367"/>
      <c r="AT7" s="367"/>
      <c r="AU7" s="367" t="s">
        <v>36</v>
      </c>
      <c r="AV7" s="367"/>
      <c r="AW7" s="367"/>
      <c r="AX7" s="367"/>
      <c r="AY7" s="367" t="s">
        <v>37</v>
      </c>
      <c r="AZ7" s="367" t="s">
        <v>55</v>
      </c>
      <c r="BA7" s="367"/>
      <c r="BB7" s="367"/>
      <c r="BC7" s="367"/>
      <c r="BD7" s="367" t="s">
        <v>21</v>
      </c>
      <c r="BE7" s="367"/>
      <c r="BF7" s="367"/>
      <c r="BG7" s="367"/>
      <c r="BH7" s="367" t="s">
        <v>20</v>
      </c>
      <c r="BI7" s="367"/>
      <c r="BJ7" s="367"/>
      <c r="BK7" s="367"/>
      <c r="BL7" s="367" t="s">
        <v>22</v>
      </c>
      <c r="BM7" s="367"/>
      <c r="BN7" s="367"/>
      <c r="BO7" s="367"/>
      <c r="BP7" s="367" t="s">
        <v>7</v>
      </c>
      <c r="BQ7" s="375"/>
      <c r="BR7" s="373"/>
      <c r="BS7" s="373"/>
      <c r="BT7" s="373"/>
      <c r="BU7" s="373"/>
      <c r="BV7" s="373"/>
      <c r="BW7" s="373"/>
      <c r="BX7" s="373"/>
      <c r="BY7" s="373"/>
      <c r="BZ7" s="373"/>
      <c r="CA7" s="373"/>
      <c r="CB7" s="373"/>
      <c r="CC7" s="373"/>
      <c r="CD7" s="373"/>
      <c r="CE7" s="373"/>
      <c r="CF7" s="373"/>
      <c r="CG7" s="373"/>
      <c r="CH7" s="373"/>
      <c r="CI7" s="373"/>
      <c r="CJ7" s="373"/>
      <c r="CK7" s="373"/>
      <c r="CL7" s="373"/>
      <c r="CM7" s="373"/>
      <c r="CN7" s="373"/>
      <c r="CO7" s="373"/>
      <c r="CP7" s="373"/>
      <c r="CQ7" s="372" t="s">
        <v>42</v>
      </c>
      <c r="CR7" s="372" t="s">
        <v>43</v>
      </c>
      <c r="CS7" s="372" t="s">
        <v>44</v>
      </c>
      <c r="CT7" s="372" t="s">
        <v>45</v>
      </c>
      <c r="CV7" s="379" t="s">
        <v>74</v>
      </c>
      <c r="CW7" s="379"/>
      <c r="CX7" s="81">
        <v>6616.59</v>
      </c>
      <c r="CY7" s="44">
        <v>1000</v>
      </c>
      <c r="CZ7" s="74">
        <f>CX7/CY7</f>
        <v>6.6165900000000004</v>
      </c>
      <c r="DA7" s="73">
        <v>3</v>
      </c>
      <c r="DB7" s="74">
        <f>CZ7/DA7</f>
        <v>2.20553</v>
      </c>
      <c r="DC7" s="38">
        <v>10</v>
      </c>
      <c r="DD7" s="38">
        <f>DB7*DC7</f>
        <v>22.055299999999999</v>
      </c>
      <c r="DF7" s="46" t="s">
        <v>103</v>
      </c>
      <c r="DG7" s="378">
        <f>42-4-8.5</f>
        <v>29.5</v>
      </c>
      <c r="DH7" s="378"/>
    </row>
    <row r="8" spans="1:112" s="6" customFormat="1" ht="17.25" customHeight="1">
      <c r="B8" s="31" t="s">
        <v>46</v>
      </c>
      <c r="C8" s="31" t="s">
        <v>16</v>
      </c>
      <c r="D8" s="31" t="s">
        <v>25</v>
      </c>
      <c r="E8" s="31" t="s">
        <v>17</v>
      </c>
      <c r="F8" s="242" t="s">
        <v>26</v>
      </c>
      <c r="G8" s="31" t="s">
        <v>2</v>
      </c>
      <c r="H8" s="31" t="s">
        <v>3</v>
      </c>
      <c r="I8" s="366"/>
      <c r="J8" s="366"/>
      <c r="K8" s="364"/>
      <c r="L8" s="364"/>
      <c r="M8" s="364"/>
      <c r="N8" s="364"/>
      <c r="O8" s="364"/>
      <c r="P8" s="368"/>
      <c r="Q8" s="30" t="s">
        <v>6</v>
      </c>
      <c r="R8" s="30" t="s">
        <v>4</v>
      </c>
      <c r="S8" s="30" t="s">
        <v>0</v>
      </c>
      <c r="T8" s="30" t="s">
        <v>5</v>
      </c>
      <c r="U8" s="30" t="s">
        <v>6</v>
      </c>
      <c r="V8" s="30" t="s">
        <v>4</v>
      </c>
      <c r="W8" s="30" t="s">
        <v>0</v>
      </c>
      <c r="X8" s="30" t="s">
        <v>5</v>
      </c>
      <c r="Y8" s="30" t="s">
        <v>6</v>
      </c>
      <c r="Z8" s="30" t="s">
        <v>4</v>
      </c>
      <c r="AA8" s="30" t="s">
        <v>0</v>
      </c>
      <c r="AB8" s="30" t="s">
        <v>5</v>
      </c>
      <c r="AC8" s="30" t="s">
        <v>6</v>
      </c>
      <c r="AD8" s="30" t="s">
        <v>4</v>
      </c>
      <c r="AE8" s="30" t="s">
        <v>0</v>
      </c>
      <c r="AF8" s="30" t="s">
        <v>5</v>
      </c>
      <c r="AG8" s="30" t="s">
        <v>6</v>
      </c>
      <c r="AH8" s="30" t="s">
        <v>4</v>
      </c>
      <c r="AI8" s="30" t="s">
        <v>0</v>
      </c>
      <c r="AJ8" s="30" t="s">
        <v>5</v>
      </c>
      <c r="AK8" s="368"/>
      <c r="AL8" s="30" t="s">
        <v>6</v>
      </c>
      <c r="AM8" s="30" t="s">
        <v>4</v>
      </c>
      <c r="AN8" s="30" t="s">
        <v>0</v>
      </c>
      <c r="AO8" s="30" t="s">
        <v>5</v>
      </c>
      <c r="AP8" s="370"/>
      <c r="AQ8" s="27" t="s">
        <v>6</v>
      </c>
      <c r="AR8" s="27" t="s">
        <v>4</v>
      </c>
      <c r="AS8" s="27" t="s">
        <v>0</v>
      </c>
      <c r="AT8" s="27" t="s">
        <v>5</v>
      </c>
      <c r="AU8" s="27" t="s">
        <v>6</v>
      </c>
      <c r="AV8" s="27" t="s">
        <v>4</v>
      </c>
      <c r="AW8" s="27" t="s">
        <v>0</v>
      </c>
      <c r="AX8" s="27" t="s">
        <v>5</v>
      </c>
      <c r="AY8" s="367"/>
      <c r="AZ8" s="27" t="s">
        <v>6</v>
      </c>
      <c r="BA8" s="27" t="s">
        <v>4</v>
      </c>
      <c r="BB8" s="27" t="s">
        <v>0</v>
      </c>
      <c r="BC8" s="27" t="s">
        <v>5</v>
      </c>
      <c r="BD8" s="27" t="s">
        <v>6</v>
      </c>
      <c r="BE8" s="27" t="s">
        <v>4</v>
      </c>
      <c r="BF8" s="27" t="s">
        <v>0</v>
      </c>
      <c r="BG8" s="27" t="s">
        <v>5</v>
      </c>
      <c r="BH8" s="27" t="s">
        <v>6</v>
      </c>
      <c r="BI8" s="27" t="s">
        <v>4</v>
      </c>
      <c r="BJ8" s="27" t="s">
        <v>0</v>
      </c>
      <c r="BK8" s="27" t="s">
        <v>5</v>
      </c>
      <c r="BL8" s="27" t="s">
        <v>6</v>
      </c>
      <c r="BM8" s="27" t="s">
        <v>4</v>
      </c>
      <c r="BN8" s="27" t="s">
        <v>0</v>
      </c>
      <c r="BO8" s="27" t="s">
        <v>5</v>
      </c>
      <c r="BP8" s="367"/>
      <c r="BQ8" s="375"/>
      <c r="BR8" s="26" t="s">
        <v>6</v>
      </c>
      <c r="BS8" s="26" t="s">
        <v>4</v>
      </c>
      <c r="BT8" s="26" t="s">
        <v>0</v>
      </c>
      <c r="BU8" s="26" t="s">
        <v>5</v>
      </c>
      <c r="BV8" s="26" t="s">
        <v>6</v>
      </c>
      <c r="BW8" s="26" t="s">
        <v>4</v>
      </c>
      <c r="BX8" s="26" t="s">
        <v>0</v>
      </c>
      <c r="BY8" s="26" t="s">
        <v>5</v>
      </c>
      <c r="BZ8" s="26" t="s">
        <v>6</v>
      </c>
      <c r="CA8" s="26" t="s">
        <v>4</v>
      </c>
      <c r="CB8" s="26" t="s">
        <v>0</v>
      </c>
      <c r="CC8" s="26" t="s">
        <v>5</v>
      </c>
      <c r="CD8" s="26" t="s">
        <v>6</v>
      </c>
      <c r="CE8" s="26" t="s">
        <v>4</v>
      </c>
      <c r="CF8" s="26" t="s">
        <v>0</v>
      </c>
      <c r="CG8" s="26" t="s">
        <v>5</v>
      </c>
      <c r="CH8" s="26" t="s">
        <v>6</v>
      </c>
      <c r="CI8" s="26" t="s">
        <v>4</v>
      </c>
      <c r="CJ8" s="26" t="s">
        <v>0</v>
      </c>
      <c r="CK8" s="26" t="s">
        <v>5</v>
      </c>
      <c r="CL8" s="26" t="s">
        <v>6</v>
      </c>
      <c r="CM8" s="26" t="s">
        <v>4</v>
      </c>
      <c r="CN8" s="26" t="s">
        <v>0</v>
      </c>
      <c r="CO8" s="26" t="s">
        <v>5</v>
      </c>
      <c r="CP8" s="373"/>
      <c r="CQ8" s="372"/>
      <c r="CR8" s="372"/>
      <c r="CS8" s="372"/>
      <c r="CT8" s="372"/>
      <c r="CV8" s="379" t="s">
        <v>82</v>
      </c>
      <c r="CW8" s="379"/>
      <c r="CX8" s="81">
        <f>CX6+CX7</f>
        <v>12393.54</v>
      </c>
      <c r="CY8" s="44">
        <v>1000</v>
      </c>
      <c r="CZ8" s="74">
        <f>CX8/CY8</f>
        <v>12.393540000000002</v>
      </c>
      <c r="DA8" s="73">
        <v>3</v>
      </c>
      <c r="DB8" s="74">
        <f>CZ8/DA8</f>
        <v>4.1311800000000005</v>
      </c>
      <c r="DC8" s="38">
        <v>10</v>
      </c>
      <c r="DD8" s="38">
        <f>DB8*DC8</f>
        <v>41.311800000000005</v>
      </c>
      <c r="DF8" s="46"/>
    </row>
    <row r="9" spans="1:112" s="6" customFormat="1" ht="17.25" customHeight="1">
      <c r="B9" s="7">
        <v>0</v>
      </c>
      <c r="C9" s="7" t="s">
        <v>57</v>
      </c>
      <c r="D9" s="7"/>
      <c r="E9" s="7" t="s">
        <v>18</v>
      </c>
      <c r="F9" s="271"/>
      <c r="G9" s="34"/>
      <c r="H9" s="77"/>
      <c r="I9" s="82">
        <f>H9-G9</f>
        <v>0</v>
      </c>
      <c r="J9" s="82">
        <f>I9</f>
        <v>0</v>
      </c>
      <c r="K9" s="32"/>
      <c r="L9" s="35"/>
      <c r="M9" s="35"/>
      <c r="N9" s="118"/>
      <c r="O9" s="150"/>
      <c r="P9" s="19">
        <v>3</v>
      </c>
      <c r="Q9" s="33"/>
      <c r="R9" s="8">
        <v>53.9</v>
      </c>
      <c r="S9" s="9">
        <v>2</v>
      </c>
      <c r="T9" s="10">
        <f t="shared" ref="T9:T27" si="0">CEILING(Q9/R9/S9,0.5)</f>
        <v>0</v>
      </c>
      <c r="U9" s="33"/>
      <c r="V9" s="11">
        <v>190</v>
      </c>
      <c r="W9" s="9">
        <v>2</v>
      </c>
      <c r="X9" s="10">
        <f t="shared" ref="X9:X27" si="1">CEILING(U9/V9/W9,0.5)</f>
        <v>0</v>
      </c>
      <c r="Y9" s="33"/>
      <c r="Z9" s="11">
        <v>42</v>
      </c>
      <c r="AA9" s="9">
        <v>2</v>
      </c>
      <c r="AB9" s="12" t="str">
        <f>IF(Y9="","",CEILING(Y9/Z9/AA9,0.5)+1)</f>
        <v/>
      </c>
      <c r="AC9" s="33"/>
      <c r="AD9" s="11">
        <v>40</v>
      </c>
      <c r="AE9" s="9">
        <v>2</v>
      </c>
      <c r="AF9" s="10">
        <f>CEILING(AC9/AD9/AE9,0.5)</f>
        <v>0</v>
      </c>
      <c r="AG9" s="33"/>
      <c r="AH9" s="11">
        <v>130</v>
      </c>
      <c r="AI9" s="9">
        <v>1</v>
      </c>
      <c r="AJ9" s="12" t="str">
        <f>IF(AG9="","",ROUNDUP(AG9/AH9/AI9,0)+1)</f>
        <v/>
      </c>
      <c r="AK9" s="19">
        <f t="shared" ref="AK9" si="2">IF(E9="보통",2,IF(E9="조강",1,""))</f>
        <v>2</v>
      </c>
      <c r="AL9" s="33"/>
      <c r="AM9" s="11">
        <v>225</v>
      </c>
      <c r="AN9" s="9">
        <v>1</v>
      </c>
      <c r="AO9" s="10">
        <f>CEILING(AL9/AM9/AN9,0.5)</f>
        <v>0</v>
      </c>
      <c r="AP9" s="18">
        <f>ROUNDUP(SUM(P9,T9,X9,AB9,AF9,AJ9,AK9,AO9),0)</f>
        <v>5</v>
      </c>
      <c r="AQ9" s="29"/>
      <c r="AR9" s="13">
        <v>40</v>
      </c>
      <c r="AS9" s="9">
        <v>1</v>
      </c>
      <c r="AT9" s="10">
        <f t="shared" ref="AT9:AT27" si="3">CEILING(AQ9/AR9/AS9,0.5)</f>
        <v>0</v>
      </c>
      <c r="AU9" s="29"/>
      <c r="AV9" s="11">
        <v>130</v>
      </c>
      <c r="AW9" s="9">
        <v>1</v>
      </c>
      <c r="AX9" s="12" t="str">
        <f t="shared" ref="AX9:AX27" si="4">IF(AU9="","",ROUNDUP(AU9/AV9/AW9,0)+1)</f>
        <v/>
      </c>
      <c r="AY9" s="19">
        <f t="shared" ref="AY9" si="5">IF(E9="보통",5,IF(E9="조강",2,""))</f>
        <v>5</v>
      </c>
      <c r="AZ9" s="29"/>
      <c r="BA9" s="25">
        <f t="shared" ref="BA9:BA66" si="6">20*(10+1)</f>
        <v>220</v>
      </c>
      <c r="BB9" s="9">
        <v>1</v>
      </c>
      <c r="BC9" s="10">
        <f t="shared" ref="BC9:BC27" si="7">CEILING(AZ9/BA9/BB9,0.5)</f>
        <v>0</v>
      </c>
      <c r="BD9" s="29"/>
      <c r="BE9" s="13">
        <v>35</v>
      </c>
      <c r="BF9" s="9">
        <v>2</v>
      </c>
      <c r="BG9" s="12" t="str">
        <f>IF(BD9="","",2)</f>
        <v/>
      </c>
      <c r="BH9" s="29"/>
      <c r="BI9" s="14">
        <v>3.4</v>
      </c>
      <c r="BJ9" s="9">
        <v>2</v>
      </c>
      <c r="BK9" s="10">
        <f t="shared" ref="BK9:BK27" si="8">CEILING(BH9/BI9/BJ9,0.5)</f>
        <v>0</v>
      </c>
      <c r="BL9" s="29"/>
      <c r="BM9" s="11">
        <v>125</v>
      </c>
      <c r="BN9" s="9">
        <v>1</v>
      </c>
      <c r="BO9" s="12" t="str">
        <f>IF(BL9="","",ROUNDUP(BL9/BM9/BN9,0)+1)</f>
        <v/>
      </c>
      <c r="BP9" s="19">
        <f t="shared" ref="BP9" si="9">IF(E9="보통",7,IF(E9="조강",3,""))</f>
        <v>7</v>
      </c>
      <c r="BQ9" s="21">
        <f>ROUNDUP(SUM(AT9,AX9,AY9,BC9,BG9,BK9,BO9,BP9),0)</f>
        <v>12</v>
      </c>
      <c r="BR9" s="29"/>
      <c r="BS9" s="11">
        <v>165</v>
      </c>
      <c r="BT9" s="9">
        <v>1</v>
      </c>
      <c r="BU9" s="10">
        <f>CEILING(BR9/BS9/BT9,0.5)</f>
        <v>0</v>
      </c>
      <c r="BV9" s="29"/>
      <c r="BW9" s="11">
        <v>150</v>
      </c>
      <c r="BX9" s="9">
        <v>2</v>
      </c>
      <c r="BY9" s="10">
        <f>CEILING(BV9/BW9/BX9,0.5)</f>
        <v>0</v>
      </c>
      <c r="BZ9" s="29"/>
      <c r="CA9" s="13">
        <v>320</v>
      </c>
      <c r="CB9" s="9">
        <v>2</v>
      </c>
      <c r="CC9" s="10">
        <f>CEILING(BZ9/CA9/CB9,0.5)</f>
        <v>0</v>
      </c>
      <c r="CD9" s="29"/>
      <c r="CE9" s="13">
        <v>8000</v>
      </c>
      <c r="CF9" s="9">
        <v>1</v>
      </c>
      <c r="CG9" s="10">
        <f>CEILING(CD9/CE9/CF9,0.5)</f>
        <v>0</v>
      </c>
      <c r="CH9" s="29"/>
      <c r="CI9" s="13">
        <v>300</v>
      </c>
      <c r="CJ9" s="9">
        <v>2</v>
      </c>
      <c r="CK9" s="10">
        <f>CEILING(CH9/CI9/CJ9,0.5)</f>
        <v>0</v>
      </c>
      <c r="CL9" s="41">
        <f t="shared" ref="CL9" si="10">I9</f>
        <v>0</v>
      </c>
      <c r="CM9" s="15">
        <v>50</v>
      </c>
      <c r="CN9" s="9">
        <v>1</v>
      </c>
      <c r="CO9" s="10">
        <f>CEILING(CL9/CM9/CN9,0.5)</f>
        <v>0</v>
      </c>
      <c r="CP9" s="20">
        <f>ROUNDUP(SUM(BU9,BY9,CC9,CG9,CK9,CO9),0)</f>
        <v>0</v>
      </c>
      <c r="CQ9" s="5">
        <f t="shared" ref="CQ9" si="11">AP9</f>
        <v>5</v>
      </c>
      <c r="CR9" s="5">
        <f t="shared" ref="CR9" si="12">BQ9</f>
        <v>12</v>
      </c>
      <c r="CS9" s="5">
        <f>CP9</f>
        <v>0</v>
      </c>
      <c r="CT9" s="5">
        <f>SUM(CQ9:CS9)</f>
        <v>17</v>
      </c>
      <c r="CY9" s="46"/>
      <c r="DF9" s="46"/>
    </row>
    <row r="10" spans="1:112" s="6" customFormat="1" ht="17.25" customHeight="1">
      <c r="B10" s="56">
        <v>0</v>
      </c>
      <c r="C10" s="59" t="s">
        <v>56</v>
      </c>
      <c r="D10" s="59"/>
      <c r="E10" s="56" t="s">
        <v>18</v>
      </c>
      <c r="F10" s="243"/>
      <c r="G10" s="54"/>
      <c r="H10" s="54"/>
      <c r="I10" s="53">
        <f t="shared" ref="I10" si="13">H10-G10</f>
        <v>0</v>
      </c>
      <c r="J10" s="53">
        <f t="shared" ref="J10" si="14">J9+I10</f>
        <v>0</v>
      </c>
      <c r="K10" s="40" t="s">
        <v>58</v>
      </c>
      <c r="L10" s="40"/>
      <c r="M10" s="40"/>
      <c r="N10" s="84"/>
      <c r="O10" s="151"/>
      <c r="P10" s="104">
        <v>3</v>
      </c>
      <c r="Q10" s="52">
        <v>286.8341999999999</v>
      </c>
      <c r="R10" s="55">
        <v>53.9</v>
      </c>
      <c r="S10" s="51">
        <v>2</v>
      </c>
      <c r="T10" s="50">
        <f t="shared" si="0"/>
        <v>3</v>
      </c>
      <c r="U10" s="116"/>
      <c r="V10" s="49">
        <v>190</v>
      </c>
      <c r="W10" s="51">
        <v>2</v>
      </c>
      <c r="X10" s="50">
        <f t="shared" si="1"/>
        <v>0</v>
      </c>
      <c r="Y10" s="390" t="s">
        <v>49</v>
      </c>
      <c r="Z10" s="390"/>
      <c r="AA10" s="390"/>
      <c r="AB10" s="390"/>
      <c r="AC10" s="117"/>
      <c r="AD10" s="103">
        <v>20</v>
      </c>
      <c r="AE10" s="51">
        <v>2</v>
      </c>
      <c r="AF10" s="50">
        <f t="shared" ref="AF10" si="15">CEILING(AC10/AD10/AE10,0.5)</f>
        <v>0</v>
      </c>
      <c r="AG10" s="116"/>
      <c r="AH10" s="49"/>
      <c r="AI10" s="51"/>
      <c r="AJ10" s="102"/>
      <c r="AK10" s="104"/>
      <c r="AL10" s="116"/>
      <c r="AM10" s="49">
        <v>225</v>
      </c>
      <c r="AN10" s="51">
        <v>1</v>
      </c>
      <c r="AO10" s="50">
        <f t="shared" ref="AO10" si="16">ROUND(AL10/AM10/AN10,0)</f>
        <v>0</v>
      </c>
      <c r="AP10" s="101">
        <f>ROUNDUP(SUM(T10,X10,AF10,AJ10,AK10,AO10),0)</f>
        <v>3</v>
      </c>
      <c r="AQ10" s="116"/>
      <c r="AR10" s="100">
        <v>40</v>
      </c>
      <c r="AS10" s="51">
        <v>1</v>
      </c>
      <c r="AT10" s="50">
        <f t="shared" si="3"/>
        <v>0</v>
      </c>
      <c r="AU10" s="116"/>
      <c r="AV10" s="49">
        <v>130</v>
      </c>
      <c r="AW10" s="51">
        <v>1</v>
      </c>
      <c r="AX10" s="102" t="str">
        <f t="shared" si="4"/>
        <v/>
      </c>
      <c r="AY10" s="104"/>
      <c r="AZ10" s="117"/>
      <c r="BA10" s="103">
        <f t="shared" si="6"/>
        <v>220</v>
      </c>
      <c r="BB10" s="51">
        <v>1</v>
      </c>
      <c r="BC10" s="50">
        <f t="shared" si="7"/>
        <v>0</v>
      </c>
      <c r="BD10" s="117"/>
      <c r="BE10" s="100">
        <v>35</v>
      </c>
      <c r="BF10" s="51">
        <v>2</v>
      </c>
      <c r="BG10" s="102" t="str">
        <f t="shared" ref="BG10" si="17">IF(BD10="","",2)</f>
        <v/>
      </c>
      <c r="BH10" s="117"/>
      <c r="BI10" s="99">
        <v>3.4</v>
      </c>
      <c r="BJ10" s="51">
        <v>2</v>
      </c>
      <c r="BK10" s="50">
        <f t="shared" si="8"/>
        <v>0</v>
      </c>
      <c r="BL10" s="117"/>
      <c r="BM10" s="49">
        <v>125</v>
      </c>
      <c r="BN10" s="51">
        <v>1</v>
      </c>
      <c r="BO10" s="102" t="str">
        <f t="shared" ref="BO10" si="18">IF(BL10="","",ROUNDUP(BL10/BM10/BN10,0)+1)</f>
        <v/>
      </c>
      <c r="BP10" s="104">
        <f t="shared" ref="BP10" si="19">IF(E10="보통",7,IF(E10="조강",3,""))</f>
        <v>7</v>
      </c>
      <c r="BQ10" s="98">
        <f t="shared" ref="BQ10:BQ15" si="20">ROUNDUP(SUM(AT10,AX10,AY10,BC10,BG10,BK10,BO10,BP10),0)</f>
        <v>7</v>
      </c>
      <c r="BR10" s="116"/>
      <c r="BS10" s="49">
        <v>165</v>
      </c>
      <c r="BT10" s="51">
        <v>1</v>
      </c>
      <c r="BU10" s="50">
        <f t="shared" ref="BU10" si="21">CEILING(BR10/BS10/BT10,0.5)</f>
        <v>0</v>
      </c>
      <c r="BV10" s="117"/>
      <c r="BW10" s="49">
        <v>150</v>
      </c>
      <c r="BX10" s="51">
        <v>2</v>
      </c>
      <c r="BY10" s="50">
        <f t="shared" ref="BY10" si="22">CEILING(BV10/BW10/BX10,0.5)</f>
        <v>0</v>
      </c>
      <c r="BZ10" s="117"/>
      <c r="CA10" s="100">
        <v>320</v>
      </c>
      <c r="CB10" s="51">
        <v>2</v>
      </c>
      <c r="CC10" s="50">
        <f t="shared" ref="CC10" si="23">CEILING(BZ10/CA10/CB10,0.5)</f>
        <v>0</v>
      </c>
      <c r="CD10" s="117"/>
      <c r="CE10" s="100">
        <v>8000</v>
      </c>
      <c r="CF10" s="51">
        <v>1</v>
      </c>
      <c r="CG10" s="50">
        <f t="shared" ref="CG10" si="24">CEILING(CD10/CE10/CF10,0.5)</f>
        <v>0</v>
      </c>
      <c r="CH10" s="117"/>
      <c r="CI10" s="100">
        <v>300</v>
      </c>
      <c r="CJ10" s="51">
        <v>2</v>
      </c>
      <c r="CK10" s="50">
        <f t="shared" ref="CK10" si="25">CEILING(CH10/CI10/CJ10,0.5)</f>
        <v>0</v>
      </c>
      <c r="CL10" s="97">
        <f t="shared" ref="CL10" si="26">I10</f>
        <v>0</v>
      </c>
      <c r="CM10" s="96">
        <v>50</v>
      </c>
      <c r="CN10" s="51">
        <v>1</v>
      </c>
      <c r="CO10" s="50">
        <f t="shared" ref="CO10" si="27">CEILING(CL10/CM10/CN10,0.5)</f>
        <v>0</v>
      </c>
      <c r="CP10" s="95">
        <f t="shared" ref="CP10" si="28">ROUNDUP(SUM(BU10,BY10,CC10,CG10,CK10,CO10),0)</f>
        <v>0</v>
      </c>
      <c r="CQ10" s="4">
        <f t="shared" ref="CQ10" si="29">AP10</f>
        <v>3</v>
      </c>
      <c r="CR10" s="4">
        <f t="shared" ref="CR10" si="30">BQ10</f>
        <v>7</v>
      </c>
      <c r="CS10" s="4">
        <f t="shared" ref="CS10" si="31">CP10</f>
        <v>0</v>
      </c>
      <c r="CT10" s="4">
        <f t="shared" ref="CT10" si="32">SUM(CQ10:CS10)</f>
        <v>10</v>
      </c>
      <c r="CY10" s="46"/>
      <c r="DF10" s="46"/>
    </row>
    <row r="11" spans="1:112" s="169" customFormat="1" ht="17.25" customHeight="1" thickBot="1">
      <c r="B11" s="398" t="s">
        <v>111</v>
      </c>
      <c r="C11" s="399"/>
      <c r="D11" s="399"/>
      <c r="E11" s="158" t="s">
        <v>112</v>
      </c>
      <c r="F11" s="170">
        <v>30</v>
      </c>
      <c r="G11" s="156"/>
      <c r="H11" s="156"/>
      <c r="I11" s="171"/>
      <c r="J11" s="171"/>
      <c r="K11" s="172"/>
      <c r="L11" s="172"/>
      <c r="M11" s="172"/>
      <c r="N11" s="173"/>
      <c r="O11" s="173"/>
      <c r="P11" s="174"/>
      <c r="Q11" s="155"/>
      <c r="R11" s="175"/>
      <c r="S11" s="176"/>
      <c r="T11" s="177"/>
      <c r="U11" s="155"/>
      <c r="V11" s="178"/>
      <c r="W11" s="176"/>
      <c r="X11" s="177"/>
      <c r="Y11" s="155"/>
      <c r="Z11" s="155"/>
      <c r="AA11" s="155"/>
      <c r="AB11" s="155"/>
      <c r="AC11" s="154"/>
      <c r="AD11" s="179"/>
      <c r="AE11" s="176"/>
      <c r="AF11" s="177"/>
      <c r="AG11" s="155"/>
      <c r="AH11" s="178"/>
      <c r="AI11" s="176"/>
      <c r="AJ11" s="180"/>
      <c r="AK11" s="174"/>
      <c r="AL11" s="155"/>
      <c r="AM11" s="178"/>
      <c r="AN11" s="176"/>
      <c r="AO11" s="177"/>
      <c r="AP11" s="181"/>
      <c r="AQ11" s="155"/>
      <c r="AR11" s="182"/>
      <c r="AS11" s="176"/>
      <c r="AT11" s="177"/>
      <c r="AU11" s="155"/>
      <c r="AV11" s="178"/>
      <c r="AW11" s="176"/>
      <c r="AX11" s="180"/>
      <c r="AY11" s="174"/>
      <c r="AZ11" s="154"/>
      <c r="BA11" s="179"/>
      <c r="BB11" s="176"/>
      <c r="BC11" s="177"/>
      <c r="BD11" s="154"/>
      <c r="BE11" s="182"/>
      <c r="BF11" s="176"/>
      <c r="BG11" s="180"/>
      <c r="BH11" s="154"/>
      <c r="BI11" s="183"/>
      <c r="BJ11" s="176"/>
      <c r="BK11" s="177"/>
      <c r="BL11" s="154"/>
      <c r="BM11" s="178"/>
      <c r="BN11" s="176"/>
      <c r="BO11" s="180"/>
      <c r="BP11" s="174"/>
      <c r="BQ11" s="181"/>
      <c r="BR11" s="155"/>
      <c r="BS11" s="178"/>
      <c r="BT11" s="176"/>
      <c r="BU11" s="177"/>
      <c r="BV11" s="154"/>
      <c r="BW11" s="178"/>
      <c r="BX11" s="176"/>
      <c r="BY11" s="177"/>
      <c r="BZ11" s="154"/>
      <c r="CA11" s="182"/>
      <c r="CB11" s="176"/>
      <c r="CC11" s="177"/>
      <c r="CD11" s="154"/>
      <c r="CE11" s="182"/>
      <c r="CF11" s="176"/>
      <c r="CG11" s="177"/>
      <c r="CH11" s="154"/>
      <c r="CI11" s="182"/>
      <c r="CJ11" s="176"/>
      <c r="CK11" s="177"/>
      <c r="CL11" s="184"/>
      <c r="CM11" s="185"/>
      <c r="CN11" s="176"/>
      <c r="CO11" s="177"/>
      <c r="CP11" s="186"/>
      <c r="CQ11" s="186"/>
      <c r="CR11" s="186"/>
      <c r="CS11" s="186"/>
      <c r="CT11" s="187"/>
      <c r="CY11" s="188"/>
      <c r="DF11" s="188"/>
    </row>
    <row r="12" spans="1:112" s="6" customFormat="1" ht="17.25" customHeight="1">
      <c r="B12" s="94">
        <v>1</v>
      </c>
      <c r="C12" s="94" t="s">
        <v>53</v>
      </c>
      <c r="D12" s="94"/>
      <c r="E12" s="94" t="s">
        <v>18</v>
      </c>
      <c r="F12" s="245">
        <v>160</v>
      </c>
      <c r="G12" s="160">
        <v>0</v>
      </c>
      <c r="H12" s="160">
        <v>195.11600000000001</v>
      </c>
      <c r="I12" s="93">
        <f t="shared" ref="I12:I27" si="33">H12-G12</f>
        <v>195.11600000000001</v>
      </c>
      <c r="J12" s="93">
        <f>I12</f>
        <v>195.11600000000001</v>
      </c>
      <c r="K12" s="92" t="s">
        <v>54</v>
      </c>
      <c r="L12" s="402" t="s">
        <v>156</v>
      </c>
      <c r="M12" s="405">
        <f>SUM(I12:I19)</f>
        <v>1114.6260000000002</v>
      </c>
      <c r="N12" s="384">
        <f>SUM(CQ12:CQ19,CR13:CS13)/18.4</f>
        <v>10.543478260869566</v>
      </c>
      <c r="O12" s="387">
        <v>12</v>
      </c>
      <c r="P12" s="91">
        <v>3</v>
      </c>
      <c r="Q12" s="90">
        <v>315.50516000000005</v>
      </c>
      <c r="R12" s="89">
        <v>53.9</v>
      </c>
      <c r="S12" s="83">
        <v>2</v>
      </c>
      <c r="T12" s="87">
        <f t="shared" si="0"/>
        <v>3</v>
      </c>
      <c r="U12" s="90">
        <v>1118.8003200000001</v>
      </c>
      <c r="V12" s="86">
        <v>190</v>
      </c>
      <c r="W12" s="83">
        <v>2</v>
      </c>
      <c r="X12" s="87">
        <f t="shared" si="1"/>
        <v>3</v>
      </c>
      <c r="Y12" s="90">
        <v>232.31044000000003</v>
      </c>
      <c r="Z12" s="86">
        <v>42</v>
      </c>
      <c r="AA12" s="83">
        <v>2</v>
      </c>
      <c r="AB12" s="79">
        <f t="shared" ref="AB12:AB27" si="34">IF(Y12="","",CEILING(Y12/Z12/AA12,0.5)+1)</f>
        <v>4</v>
      </c>
      <c r="AC12" s="90">
        <v>156.09280000000004</v>
      </c>
      <c r="AD12" s="86">
        <v>40</v>
      </c>
      <c r="AE12" s="83">
        <v>2</v>
      </c>
      <c r="AF12" s="87">
        <f t="shared" ref="AF12:AF27" si="35">CEILING(AC12/AD12/AE12,0.5)</f>
        <v>2</v>
      </c>
      <c r="AG12" s="90">
        <v>62.411760000000008</v>
      </c>
      <c r="AH12" s="86">
        <v>130</v>
      </c>
      <c r="AI12" s="83">
        <v>1</v>
      </c>
      <c r="AJ12" s="79">
        <f t="shared" ref="AJ12:AJ27" si="36">IF(AG12="","",ROUNDUP(AG12/AH12/AI12,0)+1)</f>
        <v>2</v>
      </c>
      <c r="AK12" s="91">
        <f t="shared" ref="AK12:AK20" si="37">IF(E12="보통",2,IF(E12="조강",1,""))</f>
        <v>2</v>
      </c>
      <c r="AL12" s="90">
        <v>225.47723999999999</v>
      </c>
      <c r="AM12" s="86">
        <v>225</v>
      </c>
      <c r="AN12" s="83">
        <v>1</v>
      </c>
      <c r="AO12" s="87">
        <f t="shared" ref="AO12:AO27" si="38">CEILING(AL12/AM12/AN12,0.5)</f>
        <v>1.5</v>
      </c>
      <c r="AP12" s="85">
        <f t="shared" ref="AP12:AP27" si="39">ROUNDUP(SUM(P12,T12,X12,AB12,AF12,AJ12,AK12,AO12),0)</f>
        <v>21</v>
      </c>
      <c r="AQ12" s="90">
        <v>78.04640000000002</v>
      </c>
      <c r="AR12" s="39">
        <v>40</v>
      </c>
      <c r="AS12" s="83">
        <v>1</v>
      </c>
      <c r="AT12" s="87">
        <f t="shared" si="3"/>
        <v>2</v>
      </c>
      <c r="AU12" s="90">
        <v>85.851040000000012</v>
      </c>
      <c r="AV12" s="86">
        <v>130</v>
      </c>
      <c r="AW12" s="83">
        <v>1</v>
      </c>
      <c r="AX12" s="79">
        <f t="shared" si="4"/>
        <v>2</v>
      </c>
      <c r="AY12" s="91">
        <f t="shared" ref="AY12:AY20" si="40">IF(E12="보통",5,IF(E12="조강",2,""))</f>
        <v>5</v>
      </c>
      <c r="AZ12" s="90">
        <v>780.46400000000006</v>
      </c>
      <c r="BA12" s="80">
        <f t="shared" si="6"/>
        <v>220</v>
      </c>
      <c r="BB12" s="83">
        <v>1</v>
      </c>
      <c r="BC12" s="87">
        <f t="shared" si="7"/>
        <v>4</v>
      </c>
      <c r="BD12" s="90">
        <v>294.23492800000002</v>
      </c>
      <c r="BE12" s="39">
        <v>35</v>
      </c>
      <c r="BF12" s="83">
        <v>2</v>
      </c>
      <c r="BG12" s="79">
        <f t="shared" ref="BG12:BG27" si="41">IF(BD12="","",2)</f>
        <v>2</v>
      </c>
      <c r="BH12" s="90">
        <v>49.94969600000001</v>
      </c>
      <c r="BI12" s="48">
        <v>3.4</v>
      </c>
      <c r="BJ12" s="83">
        <v>2</v>
      </c>
      <c r="BK12" s="87">
        <f t="shared" si="8"/>
        <v>7.5</v>
      </c>
      <c r="BL12" s="90">
        <v>267.69915200000003</v>
      </c>
      <c r="BM12" s="86">
        <v>125</v>
      </c>
      <c r="BN12" s="83">
        <v>1</v>
      </c>
      <c r="BO12" s="79">
        <f t="shared" ref="BO12:BO27" si="42">IF(BL12="","",ROUNDUP(BL12/BM12/BN12,0)+1)</f>
        <v>4</v>
      </c>
      <c r="BP12" s="91">
        <f t="shared" ref="BP12:BP20" si="43">IF(E12="보통",7,IF(E12="조강",3,""))</f>
        <v>7</v>
      </c>
      <c r="BQ12" s="37">
        <f t="shared" si="20"/>
        <v>34</v>
      </c>
      <c r="BR12" s="90">
        <v>100.128304</v>
      </c>
      <c r="BS12" s="86">
        <v>165</v>
      </c>
      <c r="BT12" s="83">
        <v>1</v>
      </c>
      <c r="BU12" s="87">
        <f t="shared" ref="BU12:BU27" si="44">CEILING(BR12/BS12/BT12,0.5)</f>
        <v>1</v>
      </c>
      <c r="BV12" s="90">
        <v>127.81322000000003</v>
      </c>
      <c r="BW12" s="86">
        <v>150</v>
      </c>
      <c r="BX12" s="83">
        <v>2</v>
      </c>
      <c r="BY12" s="87">
        <f t="shared" ref="BY12:BY27" si="45">CEILING(BV12/BW12/BX12,0.5)</f>
        <v>0.5</v>
      </c>
      <c r="BZ12" s="90">
        <v>778.71678000000009</v>
      </c>
      <c r="CA12" s="39">
        <v>320</v>
      </c>
      <c r="CB12" s="83">
        <v>2</v>
      </c>
      <c r="CC12" s="87">
        <f t="shared" ref="CC12:CC27" si="46">CEILING(BZ12/CA12/CB12,0.5)</f>
        <v>1.5</v>
      </c>
      <c r="CD12" s="90">
        <v>2336.1503400000001</v>
      </c>
      <c r="CE12" s="39">
        <v>8000</v>
      </c>
      <c r="CF12" s="83">
        <v>1</v>
      </c>
      <c r="CG12" s="87">
        <f t="shared" ref="CG12:CG27" si="47">CEILING(CD12/CE12/CF12,0.5)</f>
        <v>0.5</v>
      </c>
      <c r="CH12" s="90">
        <v>1557.4335600000002</v>
      </c>
      <c r="CI12" s="39">
        <v>300</v>
      </c>
      <c r="CJ12" s="83">
        <v>2</v>
      </c>
      <c r="CK12" s="87">
        <f t="shared" ref="CK12:CK27" si="48">CEILING(CH12/CI12/CJ12,0.5)</f>
        <v>3</v>
      </c>
      <c r="CL12" s="42">
        <f t="shared" ref="CL12:CL20" si="49">I12</f>
        <v>195.11600000000001</v>
      </c>
      <c r="CM12" s="43">
        <v>50</v>
      </c>
      <c r="CN12" s="83">
        <v>1</v>
      </c>
      <c r="CO12" s="87">
        <f t="shared" ref="CO12:CO27" si="50">CEILING(CL12/CM12/CN12,0.5)</f>
        <v>4</v>
      </c>
      <c r="CP12" s="75">
        <f t="shared" ref="CP12:CP27" si="51">ROUNDUP(SUM(BU12,BY12,CC12,CG12,CK12,CO12),0)</f>
        <v>11</v>
      </c>
      <c r="CQ12" s="78">
        <f t="shared" ref="CQ12:CQ20" si="52">AP12</f>
        <v>21</v>
      </c>
      <c r="CR12" s="78">
        <f t="shared" ref="CR12:CR20" si="53">BQ12</f>
        <v>34</v>
      </c>
      <c r="CS12" s="78">
        <f t="shared" ref="CS12:CS27" si="54">CP12</f>
        <v>11</v>
      </c>
      <c r="CT12" s="78">
        <f t="shared" ref="CT12:CT27" si="55">SUM(CQ12:CS12)</f>
        <v>66</v>
      </c>
      <c r="CY12" s="46"/>
      <c r="DF12" s="46"/>
    </row>
    <row r="13" spans="1:112" s="6" customFormat="1" ht="17.25" customHeight="1">
      <c r="B13" s="7">
        <v>2</v>
      </c>
      <c r="C13" s="114" t="s">
        <v>59</v>
      </c>
      <c r="D13" s="7"/>
      <c r="E13" s="7" t="s">
        <v>18</v>
      </c>
      <c r="F13" s="271">
        <v>255</v>
      </c>
      <c r="G13" s="160">
        <v>244.37100000000001</v>
      </c>
      <c r="H13" s="160">
        <v>501.1</v>
      </c>
      <c r="I13" s="82">
        <f t="shared" si="33"/>
        <v>256.72900000000004</v>
      </c>
      <c r="J13" s="82">
        <f>J12+I13</f>
        <v>451.84500000000003</v>
      </c>
      <c r="K13" s="112"/>
      <c r="L13" s="403"/>
      <c r="M13" s="403"/>
      <c r="N13" s="385"/>
      <c r="O13" s="388"/>
      <c r="P13" s="19">
        <v>3</v>
      </c>
      <c r="Q13" s="115">
        <v>387.66079000000008</v>
      </c>
      <c r="R13" s="8">
        <v>53.9</v>
      </c>
      <c r="S13" s="9">
        <v>2</v>
      </c>
      <c r="T13" s="10">
        <f t="shared" si="0"/>
        <v>4</v>
      </c>
      <c r="U13" s="115">
        <v>1417.1440800000003</v>
      </c>
      <c r="V13" s="11">
        <v>190</v>
      </c>
      <c r="W13" s="9">
        <v>2</v>
      </c>
      <c r="X13" s="10">
        <f t="shared" si="1"/>
        <v>4</v>
      </c>
      <c r="Y13" s="115">
        <v>344.01686000000007</v>
      </c>
      <c r="Z13" s="11">
        <v>42</v>
      </c>
      <c r="AA13" s="9">
        <v>2</v>
      </c>
      <c r="AB13" s="12">
        <f t="shared" si="34"/>
        <v>5.5</v>
      </c>
      <c r="AC13" s="115">
        <v>205.38320000000004</v>
      </c>
      <c r="AD13" s="11">
        <v>40</v>
      </c>
      <c r="AE13" s="9">
        <v>2</v>
      </c>
      <c r="AF13" s="10">
        <f t="shared" si="35"/>
        <v>3</v>
      </c>
      <c r="AG13" s="115">
        <v>92.422440000000023</v>
      </c>
      <c r="AH13" s="11">
        <v>130</v>
      </c>
      <c r="AI13" s="9">
        <v>1</v>
      </c>
      <c r="AJ13" s="12">
        <f t="shared" si="36"/>
        <v>2</v>
      </c>
      <c r="AK13" s="19">
        <f t="shared" si="37"/>
        <v>2</v>
      </c>
      <c r="AL13" s="115">
        <v>292.67106000000001</v>
      </c>
      <c r="AM13" s="11">
        <v>225</v>
      </c>
      <c r="AN13" s="9">
        <v>1</v>
      </c>
      <c r="AO13" s="10">
        <f t="shared" si="38"/>
        <v>1.5</v>
      </c>
      <c r="AP13" s="18">
        <f t="shared" si="39"/>
        <v>25</v>
      </c>
      <c r="AQ13" s="115">
        <v>102.69160000000002</v>
      </c>
      <c r="AR13" s="13">
        <v>40</v>
      </c>
      <c r="AS13" s="9">
        <v>1</v>
      </c>
      <c r="AT13" s="10">
        <f t="shared" si="3"/>
        <v>3</v>
      </c>
      <c r="AU13" s="115">
        <v>112.96076000000004</v>
      </c>
      <c r="AV13" s="11">
        <v>130</v>
      </c>
      <c r="AW13" s="9">
        <v>1</v>
      </c>
      <c r="AX13" s="12">
        <f t="shared" si="4"/>
        <v>2</v>
      </c>
      <c r="AY13" s="19">
        <f t="shared" si="40"/>
        <v>5</v>
      </c>
      <c r="AZ13" s="115">
        <v>1026.9160000000002</v>
      </c>
      <c r="BA13" s="25">
        <f t="shared" si="6"/>
        <v>220</v>
      </c>
      <c r="BB13" s="9">
        <v>1</v>
      </c>
      <c r="BC13" s="10">
        <f t="shared" si="7"/>
        <v>5</v>
      </c>
      <c r="BD13" s="115">
        <v>387.14733200000006</v>
      </c>
      <c r="BE13" s="13">
        <v>35</v>
      </c>
      <c r="BF13" s="9">
        <v>2</v>
      </c>
      <c r="BG13" s="12">
        <f t="shared" si="41"/>
        <v>2</v>
      </c>
      <c r="BH13" s="115">
        <v>65.72262400000001</v>
      </c>
      <c r="BI13" s="14">
        <v>3.4</v>
      </c>
      <c r="BJ13" s="9">
        <v>2</v>
      </c>
      <c r="BK13" s="10">
        <f t="shared" si="8"/>
        <v>10</v>
      </c>
      <c r="BL13" s="115">
        <v>352.23218800000006</v>
      </c>
      <c r="BM13" s="11">
        <v>125</v>
      </c>
      <c r="BN13" s="9">
        <v>1</v>
      </c>
      <c r="BO13" s="12">
        <f t="shared" si="42"/>
        <v>4</v>
      </c>
      <c r="BP13" s="19">
        <f t="shared" si="43"/>
        <v>7</v>
      </c>
      <c r="BQ13" s="21">
        <f t="shared" si="20"/>
        <v>38</v>
      </c>
      <c r="BR13" s="115">
        <v>126.82412600000002</v>
      </c>
      <c r="BS13" s="11">
        <v>165</v>
      </c>
      <c r="BT13" s="9">
        <v>1</v>
      </c>
      <c r="BU13" s="10">
        <f t="shared" si="44"/>
        <v>1</v>
      </c>
      <c r="BV13" s="115">
        <v>172.00843000000003</v>
      </c>
      <c r="BW13" s="11">
        <v>150</v>
      </c>
      <c r="BX13" s="9">
        <v>2</v>
      </c>
      <c r="BY13" s="10">
        <f t="shared" si="45"/>
        <v>1</v>
      </c>
      <c r="BZ13" s="115">
        <v>1047.4543200000003</v>
      </c>
      <c r="CA13" s="13">
        <v>320</v>
      </c>
      <c r="CB13" s="9">
        <v>2</v>
      </c>
      <c r="CC13" s="10">
        <f t="shared" si="46"/>
        <v>2</v>
      </c>
      <c r="CD13" s="115">
        <v>3142.3629600000008</v>
      </c>
      <c r="CE13" s="13">
        <v>8000</v>
      </c>
      <c r="CF13" s="9">
        <v>1</v>
      </c>
      <c r="CG13" s="10">
        <f t="shared" si="47"/>
        <v>0.5</v>
      </c>
      <c r="CH13" s="115">
        <v>2094.9086400000006</v>
      </c>
      <c r="CI13" s="13">
        <v>300</v>
      </c>
      <c r="CJ13" s="9">
        <v>2</v>
      </c>
      <c r="CK13" s="10">
        <f t="shared" si="48"/>
        <v>3.5</v>
      </c>
      <c r="CL13" s="41">
        <f t="shared" si="49"/>
        <v>256.72900000000004</v>
      </c>
      <c r="CM13" s="15">
        <v>50</v>
      </c>
      <c r="CN13" s="9">
        <v>1</v>
      </c>
      <c r="CO13" s="10">
        <f t="shared" si="50"/>
        <v>5.5</v>
      </c>
      <c r="CP13" s="20">
        <f t="shared" si="51"/>
        <v>14</v>
      </c>
      <c r="CQ13" s="5">
        <f t="shared" si="52"/>
        <v>25</v>
      </c>
      <c r="CR13" s="218">
        <f t="shared" si="53"/>
        <v>38</v>
      </c>
      <c r="CS13" s="218">
        <f t="shared" si="54"/>
        <v>14</v>
      </c>
      <c r="CT13" s="5">
        <f t="shared" si="55"/>
        <v>77</v>
      </c>
      <c r="CY13" s="46"/>
      <c r="DF13" s="46"/>
    </row>
    <row r="14" spans="1:112" s="6" customFormat="1" ht="17.25" customHeight="1">
      <c r="B14" s="7">
        <v>3</v>
      </c>
      <c r="C14" s="114" t="s">
        <v>60</v>
      </c>
      <c r="D14" s="7"/>
      <c r="E14" s="7" t="s">
        <v>18</v>
      </c>
      <c r="F14" s="271">
        <v>255</v>
      </c>
      <c r="G14" s="160">
        <v>542.947</v>
      </c>
      <c r="H14" s="160">
        <v>621.89200000000005</v>
      </c>
      <c r="I14" s="82">
        <f t="shared" si="33"/>
        <v>78.94500000000005</v>
      </c>
      <c r="J14" s="82">
        <f>J13+I14</f>
        <v>530.79000000000008</v>
      </c>
      <c r="K14" s="112"/>
      <c r="L14" s="403"/>
      <c r="M14" s="403"/>
      <c r="N14" s="385"/>
      <c r="O14" s="388"/>
      <c r="P14" s="19">
        <v>3</v>
      </c>
      <c r="Q14" s="115">
        <v>119.20695000000008</v>
      </c>
      <c r="R14" s="8">
        <v>53.9</v>
      </c>
      <c r="S14" s="9">
        <v>2</v>
      </c>
      <c r="T14" s="10">
        <f t="shared" si="0"/>
        <v>1.5</v>
      </c>
      <c r="U14" s="115">
        <v>435.77640000000031</v>
      </c>
      <c r="V14" s="11">
        <v>190</v>
      </c>
      <c r="W14" s="9">
        <v>2</v>
      </c>
      <c r="X14" s="10">
        <f t="shared" si="1"/>
        <v>1.5</v>
      </c>
      <c r="Y14" s="115">
        <v>105.78630000000007</v>
      </c>
      <c r="Z14" s="11">
        <v>42</v>
      </c>
      <c r="AA14" s="9">
        <v>2</v>
      </c>
      <c r="AB14" s="12">
        <f t="shared" si="34"/>
        <v>2.5</v>
      </c>
      <c r="AC14" s="115">
        <v>63.156000000000041</v>
      </c>
      <c r="AD14" s="11">
        <v>40</v>
      </c>
      <c r="AE14" s="9">
        <v>2</v>
      </c>
      <c r="AF14" s="10">
        <f t="shared" si="35"/>
        <v>1</v>
      </c>
      <c r="AG14" s="115">
        <v>28.420200000000023</v>
      </c>
      <c r="AH14" s="11">
        <v>130</v>
      </c>
      <c r="AI14" s="9">
        <v>1</v>
      </c>
      <c r="AJ14" s="12">
        <f t="shared" si="36"/>
        <v>2</v>
      </c>
      <c r="AK14" s="19">
        <f t="shared" si="37"/>
        <v>2</v>
      </c>
      <c r="AL14" s="115">
        <v>89.997300000000052</v>
      </c>
      <c r="AM14" s="11">
        <v>225</v>
      </c>
      <c r="AN14" s="9">
        <v>1</v>
      </c>
      <c r="AO14" s="10">
        <f t="shared" si="38"/>
        <v>0.5</v>
      </c>
      <c r="AP14" s="18">
        <f t="shared" si="39"/>
        <v>14</v>
      </c>
      <c r="AQ14" s="115">
        <v>31.578000000000021</v>
      </c>
      <c r="AR14" s="13">
        <v>40</v>
      </c>
      <c r="AS14" s="9">
        <v>1</v>
      </c>
      <c r="AT14" s="10">
        <f t="shared" si="3"/>
        <v>1</v>
      </c>
      <c r="AU14" s="115">
        <v>34.735800000000026</v>
      </c>
      <c r="AV14" s="11">
        <v>130</v>
      </c>
      <c r="AW14" s="9">
        <v>1</v>
      </c>
      <c r="AX14" s="12">
        <f t="shared" si="4"/>
        <v>2</v>
      </c>
      <c r="AY14" s="19">
        <f t="shared" si="40"/>
        <v>5</v>
      </c>
      <c r="AZ14" s="115">
        <v>315.7800000000002</v>
      </c>
      <c r="BA14" s="25">
        <f t="shared" si="6"/>
        <v>220</v>
      </c>
      <c r="BB14" s="9">
        <v>1</v>
      </c>
      <c r="BC14" s="10">
        <f t="shared" si="7"/>
        <v>1.5</v>
      </c>
      <c r="BD14" s="115">
        <v>119.04906000000008</v>
      </c>
      <c r="BE14" s="13">
        <v>35</v>
      </c>
      <c r="BF14" s="9">
        <v>2</v>
      </c>
      <c r="BG14" s="12">
        <f t="shared" si="41"/>
        <v>2</v>
      </c>
      <c r="BH14" s="115">
        <v>20.209920000000015</v>
      </c>
      <c r="BI14" s="14">
        <v>3.4</v>
      </c>
      <c r="BJ14" s="9">
        <v>2</v>
      </c>
      <c r="BK14" s="10">
        <f t="shared" si="8"/>
        <v>3</v>
      </c>
      <c r="BL14" s="115">
        <v>108.31254000000008</v>
      </c>
      <c r="BM14" s="11">
        <v>125</v>
      </c>
      <c r="BN14" s="9">
        <v>1</v>
      </c>
      <c r="BO14" s="12">
        <f t="shared" si="42"/>
        <v>2</v>
      </c>
      <c r="BP14" s="19">
        <f t="shared" si="43"/>
        <v>7</v>
      </c>
      <c r="BQ14" s="21">
        <f t="shared" si="20"/>
        <v>24</v>
      </c>
      <c r="BR14" s="115">
        <v>38.998830000000027</v>
      </c>
      <c r="BS14" s="11">
        <v>165</v>
      </c>
      <c r="BT14" s="9">
        <v>1</v>
      </c>
      <c r="BU14" s="10">
        <f t="shared" si="44"/>
        <v>0.5</v>
      </c>
      <c r="BV14" s="115">
        <v>52.893150000000034</v>
      </c>
      <c r="BW14" s="11">
        <v>150</v>
      </c>
      <c r="BX14" s="9">
        <v>2</v>
      </c>
      <c r="BY14" s="10">
        <f t="shared" si="45"/>
        <v>0.5</v>
      </c>
      <c r="BZ14" s="115">
        <v>322.09560000000022</v>
      </c>
      <c r="CA14" s="13">
        <v>320</v>
      </c>
      <c r="CB14" s="9">
        <v>2</v>
      </c>
      <c r="CC14" s="10">
        <f t="shared" si="46"/>
        <v>1</v>
      </c>
      <c r="CD14" s="115">
        <v>966.28680000000065</v>
      </c>
      <c r="CE14" s="13">
        <v>8000</v>
      </c>
      <c r="CF14" s="9">
        <v>1</v>
      </c>
      <c r="CG14" s="10">
        <f t="shared" si="47"/>
        <v>0.5</v>
      </c>
      <c r="CH14" s="115">
        <v>644.19120000000044</v>
      </c>
      <c r="CI14" s="13">
        <v>300</v>
      </c>
      <c r="CJ14" s="9">
        <v>2</v>
      </c>
      <c r="CK14" s="10">
        <f t="shared" si="48"/>
        <v>1.5</v>
      </c>
      <c r="CL14" s="41">
        <f t="shared" si="49"/>
        <v>78.94500000000005</v>
      </c>
      <c r="CM14" s="15">
        <v>50</v>
      </c>
      <c r="CN14" s="9">
        <v>1</v>
      </c>
      <c r="CO14" s="10">
        <f t="shared" si="50"/>
        <v>2</v>
      </c>
      <c r="CP14" s="20">
        <f t="shared" si="51"/>
        <v>6</v>
      </c>
      <c r="CQ14" s="5">
        <f t="shared" si="52"/>
        <v>14</v>
      </c>
      <c r="CR14" s="5">
        <f t="shared" si="53"/>
        <v>24</v>
      </c>
      <c r="CS14" s="5">
        <f t="shared" si="54"/>
        <v>6</v>
      </c>
      <c r="CT14" s="5">
        <f t="shared" si="55"/>
        <v>44</v>
      </c>
      <c r="DF14" s="46"/>
    </row>
    <row r="15" spans="1:112" s="6" customFormat="1" ht="17.25" customHeight="1">
      <c r="B15" s="7">
        <v>4</v>
      </c>
      <c r="C15" s="114" t="s">
        <v>61</v>
      </c>
      <c r="D15" s="7"/>
      <c r="E15" s="7" t="s">
        <v>18</v>
      </c>
      <c r="F15" s="271">
        <v>255</v>
      </c>
      <c r="G15" s="160">
        <v>646.32600000000002</v>
      </c>
      <c r="H15" s="160">
        <v>718.66600000000005</v>
      </c>
      <c r="I15" s="82">
        <f t="shared" si="33"/>
        <v>72.340000000000032</v>
      </c>
      <c r="J15" s="82">
        <f>J14+I15</f>
        <v>603.13000000000011</v>
      </c>
      <c r="K15" s="112"/>
      <c r="L15" s="403"/>
      <c r="M15" s="403"/>
      <c r="N15" s="385"/>
      <c r="O15" s="388"/>
      <c r="P15" s="19">
        <v>3</v>
      </c>
      <c r="Q15" s="115">
        <v>109.23340000000005</v>
      </c>
      <c r="R15" s="8">
        <v>53.9</v>
      </c>
      <c r="S15" s="9">
        <v>2</v>
      </c>
      <c r="T15" s="10">
        <f t="shared" si="0"/>
        <v>1.5</v>
      </c>
      <c r="U15" s="115">
        <v>399.31680000000017</v>
      </c>
      <c r="V15" s="11">
        <v>190</v>
      </c>
      <c r="W15" s="9">
        <v>2</v>
      </c>
      <c r="X15" s="10">
        <f t="shared" si="1"/>
        <v>1.5</v>
      </c>
      <c r="Y15" s="115">
        <v>96.935600000000051</v>
      </c>
      <c r="Z15" s="11">
        <v>42</v>
      </c>
      <c r="AA15" s="9">
        <v>2</v>
      </c>
      <c r="AB15" s="12">
        <f t="shared" si="34"/>
        <v>2.5</v>
      </c>
      <c r="AC15" s="115">
        <v>57.872000000000028</v>
      </c>
      <c r="AD15" s="11">
        <v>40</v>
      </c>
      <c r="AE15" s="9">
        <v>2</v>
      </c>
      <c r="AF15" s="10">
        <f t="shared" si="35"/>
        <v>1</v>
      </c>
      <c r="AG15" s="115">
        <v>26.042400000000015</v>
      </c>
      <c r="AH15" s="11">
        <v>130</v>
      </c>
      <c r="AI15" s="9">
        <v>1</v>
      </c>
      <c r="AJ15" s="12">
        <f t="shared" si="36"/>
        <v>2</v>
      </c>
      <c r="AK15" s="19">
        <f t="shared" si="37"/>
        <v>2</v>
      </c>
      <c r="AL15" s="115">
        <v>82.467600000000033</v>
      </c>
      <c r="AM15" s="11">
        <v>225</v>
      </c>
      <c r="AN15" s="9">
        <v>1</v>
      </c>
      <c r="AO15" s="10">
        <f t="shared" si="38"/>
        <v>0.5</v>
      </c>
      <c r="AP15" s="18">
        <f t="shared" si="39"/>
        <v>14</v>
      </c>
      <c r="AQ15" s="115">
        <v>28.936000000000014</v>
      </c>
      <c r="AR15" s="13">
        <v>40</v>
      </c>
      <c r="AS15" s="9">
        <v>1</v>
      </c>
      <c r="AT15" s="10">
        <f t="shared" si="3"/>
        <v>1</v>
      </c>
      <c r="AU15" s="115">
        <v>31.829600000000017</v>
      </c>
      <c r="AV15" s="11">
        <v>130</v>
      </c>
      <c r="AW15" s="9">
        <v>1</v>
      </c>
      <c r="AX15" s="12">
        <f t="shared" si="4"/>
        <v>2</v>
      </c>
      <c r="AY15" s="19">
        <f t="shared" si="40"/>
        <v>5</v>
      </c>
      <c r="AZ15" s="115">
        <v>289.36000000000013</v>
      </c>
      <c r="BA15" s="25">
        <f t="shared" si="6"/>
        <v>220</v>
      </c>
      <c r="BB15" s="9">
        <v>1</v>
      </c>
      <c r="BC15" s="10">
        <f t="shared" si="7"/>
        <v>1.5</v>
      </c>
      <c r="BD15" s="115">
        <v>109.08872000000005</v>
      </c>
      <c r="BE15" s="13">
        <v>35</v>
      </c>
      <c r="BF15" s="9">
        <v>2</v>
      </c>
      <c r="BG15" s="12">
        <f t="shared" si="41"/>
        <v>2</v>
      </c>
      <c r="BH15" s="115">
        <v>18.519040000000007</v>
      </c>
      <c r="BI15" s="14">
        <v>3.4</v>
      </c>
      <c r="BJ15" s="9">
        <v>2</v>
      </c>
      <c r="BK15" s="10">
        <f t="shared" si="8"/>
        <v>3</v>
      </c>
      <c r="BL15" s="115">
        <v>99.250480000000053</v>
      </c>
      <c r="BM15" s="11">
        <v>125</v>
      </c>
      <c r="BN15" s="9">
        <v>1</v>
      </c>
      <c r="BO15" s="12">
        <f t="shared" si="42"/>
        <v>2</v>
      </c>
      <c r="BP15" s="19">
        <f t="shared" si="43"/>
        <v>7</v>
      </c>
      <c r="BQ15" s="21">
        <f t="shared" si="20"/>
        <v>24</v>
      </c>
      <c r="BR15" s="115">
        <v>35.735960000000013</v>
      </c>
      <c r="BS15" s="11">
        <v>165</v>
      </c>
      <c r="BT15" s="9">
        <v>1</v>
      </c>
      <c r="BU15" s="10">
        <f t="shared" si="44"/>
        <v>0.5</v>
      </c>
      <c r="BV15" s="115">
        <v>48.467800000000025</v>
      </c>
      <c r="BW15" s="11">
        <v>150</v>
      </c>
      <c r="BX15" s="9">
        <v>2</v>
      </c>
      <c r="BY15" s="10">
        <f t="shared" si="45"/>
        <v>0.5</v>
      </c>
      <c r="BZ15" s="115">
        <v>295.14720000000011</v>
      </c>
      <c r="CA15" s="13">
        <v>320</v>
      </c>
      <c r="CB15" s="9">
        <v>2</v>
      </c>
      <c r="CC15" s="10">
        <f t="shared" si="46"/>
        <v>0.5</v>
      </c>
      <c r="CD15" s="115">
        <v>885.44160000000034</v>
      </c>
      <c r="CE15" s="13">
        <v>8000</v>
      </c>
      <c r="CF15" s="9">
        <v>1</v>
      </c>
      <c r="CG15" s="10">
        <f t="shared" si="47"/>
        <v>0.5</v>
      </c>
      <c r="CH15" s="115">
        <v>590.29440000000022</v>
      </c>
      <c r="CI15" s="13">
        <v>300</v>
      </c>
      <c r="CJ15" s="9">
        <v>2</v>
      </c>
      <c r="CK15" s="10">
        <f t="shared" si="48"/>
        <v>1</v>
      </c>
      <c r="CL15" s="41">
        <f t="shared" si="49"/>
        <v>72.340000000000032</v>
      </c>
      <c r="CM15" s="15">
        <v>50</v>
      </c>
      <c r="CN15" s="9">
        <v>1</v>
      </c>
      <c r="CO15" s="10">
        <f t="shared" si="50"/>
        <v>1.5</v>
      </c>
      <c r="CP15" s="20">
        <f t="shared" si="51"/>
        <v>5</v>
      </c>
      <c r="CQ15" s="5">
        <f t="shared" si="52"/>
        <v>14</v>
      </c>
      <c r="CR15" s="5">
        <f t="shared" si="53"/>
        <v>24</v>
      </c>
      <c r="CS15" s="5">
        <f t="shared" si="54"/>
        <v>5</v>
      </c>
      <c r="CT15" s="5">
        <f t="shared" si="55"/>
        <v>43</v>
      </c>
      <c r="DF15" s="46"/>
    </row>
    <row r="16" spans="1:112" s="6" customFormat="1" ht="17.25" customHeight="1">
      <c r="B16" s="7">
        <v>5</v>
      </c>
      <c r="C16" s="7" t="s">
        <v>62</v>
      </c>
      <c r="D16" s="7"/>
      <c r="E16" s="7" t="s">
        <v>18</v>
      </c>
      <c r="F16" s="271">
        <v>160</v>
      </c>
      <c r="G16" s="111">
        <v>745.85900000000004</v>
      </c>
      <c r="H16" s="111">
        <v>829.36900000000003</v>
      </c>
      <c r="I16" s="82">
        <f t="shared" si="33"/>
        <v>83.509999999999991</v>
      </c>
      <c r="J16" s="82">
        <f>J15+I16</f>
        <v>686.6400000000001</v>
      </c>
      <c r="K16" s="35" t="s">
        <v>63</v>
      </c>
      <c r="L16" s="403"/>
      <c r="M16" s="403"/>
      <c r="N16" s="385"/>
      <c r="O16" s="388"/>
      <c r="P16" s="19">
        <v>3</v>
      </c>
      <c r="Q16" s="33">
        <v>145.30009999999999</v>
      </c>
      <c r="R16" s="8">
        <v>53.9</v>
      </c>
      <c r="S16" s="9">
        <v>2</v>
      </c>
      <c r="T16" s="10">
        <f t="shared" si="0"/>
        <v>1.5</v>
      </c>
      <c r="U16" s="33">
        <v>499.37519999999995</v>
      </c>
      <c r="V16" s="11">
        <v>190</v>
      </c>
      <c r="W16" s="9">
        <v>2</v>
      </c>
      <c r="X16" s="10">
        <f t="shared" si="1"/>
        <v>1.5</v>
      </c>
      <c r="Y16" s="33">
        <v>85.103399999999993</v>
      </c>
      <c r="Z16" s="11">
        <v>42</v>
      </c>
      <c r="AA16" s="9">
        <v>2</v>
      </c>
      <c r="AB16" s="12">
        <f t="shared" si="34"/>
        <v>2.5</v>
      </c>
      <c r="AC16" s="33">
        <v>66.807999999999993</v>
      </c>
      <c r="AD16" s="11">
        <v>40</v>
      </c>
      <c r="AE16" s="9">
        <v>2</v>
      </c>
      <c r="AF16" s="10">
        <f t="shared" si="35"/>
        <v>1</v>
      </c>
      <c r="AG16" s="33">
        <v>22.863599999999998</v>
      </c>
      <c r="AH16" s="11">
        <v>130</v>
      </c>
      <c r="AI16" s="9">
        <v>1</v>
      </c>
      <c r="AJ16" s="12">
        <f t="shared" si="36"/>
        <v>2</v>
      </c>
      <c r="AK16" s="19">
        <f t="shared" si="37"/>
        <v>2</v>
      </c>
      <c r="AL16" s="33">
        <v>98.00139999999999</v>
      </c>
      <c r="AM16" s="11">
        <v>225</v>
      </c>
      <c r="AN16" s="9">
        <v>1</v>
      </c>
      <c r="AO16" s="10">
        <f t="shared" si="38"/>
        <v>0.5</v>
      </c>
      <c r="AP16" s="18">
        <f t="shared" si="39"/>
        <v>14</v>
      </c>
      <c r="AQ16" s="33">
        <v>33.403999999999996</v>
      </c>
      <c r="AR16" s="13">
        <v>40</v>
      </c>
      <c r="AS16" s="9">
        <v>1</v>
      </c>
      <c r="AT16" s="10">
        <f t="shared" si="3"/>
        <v>1</v>
      </c>
      <c r="AU16" s="33">
        <v>36.744399999999999</v>
      </c>
      <c r="AV16" s="11">
        <v>130</v>
      </c>
      <c r="AW16" s="9">
        <v>1</v>
      </c>
      <c r="AX16" s="12">
        <f t="shared" si="4"/>
        <v>2</v>
      </c>
      <c r="AY16" s="19">
        <f t="shared" si="40"/>
        <v>5</v>
      </c>
      <c r="AZ16" s="33">
        <v>334.03999999999996</v>
      </c>
      <c r="BA16" s="25">
        <f t="shared" si="6"/>
        <v>220</v>
      </c>
      <c r="BB16" s="9">
        <v>1</v>
      </c>
      <c r="BC16" s="10">
        <f t="shared" si="7"/>
        <v>2</v>
      </c>
      <c r="BD16" s="33">
        <v>125.93307999999999</v>
      </c>
      <c r="BE16" s="13">
        <v>35</v>
      </c>
      <c r="BF16" s="9">
        <v>2</v>
      </c>
      <c r="BG16" s="12">
        <f t="shared" si="41"/>
        <v>2</v>
      </c>
      <c r="BH16" s="33">
        <v>21.378559999999997</v>
      </c>
      <c r="BI16" s="14">
        <v>3.4</v>
      </c>
      <c r="BJ16" s="9">
        <v>2</v>
      </c>
      <c r="BK16" s="10">
        <f t="shared" si="8"/>
        <v>3.5</v>
      </c>
      <c r="BL16" s="33">
        <v>114.57571999999999</v>
      </c>
      <c r="BM16" s="11">
        <v>125</v>
      </c>
      <c r="BN16" s="9">
        <v>1</v>
      </c>
      <c r="BO16" s="12">
        <f t="shared" si="42"/>
        <v>2</v>
      </c>
      <c r="BP16" s="19">
        <f t="shared" si="43"/>
        <v>7</v>
      </c>
      <c r="BQ16" s="21">
        <f t="shared" ref="BQ16:BQ27" si="56">ROUNDUP(SUM(AT16,AX16,AY16,BC16,BG16,BK16,BO16,BP16),0)</f>
        <v>25</v>
      </c>
      <c r="BR16" s="33">
        <v>44.693939999999998</v>
      </c>
      <c r="BS16" s="11">
        <v>165</v>
      </c>
      <c r="BT16" s="9">
        <v>1</v>
      </c>
      <c r="BU16" s="10">
        <f t="shared" si="44"/>
        <v>0.5</v>
      </c>
      <c r="BV16" s="33">
        <v>53.271699999999989</v>
      </c>
      <c r="BW16" s="11">
        <v>150</v>
      </c>
      <c r="BX16" s="9">
        <v>2</v>
      </c>
      <c r="BY16" s="10">
        <f t="shared" si="45"/>
        <v>0.5</v>
      </c>
      <c r="BZ16" s="33">
        <v>324.76079999999996</v>
      </c>
      <c r="CA16" s="13">
        <v>320</v>
      </c>
      <c r="CB16" s="9">
        <v>2</v>
      </c>
      <c r="CC16" s="10">
        <f t="shared" si="46"/>
        <v>1</v>
      </c>
      <c r="CD16" s="33">
        <v>974.28239999999983</v>
      </c>
      <c r="CE16" s="13">
        <v>8000</v>
      </c>
      <c r="CF16" s="9">
        <v>1</v>
      </c>
      <c r="CG16" s="10">
        <f t="shared" si="47"/>
        <v>0.5</v>
      </c>
      <c r="CH16" s="33">
        <v>649.52159999999992</v>
      </c>
      <c r="CI16" s="13">
        <v>300</v>
      </c>
      <c r="CJ16" s="9">
        <v>2</v>
      </c>
      <c r="CK16" s="10">
        <f t="shared" si="48"/>
        <v>1.5</v>
      </c>
      <c r="CL16" s="41">
        <f t="shared" si="49"/>
        <v>83.509999999999991</v>
      </c>
      <c r="CM16" s="15">
        <v>50</v>
      </c>
      <c r="CN16" s="9">
        <v>1</v>
      </c>
      <c r="CO16" s="10">
        <f t="shared" si="50"/>
        <v>2</v>
      </c>
      <c r="CP16" s="20">
        <f t="shared" si="51"/>
        <v>6</v>
      </c>
      <c r="CQ16" s="5">
        <f t="shared" si="52"/>
        <v>14</v>
      </c>
      <c r="CR16" s="5">
        <f t="shared" si="53"/>
        <v>25</v>
      </c>
      <c r="CS16" s="5">
        <f t="shared" si="54"/>
        <v>6</v>
      </c>
      <c r="CT16" s="5">
        <f t="shared" si="55"/>
        <v>45</v>
      </c>
      <c r="DF16" s="46"/>
    </row>
    <row r="17" spans="2:110" s="6" customFormat="1" ht="17.25" customHeight="1">
      <c r="B17" s="7">
        <v>6</v>
      </c>
      <c r="C17" s="7" t="s">
        <v>64</v>
      </c>
      <c r="D17" s="7"/>
      <c r="E17" s="7" t="s">
        <v>18</v>
      </c>
      <c r="F17" s="271">
        <v>160</v>
      </c>
      <c r="G17" s="111">
        <v>844.03599999999994</v>
      </c>
      <c r="H17" s="111">
        <v>942.20600000000002</v>
      </c>
      <c r="I17" s="82">
        <f t="shared" si="33"/>
        <v>98.170000000000073</v>
      </c>
      <c r="J17" s="82">
        <f>J16+I17</f>
        <v>784.81000000000017</v>
      </c>
      <c r="K17" s="35" t="s">
        <v>65</v>
      </c>
      <c r="L17" s="403"/>
      <c r="M17" s="403"/>
      <c r="N17" s="385"/>
      <c r="O17" s="388"/>
      <c r="P17" s="19">
        <v>3</v>
      </c>
      <c r="Q17" s="33">
        <v>167.43670000000009</v>
      </c>
      <c r="R17" s="8">
        <v>53.9</v>
      </c>
      <c r="S17" s="9">
        <v>2</v>
      </c>
      <c r="T17" s="10">
        <f t="shared" si="0"/>
        <v>2</v>
      </c>
      <c r="U17" s="33">
        <v>580.29840000000036</v>
      </c>
      <c r="V17" s="11">
        <v>190</v>
      </c>
      <c r="W17" s="9">
        <v>2</v>
      </c>
      <c r="X17" s="10">
        <f t="shared" si="1"/>
        <v>2</v>
      </c>
      <c r="Y17" s="33">
        <v>104.7478000000001</v>
      </c>
      <c r="Z17" s="11">
        <v>42</v>
      </c>
      <c r="AA17" s="9">
        <v>2</v>
      </c>
      <c r="AB17" s="12">
        <f t="shared" si="34"/>
        <v>2.5</v>
      </c>
      <c r="AC17" s="33">
        <v>78.536000000000058</v>
      </c>
      <c r="AD17" s="11">
        <v>40</v>
      </c>
      <c r="AE17" s="9">
        <v>2</v>
      </c>
      <c r="AF17" s="10">
        <f t="shared" si="35"/>
        <v>1</v>
      </c>
      <c r="AG17" s="33">
        <v>28.141200000000033</v>
      </c>
      <c r="AH17" s="11">
        <v>130</v>
      </c>
      <c r="AI17" s="9">
        <v>1</v>
      </c>
      <c r="AJ17" s="12">
        <f t="shared" si="36"/>
        <v>2</v>
      </c>
      <c r="AK17" s="19">
        <f t="shared" si="37"/>
        <v>2</v>
      </c>
      <c r="AL17" s="33">
        <v>114.71380000000008</v>
      </c>
      <c r="AM17" s="11">
        <v>225</v>
      </c>
      <c r="AN17" s="9">
        <v>1</v>
      </c>
      <c r="AO17" s="10">
        <f t="shared" si="38"/>
        <v>1</v>
      </c>
      <c r="AP17" s="18">
        <f t="shared" si="39"/>
        <v>16</v>
      </c>
      <c r="AQ17" s="33">
        <v>39.268000000000029</v>
      </c>
      <c r="AR17" s="13">
        <v>40</v>
      </c>
      <c r="AS17" s="9">
        <v>1</v>
      </c>
      <c r="AT17" s="10">
        <f t="shared" si="3"/>
        <v>1</v>
      </c>
      <c r="AU17" s="33">
        <v>43.194800000000036</v>
      </c>
      <c r="AV17" s="11">
        <v>130</v>
      </c>
      <c r="AW17" s="9">
        <v>1</v>
      </c>
      <c r="AX17" s="12">
        <f t="shared" si="4"/>
        <v>2</v>
      </c>
      <c r="AY17" s="19">
        <f t="shared" si="40"/>
        <v>5</v>
      </c>
      <c r="AZ17" s="33">
        <v>392.68000000000029</v>
      </c>
      <c r="BA17" s="25">
        <f t="shared" si="6"/>
        <v>220</v>
      </c>
      <c r="BB17" s="9">
        <v>1</v>
      </c>
      <c r="BC17" s="10">
        <f t="shared" si="7"/>
        <v>2</v>
      </c>
      <c r="BD17" s="33">
        <v>148.04036000000011</v>
      </c>
      <c r="BE17" s="13">
        <v>35</v>
      </c>
      <c r="BF17" s="9">
        <v>2</v>
      </c>
      <c r="BG17" s="12">
        <f t="shared" si="41"/>
        <v>2</v>
      </c>
      <c r="BH17" s="33">
        <v>25.13152000000002</v>
      </c>
      <c r="BI17" s="14">
        <v>3.4</v>
      </c>
      <c r="BJ17" s="9">
        <v>2</v>
      </c>
      <c r="BK17" s="10">
        <f t="shared" si="8"/>
        <v>4</v>
      </c>
      <c r="BL17" s="33">
        <v>134.6892400000001</v>
      </c>
      <c r="BM17" s="11">
        <v>125</v>
      </c>
      <c r="BN17" s="9">
        <v>1</v>
      </c>
      <c r="BO17" s="12">
        <f t="shared" si="42"/>
        <v>3</v>
      </c>
      <c r="BP17" s="19">
        <f t="shared" si="43"/>
        <v>7</v>
      </c>
      <c r="BQ17" s="21">
        <f t="shared" si="56"/>
        <v>26</v>
      </c>
      <c r="BR17" s="33">
        <v>51.935980000000036</v>
      </c>
      <c r="BS17" s="11">
        <v>165</v>
      </c>
      <c r="BT17" s="9">
        <v>1</v>
      </c>
      <c r="BU17" s="10">
        <f t="shared" si="44"/>
        <v>0.5</v>
      </c>
      <c r="BV17" s="33">
        <v>63.093900000000048</v>
      </c>
      <c r="BW17" s="11">
        <v>150</v>
      </c>
      <c r="BX17" s="9">
        <v>2</v>
      </c>
      <c r="BY17" s="10">
        <f t="shared" si="45"/>
        <v>0.5</v>
      </c>
      <c r="BZ17" s="33">
        <v>384.57360000000028</v>
      </c>
      <c r="CA17" s="13">
        <v>320</v>
      </c>
      <c r="CB17" s="9">
        <v>2</v>
      </c>
      <c r="CC17" s="10">
        <f t="shared" si="46"/>
        <v>1</v>
      </c>
      <c r="CD17" s="33">
        <v>1153.720800000001</v>
      </c>
      <c r="CE17" s="13">
        <v>8000</v>
      </c>
      <c r="CF17" s="9">
        <v>1</v>
      </c>
      <c r="CG17" s="10">
        <f t="shared" si="47"/>
        <v>0.5</v>
      </c>
      <c r="CH17" s="33">
        <v>769.14720000000057</v>
      </c>
      <c r="CI17" s="13">
        <v>300</v>
      </c>
      <c r="CJ17" s="9">
        <v>2</v>
      </c>
      <c r="CK17" s="10">
        <f t="shared" si="48"/>
        <v>1.5</v>
      </c>
      <c r="CL17" s="41">
        <f t="shared" si="49"/>
        <v>98.170000000000073</v>
      </c>
      <c r="CM17" s="15">
        <v>50</v>
      </c>
      <c r="CN17" s="9">
        <v>1</v>
      </c>
      <c r="CO17" s="10">
        <f t="shared" si="50"/>
        <v>2</v>
      </c>
      <c r="CP17" s="20">
        <f t="shared" si="51"/>
        <v>6</v>
      </c>
      <c r="CQ17" s="5">
        <f t="shared" si="52"/>
        <v>16</v>
      </c>
      <c r="CR17" s="5">
        <f t="shared" si="53"/>
        <v>26</v>
      </c>
      <c r="CS17" s="5">
        <f t="shared" si="54"/>
        <v>6</v>
      </c>
      <c r="CT17" s="5">
        <f t="shared" si="55"/>
        <v>48</v>
      </c>
      <c r="CY17" s="46"/>
      <c r="DF17" s="46"/>
    </row>
    <row r="18" spans="2:110" s="6" customFormat="1" ht="17.25" customHeight="1">
      <c r="B18" s="7">
        <v>7</v>
      </c>
      <c r="C18" s="114" t="s">
        <v>66</v>
      </c>
      <c r="D18" s="7"/>
      <c r="E18" s="7" t="s">
        <v>18</v>
      </c>
      <c r="F18" s="271">
        <v>160</v>
      </c>
      <c r="G18" s="111">
        <v>985.51300000000003</v>
      </c>
      <c r="H18" s="111">
        <v>1133.664</v>
      </c>
      <c r="I18" s="82">
        <f t="shared" si="33"/>
        <v>148.15099999999995</v>
      </c>
      <c r="J18" s="82">
        <f t="shared" ref="J18:J19" si="57">J17+I18</f>
        <v>932.96100000000013</v>
      </c>
      <c r="K18" s="35"/>
      <c r="L18" s="403"/>
      <c r="M18" s="403"/>
      <c r="N18" s="385"/>
      <c r="O18" s="388"/>
      <c r="P18" s="19">
        <v>3</v>
      </c>
      <c r="Q18" s="115">
        <v>223.70800999999994</v>
      </c>
      <c r="R18" s="8">
        <v>53.9</v>
      </c>
      <c r="S18" s="9">
        <v>2</v>
      </c>
      <c r="T18" s="10">
        <f t="shared" si="0"/>
        <v>2.5</v>
      </c>
      <c r="U18" s="115">
        <v>817.79351999999983</v>
      </c>
      <c r="V18" s="11">
        <v>190</v>
      </c>
      <c r="W18" s="9">
        <v>2</v>
      </c>
      <c r="X18" s="10">
        <f t="shared" si="1"/>
        <v>2.5</v>
      </c>
      <c r="Y18" s="115">
        <v>198.52233999999996</v>
      </c>
      <c r="Z18" s="11">
        <v>42</v>
      </c>
      <c r="AA18" s="9">
        <v>2</v>
      </c>
      <c r="AB18" s="12">
        <f t="shared" si="34"/>
        <v>3.5</v>
      </c>
      <c r="AC18" s="115">
        <v>118.52079999999997</v>
      </c>
      <c r="AD18" s="11">
        <v>40</v>
      </c>
      <c r="AE18" s="9">
        <v>2</v>
      </c>
      <c r="AF18" s="10">
        <f t="shared" si="35"/>
        <v>1.5</v>
      </c>
      <c r="AG18" s="115">
        <v>53.33435999999999</v>
      </c>
      <c r="AH18" s="11">
        <v>130</v>
      </c>
      <c r="AI18" s="9">
        <v>1</v>
      </c>
      <c r="AJ18" s="12">
        <f t="shared" si="36"/>
        <v>2</v>
      </c>
      <c r="AK18" s="19">
        <f t="shared" si="37"/>
        <v>2</v>
      </c>
      <c r="AL18" s="115">
        <v>168.89213999999993</v>
      </c>
      <c r="AM18" s="11">
        <v>225</v>
      </c>
      <c r="AN18" s="9">
        <v>1</v>
      </c>
      <c r="AO18" s="10">
        <f t="shared" si="38"/>
        <v>1</v>
      </c>
      <c r="AP18" s="18">
        <f t="shared" si="39"/>
        <v>18</v>
      </c>
      <c r="AQ18" s="115">
        <v>59.260399999999983</v>
      </c>
      <c r="AR18" s="13">
        <v>40</v>
      </c>
      <c r="AS18" s="9">
        <v>1</v>
      </c>
      <c r="AT18" s="10">
        <f t="shared" si="3"/>
        <v>1.5</v>
      </c>
      <c r="AU18" s="115">
        <v>65.18643999999999</v>
      </c>
      <c r="AV18" s="11">
        <v>130</v>
      </c>
      <c r="AW18" s="9">
        <v>1</v>
      </c>
      <c r="AX18" s="12">
        <f t="shared" si="4"/>
        <v>2</v>
      </c>
      <c r="AY18" s="19">
        <f t="shared" si="40"/>
        <v>5</v>
      </c>
      <c r="AZ18" s="115">
        <v>592.60399999999981</v>
      </c>
      <c r="BA18" s="25">
        <f t="shared" si="6"/>
        <v>220</v>
      </c>
      <c r="BB18" s="9">
        <v>1</v>
      </c>
      <c r="BC18" s="10">
        <f t="shared" si="7"/>
        <v>3</v>
      </c>
      <c r="BD18" s="115">
        <v>223.41170799999992</v>
      </c>
      <c r="BE18" s="13">
        <v>35</v>
      </c>
      <c r="BF18" s="9">
        <v>2</v>
      </c>
      <c r="BG18" s="12">
        <f t="shared" si="41"/>
        <v>2</v>
      </c>
      <c r="BH18" s="115">
        <v>37.926655999999987</v>
      </c>
      <c r="BI18" s="14">
        <v>3.4</v>
      </c>
      <c r="BJ18" s="9">
        <v>2</v>
      </c>
      <c r="BK18" s="10">
        <f t="shared" si="8"/>
        <v>6</v>
      </c>
      <c r="BL18" s="115">
        <v>203.26317199999994</v>
      </c>
      <c r="BM18" s="11">
        <v>125</v>
      </c>
      <c r="BN18" s="9">
        <v>1</v>
      </c>
      <c r="BO18" s="12">
        <f t="shared" si="42"/>
        <v>3</v>
      </c>
      <c r="BP18" s="19">
        <f t="shared" si="43"/>
        <v>7</v>
      </c>
      <c r="BQ18" s="21">
        <f t="shared" si="56"/>
        <v>30</v>
      </c>
      <c r="BR18" s="115">
        <v>73.186593999999971</v>
      </c>
      <c r="BS18" s="11">
        <v>165</v>
      </c>
      <c r="BT18" s="9">
        <v>1</v>
      </c>
      <c r="BU18" s="10">
        <f t="shared" si="44"/>
        <v>0.5</v>
      </c>
      <c r="BV18" s="115">
        <v>99.261169999999979</v>
      </c>
      <c r="BW18" s="11">
        <v>150</v>
      </c>
      <c r="BX18" s="9">
        <v>2</v>
      </c>
      <c r="BY18" s="10">
        <f t="shared" si="45"/>
        <v>0.5</v>
      </c>
      <c r="BZ18" s="115">
        <v>604.45607999999982</v>
      </c>
      <c r="CA18" s="13">
        <v>320</v>
      </c>
      <c r="CB18" s="9">
        <v>2</v>
      </c>
      <c r="CC18" s="10">
        <f t="shared" si="46"/>
        <v>1</v>
      </c>
      <c r="CD18" s="115">
        <v>1813.3682399999993</v>
      </c>
      <c r="CE18" s="13">
        <v>8000</v>
      </c>
      <c r="CF18" s="9">
        <v>1</v>
      </c>
      <c r="CG18" s="10">
        <f t="shared" si="47"/>
        <v>0.5</v>
      </c>
      <c r="CH18" s="115">
        <v>1208.9121599999996</v>
      </c>
      <c r="CI18" s="13">
        <v>300</v>
      </c>
      <c r="CJ18" s="9">
        <v>2</v>
      </c>
      <c r="CK18" s="10">
        <f t="shared" si="48"/>
        <v>2.5</v>
      </c>
      <c r="CL18" s="41">
        <f t="shared" si="49"/>
        <v>148.15099999999995</v>
      </c>
      <c r="CM18" s="15">
        <v>50</v>
      </c>
      <c r="CN18" s="9">
        <v>1</v>
      </c>
      <c r="CO18" s="10">
        <f t="shared" si="50"/>
        <v>3</v>
      </c>
      <c r="CP18" s="20">
        <f t="shared" si="51"/>
        <v>8</v>
      </c>
      <c r="CQ18" s="5">
        <f t="shared" si="52"/>
        <v>18</v>
      </c>
      <c r="CR18" s="5">
        <f t="shared" si="53"/>
        <v>30</v>
      </c>
      <c r="CS18" s="5">
        <f t="shared" si="54"/>
        <v>8</v>
      </c>
      <c r="CT18" s="5">
        <f t="shared" si="55"/>
        <v>56</v>
      </c>
      <c r="CY18" s="46"/>
      <c r="DF18" s="46"/>
    </row>
    <row r="19" spans="2:110" s="6" customFormat="1" ht="17.25" customHeight="1" thickBot="1">
      <c r="B19" s="71">
        <v>8</v>
      </c>
      <c r="C19" s="70" t="s">
        <v>67</v>
      </c>
      <c r="D19" s="71"/>
      <c r="E19" s="71" t="s">
        <v>18</v>
      </c>
      <c r="F19" s="270">
        <v>160</v>
      </c>
      <c r="G19" s="113">
        <v>1176.8019999999999</v>
      </c>
      <c r="H19" s="113">
        <v>1358.4670000000001</v>
      </c>
      <c r="I19" s="105">
        <f t="shared" si="33"/>
        <v>181.66500000000019</v>
      </c>
      <c r="J19" s="105">
        <f t="shared" si="57"/>
        <v>1114.6260000000002</v>
      </c>
      <c r="K19" s="108"/>
      <c r="L19" s="404"/>
      <c r="M19" s="404"/>
      <c r="N19" s="386"/>
      <c r="O19" s="389"/>
      <c r="P19" s="66">
        <v>3</v>
      </c>
      <c r="Q19" s="107">
        <v>274.31415000000027</v>
      </c>
      <c r="R19" s="65">
        <v>53.9</v>
      </c>
      <c r="S19" s="109">
        <v>2</v>
      </c>
      <c r="T19" s="110">
        <f t="shared" si="0"/>
        <v>3</v>
      </c>
      <c r="U19" s="107">
        <v>1002.790800000001</v>
      </c>
      <c r="V19" s="68">
        <v>190</v>
      </c>
      <c r="W19" s="109">
        <v>2</v>
      </c>
      <c r="X19" s="110">
        <f t="shared" si="1"/>
        <v>3</v>
      </c>
      <c r="Y19" s="107">
        <v>243.43110000000027</v>
      </c>
      <c r="Z19" s="68">
        <v>42</v>
      </c>
      <c r="AA19" s="109">
        <v>2</v>
      </c>
      <c r="AB19" s="67">
        <f t="shared" si="34"/>
        <v>4</v>
      </c>
      <c r="AC19" s="107">
        <v>145.33200000000016</v>
      </c>
      <c r="AD19" s="68">
        <v>40</v>
      </c>
      <c r="AE19" s="109">
        <v>2</v>
      </c>
      <c r="AF19" s="110">
        <f t="shared" si="35"/>
        <v>2</v>
      </c>
      <c r="AG19" s="107">
        <v>65.399400000000071</v>
      </c>
      <c r="AH19" s="68">
        <v>130</v>
      </c>
      <c r="AI19" s="109">
        <v>1</v>
      </c>
      <c r="AJ19" s="67">
        <f t="shared" si="36"/>
        <v>2</v>
      </c>
      <c r="AK19" s="66">
        <f t="shared" si="37"/>
        <v>2</v>
      </c>
      <c r="AL19" s="107">
        <v>207.09810000000019</v>
      </c>
      <c r="AM19" s="68">
        <v>225</v>
      </c>
      <c r="AN19" s="109">
        <v>1</v>
      </c>
      <c r="AO19" s="110">
        <f t="shared" si="38"/>
        <v>1</v>
      </c>
      <c r="AP19" s="64">
        <f t="shared" si="39"/>
        <v>20</v>
      </c>
      <c r="AQ19" s="107">
        <v>72.666000000000082</v>
      </c>
      <c r="AR19" s="63">
        <v>40</v>
      </c>
      <c r="AS19" s="109">
        <v>1</v>
      </c>
      <c r="AT19" s="110">
        <f t="shared" si="3"/>
        <v>2</v>
      </c>
      <c r="AU19" s="107">
        <v>79.932600000000093</v>
      </c>
      <c r="AV19" s="68">
        <v>130</v>
      </c>
      <c r="AW19" s="109">
        <v>1</v>
      </c>
      <c r="AX19" s="67">
        <f t="shared" si="4"/>
        <v>2</v>
      </c>
      <c r="AY19" s="66">
        <f t="shared" si="40"/>
        <v>5</v>
      </c>
      <c r="AZ19" s="107">
        <v>726.66000000000076</v>
      </c>
      <c r="BA19" s="62">
        <f t="shared" si="6"/>
        <v>220</v>
      </c>
      <c r="BB19" s="109">
        <v>1</v>
      </c>
      <c r="BC19" s="110">
        <f t="shared" si="7"/>
        <v>3.5</v>
      </c>
      <c r="BD19" s="107">
        <v>273.95082000000031</v>
      </c>
      <c r="BE19" s="63">
        <v>35</v>
      </c>
      <c r="BF19" s="109">
        <v>2</v>
      </c>
      <c r="BG19" s="67">
        <f t="shared" si="41"/>
        <v>2</v>
      </c>
      <c r="BH19" s="107">
        <v>46.506240000000048</v>
      </c>
      <c r="BI19" s="61">
        <v>3.4</v>
      </c>
      <c r="BJ19" s="109">
        <v>2</v>
      </c>
      <c r="BK19" s="110">
        <f t="shared" si="8"/>
        <v>7</v>
      </c>
      <c r="BL19" s="107">
        <v>249.24438000000029</v>
      </c>
      <c r="BM19" s="68">
        <v>125</v>
      </c>
      <c r="BN19" s="109">
        <v>1</v>
      </c>
      <c r="BO19" s="67">
        <f t="shared" si="42"/>
        <v>3</v>
      </c>
      <c r="BP19" s="66">
        <f t="shared" si="43"/>
        <v>7</v>
      </c>
      <c r="BQ19" s="106">
        <f t="shared" si="56"/>
        <v>32</v>
      </c>
      <c r="BR19" s="107">
        <v>89.742510000000095</v>
      </c>
      <c r="BS19" s="68">
        <v>165</v>
      </c>
      <c r="BT19" s="109">
        <v>1</v>
      </c>
      <c r="BU19" s="110">
        <f t="shared" si="44"/>
        <v>1</v>
      </c>
      <c r="BV19" s="107">
        <v>121.71555000000014</v>
      </c>
      <c r="BW19" s="68">
        <v>150</v>
      </c>
      <c r="BX19" s="109">
        <v>2</v>
      </c>
      <c r="BY19" s="110">
        <f t="shared" si="45"/>
        <v>0.5</v>
      </c>
      <c r="BZ19" s="107">
        <v>741.19320000000084</v>
      </c>
      <c r="CA19" s="63">
        <v>320</v>
      </c>
      <c r="CB19" s="109">
        <v>2</v>
      </c>
      <c r="CC19" s="110">
        <f t="shared" si="46"/>
        <v>1.5</v>
      </c>
      <c r="CD19" s="107">
        <v>2223.5796000000028</v>
      </c>
      <c r="CE19" s="63">
        <v>8000</v>
      </c>
      <c r="CF19" s="109">
        <v>1</v>
      </c>
      <c r="CG19" s="110">
        <f t="shared" si="47"/>
        <v>0.5</v>
      </c>
      <c r="CH19" s="107">
        <v>1482.3864000000017</v>
      </c>
      <c r="CI19" s="63">
        <v>300</v>
      </c>
      <c r="CJ19" s="109">
        <v>2</v>
      </c>
      <c r="CK19" s="110">
        <f t="shared" si="48"/>
        <v>2.5</v>
      </c>
      <c r="CL19" s="60">
        <f t="shared" si="49"/>
        <v>181.66500000000019</v>
      </c>
      <c r="CM19" s="69">
        <v>50</v>
      </c>
      <c r="CN19" s="109">
        <v>1</v>
      </c>
      <c r="CO19" s="110">
        <f t="shared" si="50"/>
        <v>4</v>
      </c>
      <c r="CP19" s="58">
        <f t="shared" si="51"/>
        <v>10</v>
      </c>
      <c r="CQ19" s="57">
        <f t="shared" si="52"/>
        <v>20</v>
      </c>
      <c r="CR19" s="57">
        <f t="shared" si="53"/>
        <v>32</v>
      </c>
      <c r="CS19" s="57">
        <f t="shared" si="54"/>
        <v>10</v>
      </c>
      <c r="CT19" s="57">
        <f t="shared" si="55"/>
        <v>62</v>
      </c>
      <c r="CY19" s="46"/>
      <c r="DF19" s="46"/>
    </row>
    <row r="20" spans="2:110" s="6" customFormat="1" ht="17.25" customHeight="1">
      <c r="B20" s="94">
        <v>9</v>
      </c>
      <c r="C20" s="119" t="s">
        <v>68</v>
      </c>
      <c r="D20" s="94"/>
      <c r="E20" s="94" t="s">
        <v>18</v>
      </c>
      <c r="F20" s="245">
        <v>160</v>
      </c>
      <c r="G20" s="121">
        <v>1391.136</v>
      </c>
      <c r="H20" s="121">
        <v>1425.5519999999999</v>
      </c>
      <c r="I20" s="93">
        <f t="shared" si="33"/>
        <v>34.41599999999994</v>
      </c>
      <c r="J20" s="93">
        <f>I20</f>
        <v>34.41599999999994</v>
      </c>
      <c r="K20" s="92"/>
      <c r="L20" s="322" t="s">
        <v>157</v>
      </c>
      <c r="M20" s="325">
        <f>SUM(I20:I25)</f>
        <v>967.58000000000015</v>
      </c>
      <c r="N20" s="328">
        <f>SUM(CQ20:CQ25,CR25:CS25)/18.4</f>
        <v>9.1847826086956523</v>
      </c>
      <c r="O20" s="331">
        <v>13</v>
      </c>
      <c r="P20" s="91">
        <v>3</v>
      </c>
      <c r="Q20" s="45">
        <v>51.968159999999912</v>
      </c>
      <c r="R20" s="89">
        <v>53.9</v>
      </c>
      <c r="S20" s="83">
        <v>2</v>
      </c>
      <c r="T20" s="87">
        <f t="shared" si="0"/>
        <v>0.5</v>
      </c>
      <c r="U20" s="45">
        <v>189.97631999999967</v>
      </c>
      <c r="V20" s="86">
        <v>190</v>
      </c>
      <c r="W20" s="83">
        <v>2</v>
      </c>
      <c r="X20" s="87">
        <f t="shared" si="1"/>
        <v>0.5</v>
      </c>
      <c r="Y20" s="45">
        <v>46.117439999999924</v>
      </c>
      <c r="Z20" s="86">
        <v>42</v>
      </c>
      <c r="AA20" s="83">
        <v>2</v>
      </c>
      <c r="AB20" s="79">
        <f t="shared" si="34"/>
        <v>2</v>
      </c>
      <c r="AC20" s="45">
        <v>27.532799999999952</v>
      </c>
      <c r="AD20" s="86">
        <v>40</v>
      </c>
      <c r="AE20" s="83">
        <v>2</v>
      </c>
      <c r="AF20" s="87">
        <f t="shared" si="35"/>
        <v>0.5</v>
      </c>
      <c r="AG20" s="45">
        <v>12.389759999999979</v>
      </c>
      <c r="AH20" s="86">
        <v>130</v>
      </c>
      <c r="AI20" s="83">
        <v>1</v>
      </c>
      <c r="AJ20" s="79">
        <f t="shared" si="36"/>
        <v>2</v>
      </c>
      <c r="AK20" s="91">
        <f t="shared" si="37"/>
        <v>2</v>
      </c>
      <c r="AL20" s="45">
        <v>39.234239999999929</v>
      </c>
      <c r="AM20" s="86">
        <v>225</v>
      </c>
      <c r="AN20" s="83">
        <v>1</v>
      </c>
      <c r="AO20" s="87">
        <f t="shared" si="38"/>
        <v>0.5</v>
      </c>
      <c r="AP20" s="85">
        <f t="shared" si="39"/>
        <v>11</v>
      </c>
      <c r="AQ20" s="45">
        <v>13.766399999999976</v>
      </c>
      <c r="AR20" s="39">
        <v>40</v>
      </c>
      <c r="AS20" s="83">
        <v>1</v>
      </c>
      <c r="AT20" s="87">
        <f t="shared" si="3"/>
        <v>0.5</v>
      </c>
      <c r="AU20" s="45">
        <v>15.143039999999976</v>
      </c>
      <c r="AV20" s="86">
        <v>130</v>
      </c>
      <c r="AW20" s="83">
        <v>1</v>
      </c>
      <c r="AX20" s="79">
        <f t="shared" si="4"/>
        <v>2</v>
      </c>
      <c r="AY20" s="91">
        <f t="shared" si="40"/>
        <v>5</v>
      </c>
      <c r="AZ20" s="45">
        <v>137.66399999999976</v>
      </c>
      <c r="BA20" s="80">
        <f t="shared" si="6"/>
        <v>220</v>
      </c>
      <c r="BB20" s="83">
        <v>1</v>
      </c>
      <c r="BC20" s="87">
        <f t="shared" si="7"/>
        <v>1</v>
      </c>
      <c r="BD20" s="45">
        <v>51.899327999999912</v>
      </c>
      <c r="BE20" s="39">
        <v>35</v>
      </c>
      <c r="BF20" s="83">
        <v>2</v>
      </c>
      <c r="BG20" s="79">
        <f t="shared" si="41"/>
        <v>2</v>
      </c>
      <c r="BH20" s="45">
        <v>8.8104959999999846</v>
      </c>
      <c r="BI20" s="48">
        <v>3.4</v>
      </c>
      <c r="BJ20" s="83">
        <v>2</v>
      </c>
      <c r="BK20" s="87">
        <f t="shared" si="8"/>
        <v>1.5</v>
      </c>
      <c r="BL20" s="45">
        <v>47.218751999999924</v>
      </c>
      <c r="BM20" s="86">
        <v>125</v>
      </c>
      <c r="BN20" s="83">
        <v>1</v>
      </c>
      <c r="BO20" s="79">
        <f t="shared" si="42"/>
        <v>2</v>
      </c>
      <c r="BP20" s="91">
        <f t="shared" si="43"/>
        <v>7</v>
      </c>
      <c r="BQ20" s="37">
        <f t="shared" si="56"/>
        <v>21</v>
      </c>
      <c r="BR20" s="45">
        <v>17.001503999999969</v>
      </c>
      <c r="BS20" s="86">
        <v>165</v>
      </c>
      <c r="BT20" s="83">
        <v>1</v>
      </c>
      <c r="BU20" s="87">
        <f t="shared" si="44"/>
        <v>0.5</v>
      </c>
      <c r="BV20" s="45">
        <v>23.058719999999962</v>
      </c>
      <c r="BW20" s="86">
        <v>150</v>
      </c>
      <c r="BX20" s="83">
        <v>2</v>
      </c>
      <c r="BY20" s="87">
        <f t="shared" si="45"/>
        <v>0.5</v>
      </c>
      <c r="BZ20" s="45">
        <v>140.41727999999975</v>
      </c>
      <c r="CA20" s="39">
        <v>320</v>
      </c>
      <c r="CB20" s="83">
        <v>2</v>
      </c>
      <c r="CC20" s="87">
        <f t="shared" si="46"/>
        <v>0.5</v>
      </c>
      <c r="CD20" s="45">
        <v>421.25183999999922</v>
      </c>
      <c r="CE20" s="39">
        <v>8000</v>
      </c>
      <c r="CF20" s="83">
        <v>1</v>
      </c>
      <c r="CG20" s="87">
        <f t="shared" si="47"/>
        <v>0.5</v>
      </c>
      <c r="CH20" s="45">
        <v>280.8345599999995</v>
      </c>
      <c r="CI20" s="39">
        <v>300</v>
      </c>
      <c r="CJ20" s="83">
        <v>2</v>
      </c>
      <c r="CK20" s="87">
        <f t="shared" si="48"/>
        <v>0.5</v>
      </c>
      <c r="CL20" s="42">
        <f t="shared" si="49"/>
        <v>34.41599999999994</v>
      </c>
      <c r="CM20" s="43">
        <v>50</v>
      </c>
      <c r="CN20" s="83">
        <v>1</v>
      </c>
      <c r="CO20" s="87">
        <f t="shared" si="50"/>
        <v>1</v>
      </c>
      <c r="CP20" s="75">
        <f t="shared" si="51"/>
        <v>4</v>
      </c>
      <c r="CQ20" s="78">
        <f t="shared" si="52"/>
        <v>11</v>
      </c>
      <c r="CR20" s="78">
        <f t="shared" si="53"/>
        <v>21</v>
      </c>
      <c r="CS20" s="78">
        <f t="shared" si="54"/>
        <v>4</v>
      </c>
      <c r="CT20" s="78">
        <f t="shared" si="55"/>
        <v>36</v>
      </c>
      <c r="CY20" s="46"/>
      <c r="DF20" s="46"/>
    </row>
    <row r="21" spans="2:110" s="6" customFormat="1" ht="17.25" customHeight="1">
      <c r="B21" s="7">
        <v>10</v>
      </c>
      <c r="C21" s="123" t="s">
        <v>69</v>
      </c>
      <c r="D21" s="7"/>
      <c r="E21" s="7" t="s">
        <v>18</v>
      </c>
      <c r="F21" s="271">
        <v>160</v>
      </c>
      <c r="G21" s="122">
        <v>1459.942</v>
      </c>
      <c r="H21" s="122">
        <v>1619.7460000000001</v>
      </c>
      <c r="I21" s="82">
        <f t="shared" si="33"/>
        <v>159.80400000000009</v>
      </c>
      <c r="J21" s="82">
        <f>J20+I21</f>
        <v>194.22000000000003</v>
      </c>
      <c r="K21" s="35"/>
      <c r="L21" s="326"/>
      <c r="M21" s="326"/>
      <c r="N21" s="329"/>
      <c r="O21" s="332"/>
      <c r="P21" s="19">
        <v>3</v>
      </c>
      <c r="Q21" s="124">
        <v>241.30404000000013</v>
      </c>
      <c r="R21" s="8">
        <v>53.9</v>
      </c>
      <c r="S21" s="9">
        <v>2</v>
      </c>
      <c r="T21" s="10">
        <f t="shared" si="0"/>
        <v>2.5</v>
      </c>
      <c r="U21" s="124">
        <v>882.11808000000042</v>
      </c>
      <c r="V21" s="11">
        <v>190</v>
      </c>
      <c r="W21" s="9">
        <v>2</v>
      </c>
      <c r="X21" s="10">
        <f t="shared" si="1"/>
        <v>2.5</v>
      </c>
      <c r="Y21" s="124">
        <v>214.13736000000014</v>
      </c>
      <c r="Z21" s="11">
        <v>42</v>
      </c>
      <c r="AA21" s="9">
        <v>2</v>
      </c>
      <c r="AB21" s="12">
        <f t="shared" si="34"/>
        <v>4</v>
      </c>
      <c r="AC21" s="124">
        <v>127.84320000000008</v>
      </c>
      <c r="AD21" s="11">
        <v>40</v>
      </c>
      <c r="AE21" s="9">
        <v>2</v>
      </c>
      <c r="AF21" s="10">
        <f t="shared" si="35"/>
        <v>2</v>
      </c>
      <c r="AG21" s="124">
        <v>57.529440000000037</v>
      </c>
      <c r="AH21" s="11">
        <v>130</v>
      </c>
      <c r="AI21" s="9">
        <v>1</v>
      </c>
      <c r="AJ21" s="12">
        <f t="shared" si="36"/>
        <v>2</v>
      </c>
      <c r="AK21" s="19">
        <f t="shared" ref="AK21:AK26" si="58">IF(E21="보통",2,IF(E21="조강",1,""))</f>
        <v>2</v>
      </c>
      <c r="AL21" s="124">
        <v>182.17656000000008</v>
      </c>
      <c r="AM21" s="11">
        <v>225</v>
      </c>
      <c r="AN21" s="9">
        <v>1</v>
      </c>
      <c r="AO21" s="10">
        <f t="shared" si="38"/>
        <v>1</v>
      </c>
      <c r="AP21" s="18">
        <f t="shared" si="39"/>
        <v>19</v>
      </c>
      <c r="AQ21" s="124">
        <v>63.921600000000041</v>
      </c>
      <c r="AR21" s="13">
        <v>40</v>
      </c>
      <c r="AS21" s="9">
        <v>1</v>
      </c>
      <c r="AT21" s="10">
        <f t="shared" si="3"/>
        <v>2</v>
      </c>
      <c r="AU21" s="124">
        <v>70.313760000000045</v>
      </c>
      <c r="AV21" s="11">
        <v>130</v>
      </c>
      <c r="AW21" s="9">
        <v>1</v>
      </c>
      <c r="AX21" s="12">
        <f t="shared" si="4"/>
        <v>2</v>
      </c>
      <c r="AY21" s="19">
        <f t="shared" ref="AY21:AY26" si="59">IF(E21="보통",5,IF(E21="조강",2,""))</f>
        <v>5</v>
      </c>
      <c r="AZ21" s="124">
        <v>639.21600000000035</v>
      </c>
      <c r="BA21" s="25">
        <f t="shared" si="6"/>
        <v>220</v>
      </c>
      <c r="BB21" s="9">
        <v>1</v>
      </c>
      <c r="BC21" s="10">
        <f t="shared" si="7"/>
        <v>3</v>
      </c>
      <c r="BD21" s="124">
        <v>240.98443200000014</v>
      </c>
      <c r="BE21" s="13">
        <v>35</v>
      </c>
      <c r="BF21" s="9">
        <v>2</v>
      </c>
      <c r="BG21" s="12">
        <f t="shared" si="41"/>
        <v>2</v>
      </c>
      <c r="BH21" s="124">
        <v>40.909824000000022</v>
      </c>
      <c r="BI21" s="14">
        <v>3.4</v>
      </c>
      <c r="BJ21" s="9">
        <v>2</v>
      </c>
      <c r="BK21" s="10">
        <f t="shared" si="8"/>
        <v>6.5</v>
      </c>
      <c r="BL21" s="124">
        <v>219.25108800000012</v>
      </c>
      <c r="BM21" s="11">
        <v>125</v>
      </c>
      <c r="BN21" s="9">
        <v>1</v>
      </c>
      <c r="BO21" s="12">
        <f t="shared" si="42"/>
        <v>3</v>
      </c>
      <c r="BP21" s="19">
        <f t="shared" ref="BP21:BP26" si="60">IF(E21="보통",7,IF(E21="조강",3,""))</f>
        <v>7</v>
      </c>
      <c r="BQ21" s="21">
        <f t="shared" si="56"/>
        <v>31</v>
      </c>
      <c r="BR21" s="124">
        <v>78.943176000000037</v>
      </c>
      <c r="BS21" s="11">
        <v>165</v>
      </c>
      <c r="BT21" s="9">
        <v>1</v>
      </c>
      <c r="BU21" s="10">
        <f t="shared" si="44"/>
        <v>0.5</v>
      </c>
      <c r="BV21" s="124">
        <v>107.06868000000007</v>
      </c>
      <c r="BW21" s="11">
        <v>150</v>
      </c>
      <c r="BX21" s="9">
        <v>2</v>
      </c>
      <c r="BY21" s="10">
        <f t="shared" si="45"/>
        <v>0.5</v>
      </c>
      <c r="BZ21" s="124">
        <v>652.00032000000033</v>
      </c>
      <c r="CA21" s="13">
        <v>320</v>
      </c>
      <c r="CB21" s="9">
        <v>2</v>
      </c>
      <c r="CC21" s="10">
        <f t="shared" si="46"/>
        <v>1.5</v>
      </c>
      <c r="CD21" s="124">
        <v>1956.000960000001</v>
      </c>
      <c r="CE21" s="13">
        <v>8000</v>
      </c>
      <c r="CF21" s="9">
        <v>1</v>
      </c>
      <c r="CG21" s="10">
        <f t="shared" si="47"/>
        <v>0.5</v>
      </c>
      <c r="CH21" s="124">
        <v>1304.0006400000007</v>
      </c>
      <c r="CI21" s="13">
        <v>300</v>
      </c>
      <c r="CJ21" s="9">
        <v>2</v>
      </c>
      <c r="CK21" s="10">
        <f t="shared" si="48"/>
        <v>2.5</v>
      </c>
      <c r="CL21" s="41">
        <f t="shared" ref="CL21:CL26" si="61">I21</f>
        <v>159.80400000000009</v>
      </c>
      <c r="CM21" s="15">
        <v>50</v>
      </c>
      <c r="CN21" s="9">
        <v>1</v>
      </c>
      <c r="CO21" s="10">
        <f t="shared" si="50"/>
        <v>3.5</v>
      </c>
      <c r="CP21" s="20">
        <f t="shared" si="51"/>
        <v>9</v>
      </c>
      <c r="CQ21" s="5">
        <f t="shared" ref="CQ21:CQ26" si="62">AP21</f>
        <v>19</v>
      </c>
      <c r="CR21" s="5">
        <f t="shared" ref="CR21:CR26" si="63">BQ21</f>
        <v>31</v>
      </c>
      <c r="CS21" s="5">
        <f t="shared" si="54"/>
        <v>9</v>
      </c>
      <c r="CT21" s="5">
        <f t="shared" si="55"/>
        <v>59</v>
      </c>
      <c r="CY21" s="46"/>
      <c r="DF21" s="46"/>
    </row>
    <row r="22" spans="2:110" s="6" customFormat="1" ht="17.25" customHeight="1">
      <c r="B22" s="7">
        <v>11</v>
      </c>
      <c r="C22" s="123" t="s">
        <v>70</v>
      </c>
      <c r="D22" s="7"/>
      <c r="E22" s="7" t="s">
        <v>18</v>
      </c>
      <c r="F22" s="271">
        <v>160</v>
      </c>
      <c r="G22" s="122">
        <v>1646.635</v>
      </c>
      <c r="H22" s="122">
        <v>1727.463</v>
      </c>
      <c r="I22" s="82">
        <f t="shared" si="33"/>
        <v>80.827999999999975</v>
      </c>
      <c r="J22" s="82">
        <f t="shared" ref="J22:J25" si="64">J21+I22</f>
        <v>275.048</v>
      </c>
      <c r="K22" s="35"/>
      <c r="L22" s="326"/>
      <c r="M22" s="326"/>
      <c r="N22" s="329"/>
      <c r="O22" s="332"/>
      <c r="P22" s="19">
        <v>3</v>
      </c>
      <c r="Q22" s="124">
        <v>122.05027999999996</v>
      </c>
      <c r="R22" s="8">
        <v>53.9</v>
      </c>
      <c r="S22" s="9">
        <v>2</v>
      </c>
      <c r="T22" s="10">
        <f t="shared" si="0"/>
        <v>1.5</v>
      </c>
      <c r="U22" s="124">
        <v>446.17055999999991</v>
      </c>
      <c r="V22" s="11">
        <v>190</v>
      </c>
      <c r="W22" s="9">
        <v>2</v>
      </c>
      <c r="X22" s="10">
        <f t="shared" si="1"/>
        <v>1.5</v>
      </c>
      <c r="Y22" s="124">
        <v>108.30951999999998</v>
      </c>
      <c r="Z22" s="11">
        <v>42</v>
      </c>
      <c r="AA22" s="9">
        <v>2</v>
      </c>
      <c r="AB22" s="12">
        <f t="shared" si="34"/>
        <v>2.5</v>
      </c>
      <c r="AC22" s="124">
        <v>64.662399999999977</v>
      </c>
      <c r="AD22" s="11">
        <v>40</v>
      </c>
      <c r="AE22" s="9">
        <v>2</v>
      </c>
      <c r="AF22" s="10">
        <f t="shared" si="35"/>
        <v>1</v>
      </c>
      <c r="AG22" s="124">
        <v>29.098079999999996</v>
      </c>
      <c r="AH22" s="11">
        <v>130</v>
      </c>
      <c r="AI22" s="9">
        <v>1</v>
      </c>
      <c r="AJ22" s="12">
        <f t="shared" si="36"/>
        <v>2</v>
      </c>
      <c r="AK22" s="19">
        <f t="shared" si="58"/>
        <v>2</v>
      </c>
      <c r="AL22" s="124">
        <v>92.143919999999966</v>
      </c>
      <c r="AM22" s="11">
        <v>225</v>
      </c>
      <c r="AN22" s="9">
        <v>1</v>
      </c>
      <c r="AO22" s="10">
        <f t="shared" si="38"/>
        <v>0.5</v>
      </c>
      <c r="AP22" s="18">
        <f t="shared" si="39"/>
        <v>14</v>
      </c>
      <c r="AQ22" s="124">
        <v>32.331199999999988</v>
      </c>
      <c r="AR22" s="13">
        <v>40</v>
      </c>
      <c r="AS22" s="9">
        <v>1</v>
      </c>
      <c r="AT22" s="10">
        <f t="shared" si="3"/>
        <v>1</v>
      </c>
      <c r="AU22" s="124">
        <v>35.564319999999995</v>
      </c>
      <c r="AV22" s="11">
        <v>130</v>
      </c>
      <c r="AW22" s="9">
        <v>1</v>
      </c>
      <c r="AX22" s="12">
        <f t="shared" si="4"/>
        <v>2</v>
      </c>
      <c r="AY22" s="19">
        <f t="shared" si="59"/>
        <v>5</v>
      </c>
      <c r="AZ22" s="124">
        <v>323.3119999999999</v>
      </c>
      <c r="BA22" s="25">
        <f t="shared" si="6"/>
        <v>220</v>
      </c>
      <c r="BB22" s="9">
        <v>1</v>
      </c>
      <c r="BC22" s="10">
        <f t="shared" si="7"/>
        <v>1.5</v>
      </c>
      <c r="BD22" s="124">
        <v>121.88862399999996</v>
      </c>
      <c r="BE22" s="13">
        <v>35</v>
      </c>
      <c r="BF22" s="9">
        <v>2</v>
      </c>
      <c r="BG22" s="12">
        <f t="shared" si="41"/>
        <v>2</v>
      </c>
      <c r="BH22" s="124">
        <v>20.691967999999992</v>
      </c>
      <c r="BI22" s="14">
        <v>3.4</v>
      </c>
      <c r="BJ22" s="9">
        <v>2</v>
      </c>
      <c r="BK22" s="10">
        <f t="shared" si="8"/>
        <v>3.5</v>
      </c>
      <c r="BL22" s="124">
        <v>110.89601599999997</v>
      </c>
      <c r="BM22" s="11">
        <v>125</v>
      </c>
      <c r="BN22" s="9">
        <v>1</v>
      </c>
      <c r="BO22" s="12">
        <f t="shared" si="42"/>
        <v>2</v>
      </c>
      <c r="BP22" s="19">
        <f t="shared" si="60"/>
        <v>7</v>
      </c>
      <c r="BQ22" s="21">
        <f t="shared" si="56"/>
        <v>24</v>
      </c>
      <c r="BR22" s="124">
        <v>39.929031999999985</v>
      </c>
      <c r="BS22" s="11">
        <v>165</v>
      </c>
      <c r="BT22" s="9">
        <v>1</v>
      </c>
      <c r="BU22" s="10">
        <f t="shared" si="44"/>
        <v>0.5</v>
      </c>
      <c r="BV22" s="124">
        <v>54.154759999999989</v>
      </c>
      <c r="BW22" s="11">
        <v>150</v>
      </c>
      <c r="BX22" s="9">
        <v>2</v>
      </c>
      <c r="BY22" s="10">
        <f t="shared" si="45"/>
        <v>0.5</v>
      </c>
      <c r="BZ22" s="124">
        <v>329.77823999999993</v>
      </c>
      <c r="CA22" s="13">
        <v>320</v>
      </c>
      <c r="CB22" s="9">
        <v>2</v>
      </c>
      <c r="CC22" s="10">
        <f t="shared" si="46"/>
        <v>1</v>
      </c>
      <c r="CD22" s="124">
        <v>989.33471999999983</v>
      </c>
      <c r="CE22" s="13">
        <v>8000</v>
      </c>
      <c r="CF22" s="9">
        <v>1</v>
      </c>
      <c r="CG22" s="10">
        <f t="shared" si="47"/>
        <v>0.5</v>
      </c>
      <c r="CH22" s="124">
        <v>659.55647999999985</v>
      </c>
      <c r="CI22" s="13">
        <v>300</v>
      </c>
      <c r="CJ22" s="9">
        <v>2</v>
      </c>
      <c r="CK22" s="10">
        <f t="shared" si="48"/>
        <v>1.5</v>
      </c>
      <c r="CL22" s="41">
        <f t="shared" si="61"/>
        <v>80.827999999999975</v>
      </c>
      <c r="CM22" s="15">
        <v>50</v>
      </c>
      <c r="CN22" s="9">
        <v>1</v>
      </c>
      <c r="CO22" s="10">
        <f t="shared" si="50"/>
        <v>2</v>
      </c>
      <c r="CP22" s="20">
        <f t="shared" si="51"/>
        <v>6</v>
      </c>
      <c r="CQ22" s="5">
        <f t="shared" si="62"/>
        <v>14</v>
      </c>
      <c r="CR22" s="5">
        <f t="shared" si="63"/>
        <v>24</v>
      </c>
      <c r="CS22" s="5">
        <f t="shared" si="54"/>
        <v>6</v>
      </c>
      <c r="CT22" s="5">
        <f t="shared" si="55"/>
        <v>44</v>
      </c>
      <c r="CY22" s="46"/>
      <c r="DF22" s="46"/>
    </row>
    <row r="23" spans="2:110" s="6" customFormat="1" ht="17.25" customHeight="1">
      <c r="B23" s="7">
        <v>12</v>
      </c>
      <c r="C23" s="123" t="s">
        <v>71</v>
      </c>
      <c r="D23" s="7"/>
      <c r="E23" s="7" t="s">
        <v>18</v>
      </c>
      <c r="F23" s="271">
        <v>160</v>
      </c>
      <c r="G23" s="122">
        <v>1757.2639999999999</v>
      </c>
      <c r="H23" s="122">
        <v>1949.395</v>
      </c>
      <c r="I23" s="82">
        <f t="shared" si="33"/>
        <v>192.13100000000009</v>
      </c>
      <c r="J23" s="82">
        <f t="shared" si="64"/>
        <v>467.17900000000009</v>
      </c>
      <c r="K23" s="35"/>
      <c r="L23" s="326"/>
      <c r="M23" s="326"/>
      <c r="N23" s="329"/>
      <c r="O23" s="332"/>
      <c r="P23" s="19">
        <v>3</v>
      </c>
      <c r="Q23" s="124">
        <v>290.11781000000013</v>
      </c>
      <c r="R23" s="8">
        <v>53.9</v>
      </c>
      <c r="S23" s="9">
        <v>2</v>
      </c>
      <c r="T23" s="10">
        <f t="shared" si="0"/>
        <v>3</v>
      </c>
      <c r="U23" s="124">
        <v>1060.5631200000005</v>
      </c>
      <c r="V23" s="11">
        <v>190</v>
      </c>
      <c r="W23" s="9">
        <v>2</v>
      </c>
      <c r="X23" s="10">
        <f t="shared" si="1"/>
        <v>3</v>
      </c>
      <c r="Y23" s="124">
        <v>257.45554000000016</v>
      </c>
      <c r="Z23" s="11">
        <v>42</v>
      </c>
      <c r="AA23" s="9">
        <v>2</v>
      </c>
      <c r="AB23" s="12">
        <f t="shared" si="34"/>
        <v>4.5</v>
      </c>
      <c r="AC23" s="124">
        <v>153.70480000000009</v>
      </c>
      <c r="AD23" s="11">
        <v>40</v>
      </c>
      <c r="AE23" s="9">
        <v>2</v>
      </c>
      <c r="AF23" s="10">
        <f t="shared" si="35"/>
        <v>2</v>
      </c>
      <c r="AG23" s="124">
        <v>69.167160000000038</v>
      </c>
      <c r="AH23" s="11">
        <v>130</v>
      </c>
      <c r="AI23" s="9">
        <v>1</v>
      </c>
      <c r="AJ23" s="12">
        <f t="shared" si="36"/>
        <v>2</v>
      </c>
      <c r="AK23" s="19">
        <f t="shared" si="58"/>
        <v>2</v>
      </c>
      <c r="AL23" s="124">
        <v>219.02934000000008</v>
      </c>
      <c r="AM23" s="11">
        <v>225</v>
      </c>
      <c r="AN23" s="9">
        <v>1</v>
      </c>
      <c r="AO23" s="10">
        <f t="shared" si="38"/>
        <v>1</v>
      </c>
      <c r="AP23" s="18">
        <f t="shared" si="39"/>
        <v>21</v>
      </c>
      <c r="AQ23" s="124">
        <v>76.852400000000046</v>
      </c>
      <c r="AR23" s="13">
        <v>40</v>
      </c>
      <c r="AS23" s="9">
        <v>1</v>
      </c>
      <c r="AT23" s="10">
        <f t="shared" si="3"/>
        <v>2</v>
      </c>
      <c r="AU23" s="124">
        <v>84.537640000000053</v>
      </c>
      <c r="AV23" s="11">
        <v>130</v>
      </c>
      <c r="AW23" s="9">
        <v>1</v>
      </c>
      <c r="AX23" s="12">
        <f t="shared" si="4"/>
        <v>2</v>
      </c>
      <c r="AY23" s="19">
        <f t="shared" si="59"/>
        <v>5</v>
      </c>
      <c r="AZ23" s="124">
        <v>768.52400000000034</v>
      </c>
      <c r="BA23" s="25">
        <f t="shared" si="6"/>
        <v>220</v>
      </c>
      <c r="BB23" s="9">
        <v>1</v>
      </c>
      <c r="BC23" s="10">
        <f t="shared" si="7"/>
        <v>3.5</v>
      </c>
      <c r="BD23" s="124">
        <v>289.73354800000016</v>
      </c>
      <c r="BE23" s="13">
        <v>35</v>
      </c>
      <c r="BF23" s="9">
        <v>2</v>
      </c>
      <c r="BG23" s="12">
        <f t="shared" si="41"/>
        <v>2</v>
      </c>
      <c r="BH23" s="124">
        <v>49.18553600000002</v>
      </c>
      <c r="BI23" s="14">
        <v>3.4</v>
      </c>
      <c r="BJ23" s="9">
        <v>2</v>
      </c>
      <c r="BK23" s="10">
        <f t="shared" si="8"/>
        <v>7.5</v>
      </c>
      <c r="BL23" s="124">
        <v>263.60373200000015</v>
      </c>
      <c r="BM23" s="11">
        <v>125</v>
      </c>
      <c r="BN23" s="9">
        <v>1</v>
      </c>
      <c r="BO23" s="12">
        <f t="shared" si="42"/>
        <v>4</v>
      </c>
      <c r="BP23" s="19">
        <f t="shared" si="60"/>
        <v>7</v>
      </c>
      <c r="BQ23" s="21">
        <f t="shared" si="56"/>
        <v>33</v>
      </c>
      <c r="BR23" s="124">
        <v>94.912714000000037</v>
      </c>
      <c r="BS23" s="11">
        <v>165</v>
      </c>
      <c r="BT23" s="9">
        <v>1</v>
      </c>
      <c r="BU23" s="10">
        <f t="shared" si="44"/>
        <v>1</v>
      </c>
      <c r="BV23" s="124">
        <v>128.72777000000008</v>
      </c>
      <c r="BW23" s="11">
        <v>150</v>
      </c>
      <c r="BX23" s="9">
        <v>2</v>
      </c>
      <c r="BY23" s="10">
        <f t="shared" si="45"/>
        <v>0.5</v>
      </c>
      <c r="BZ23" s="124">
        <v>783.89448000000039</v>
      </c>
      <c r="CA23" s="13">
        <v>320</v>
      </c>
      <c r="CB23" s="9">
        <v>2</v>
      </c>
      <c r="CC23" s="10">
        <f t="shared" si="46"/>
        <v>1.5</v>
      </c>
      <c r="CD23" s="124">
        <v>2351.6834400000012</v>
      </c>
      <c r="CE23" s="13">
        <v>8000</v>
      </c>
      <c r="CF23" s="9">
        <v>1</v>
      </c>
      <c r="CG23" s="10">
        <f t="shared" si="47"/>
        <v>0.5</v>
      </c>
      <c r="CH23" s="124">
        <v>1567.7889600000008</v>
      </c>
      <c r="CI23" s="13">
        <v>300</v>
      </c>
      <c r="CJ23" s="9">
        <v>2</v>
      </c>
      <c r="CK23" s="10">
        <f t="shared" si="48"/>
        <v>3</v>
      </c>
      <c r="CL23" s="41">
        <f t="shared" si="61"/>
        <v>192.13100000000009</v>
      </c>
      <c r="CM23" s="15">
        <v>50</v>
      </c>
      <c r="CN23" s="9">
        <v>1</v>
      </c>
      <c r="CO23" s="10">
        <f t="shared" si="50"/>
        <v>4</v>
      </c>
      <c r="CP23" s="20">
        <f t="shared" si="51"/>
        <v>11</v>
      </c>
      <c r="CQ23" s="5">
        <f t="shared" si="62"/>
        <v>21</v>
      </c>
      <c r="CR23" s="5">
        <f t="shared" si="63"/>
        <v>33</v>
      </c>
      <c r="CS23" s="5">
        <f t="shared" si="54"/>
        <v>11</v>
      </c>
      <c r="CT23" s="5">
        <f t="shared" si="55"/>
        <v>65</v>
      </c>
      <c r="CW23" s="6" t="s">
        <v>72</v>
      </c>
      <c r="CX23" s="5">
        <f>SUM(CQ12:CQ19)</f>
        <v>142</v>
      </c>
      <c r="CY23" s="5">
        <f>CR19+CS19</f>
        <v>42</v>
      </c>
      <c r="CZ23" s="47">
        <f>CX23/18.4</f>
        <v>7.7173913043478271</v>
      </c>
      <c r="DA23" s="47">
        <f>CY23/18.4</f>
        <v>2.2826086956521743</v>
      </c>
      <c r="DF23" s="46"/>
    </row>
    <row r="24" spans="2:110" s="6" customFormat="1" ht="17.25" customHeight="1">
      <c r="B24" s="7">
        <v>13</v>
      </c>
      <c r="C24" s="7" t="s">
        <v>86</v>
      </c>
      <c r="D24" s="7"/>
      <c r="E24" s="7" t="s">
        <v>18</v>
      </c>
      <c r="F24" s="271">
        <v>255</v>
      </c>
      <c r="G24" s="122">
        <v>2007.5809999999999</v>
      </c>
      <c r="H24" s="125">
        <v>2229.5410000000002</v>
      </c>
      <c r="I24" s="82">
        <f t="shared" si="33"/>
        <v>221.96000000000026</v>
      </c>
      <c r="J24" s="82">
        <f t="shared" si="64"/>
        <v>689.13900000000035</v>
      </c>
      <c r="K24" s="35" t="s">
        <v>87</v>
      </c>
      <c r="L24" s="326"/>
      <c r="M24" s="326"/>
      <c r="N24" s="329"/>
      <c r="O24" s="332"/>
      <c r="P24" s="19">
        <v>3</v>
      </c>
      <c r="Q24" s="33">
        <v>407.81408000000033</v>
      </c>
      <c r="R24" s="8">
        <v>53.9</v>
      </c>
      <c r="S24" s="9">
        <v>2</v>
      </c>
      <c r="T24" s="10">
        <f t="shared" si="0"/>
        <v>4</v>
      </c>
      <c r="U24" s="33">
        <v>1452.300850000001</v>
      </c>
      <c r="V24" s="11">
        <v>190</v>
      </c>
      <c r="W24" s="9">
        <v>2</v>
      </c>
      <c r="X24" s="10">
        <f t="shared" si="1"/>
        <v>4</v>
      </c>
      <c r="Y24" s="33">
        <v>297.4264000000004</v>
      </c>
      <c r="Z24" s="11">
        <v>42</v>
      </c>
      <c r="AA24" s="9">
        <v>2</v>
      </c>
      <c r="AB24" s="12">
        <f t="shared" si="34"/>
        <v>5</v>
      </c>
      <c r="AC24" s="33">
        <v>177.56800000000021</v>
      </c>
      <c r="AD24" s="11">
        <v>40</v>
      </c>
      <c r="AE24" s="9">
        <v>2</v>
      </c>
      <c r="AF24" s="10">
        <f t="shared" si="35"/>
        <v>2.5</v>
      </c>
      <c r="AG24" s="33">
        <v>79.905600000000106</v>
      </c>
      <c r="AH24" s="11">
        <v>130</v>
      </c>
      <c r="AI24" s="9">
        <v>1</v>
      </c>
      <c r="AJ24" s="12">
        <f t="shared" si="36"/>
        <v>2</v>
      </c>
      <c r="AK24" s="19">
        <f t="shared" si="58"/>
        <v>2</v>
      </c>
      <c r="AL24" s="33">
        <v>293.72524000000044</v>
      </c>
      <c r="AM24" s="11">
        <v>225</v>
      </c>
      <c r="AN24" s="9">
        <v>1</v>
      </c>
      <c r="AO24" s="10">
        <f t="shared" si="38"/>
        <v>1.5</v>
      </c>
      <c r="AP24" s="18">
        <f t="shared" si="39"/>
        <v>24</v>
      </c>
      <c r="AQ24" s="33">
        <v>88.784000000000106</v>
      </c>
      <c r="AR24" s="13">
        <v>40</v>
      </c>
      <c r="AS24" s="9">
        <v>1</v>
      </c>
      <c r="AT24" s="10">
        <f t="shared" si="3"/>
        <v>2.5</v>
      </c>
      <c r="AU24" s="33">
        <v>97.662400000000133</v>
      </c>
      <c r="AV24" s="11">
        <v>130</v>
      </c>
      <c r="AW24" s="9">
        <v>1</v>
      </c>
      <c r="AX24" s="12">
        <f t="shared" si="4"/>
        <v>2</v>
      </c>
      <c r="AY24" s="19">
        <f t="shared" si="59"/>
        <v>5</v>
      </c>
      <c r="AZ24" s="33">
        <v>887.84000000000106</v>
      </c>
      <c r="BA24" s="25">
        <f t="shared" si="6"/>
        <v>220</v>
      </c>
      <c r="BB24" s="9">
        <v>1</v>
      </c>
      <c r="BC24" s="10">
        <f t="shared" si="7"/>
        <v>4.5</v>
      </c>
      <c r="BD24" s="33">
        <v>334.71568000000042</v>
      </c>
      <c r="BE24" s="13">
        <v>35</v>
      </c>
      <c r="BF24" s="9">
        <v>2</v>
      </c>
      <c r="BG24" s="12">
        <f t="shared" si="41"/>
        <v>2</v>
      </c>
      <c r="BH24" s="33">
        <v>56.821760000000069</v>
      </c>
      <c r="BI24" s="14">
        <v>3.4</v>
      </c>
      <c r="BJ24" s="9">
        <v>2</v>
      </c>
      <c r="BK24" s="10">
        <f t="shared" si="8"/>
        <v>8.5</v>
      </c>
      <c r="BL24" s="33">
        <v>304.52912000000038</v>
      </c>
      <c r="BM24" s="11">
        <v>125</v>
      </c>
      <c r="BN24" s="9">
        <v>1</v>
      </c>
      <c r="BO24" s="12">
        <f t="shared" si="42"/>
        <v>4</v>
      </c>
      <c r="BP24" s="19">
        <f t="shared" si="60"/>
        <v>7</v>
      </c>
      <c r="BQ24" s="21">
        <f t="shared" si="56"/>
        <v>36</v>
      </c>
      <c r="BR24" s="33">
        <v>138.45183600000016</v>
      </c>
      <c r="BS24" s="11">
        <v>165</v>
      </c>
      <c r="BT24" s="9">
        <v>1</v>
      </c>
      <c r="BU24" s="10">
        <f t="shared" si="44"/>
        <v>1</v>
      </c>
      <c r="BV24" s="33">
        <v>183.30041400000027</v>
      </c>
      <c r="BW24" s="11">
        <v>150</v>
      </c>
      <c r="BX24" s="9">
        <v>2</v>
      </c>
      <c r="BY24" s="10">
        <f t="shared" si="45"/>
        <v>1</v>
      </c>
      <c r="BZ24" s="33">
        <v>1109.0510000000015</v>
      </c>
      <c r="CA24" s="13">
        <v>320</v>
      </c>
      <c r="CB24" s="9">
        <v>2</v>
      </c>
      <c r="CC24" s="10">
        <f t="shared" si="46"/>
        <v>2</v>
      </c>
      <c r="CD24" s="33">
        <v>3327.1530000000048</v>
      </c>
      <c r="CE24" s="13">
        <v>8000</v>
      </c>
      <c r="CF24" s="9">
        <v>1</v>
      </c>
      <c r="CG24" s="10">
        <f t="shared" si="47"/>
        <v>0.5</v>
      </c>
      <c r="CH24" s="33">
        <v>2218.102000000003</v>
      </c>
      <c r="CI24" s="13">
        <v>300</v>
      </c>
      <c r="CJ24" s="9">
        <v>2</v>
      </c>
      <c r="CK24" s="10">
        <f t="shared" si="48"/>
        <v>4</v>
      </c>
      <c r="CL24" s="41">
        <f t="shared" si="61"/>
        <v>221.96000000000026</v>
      </c>
      <c r="CM24" s="15">
        <v>50</v>
      </c>
      <c r="CN24" s="9">
        <v>1</v>
      </c>
      <c r="CO24" s="10">
        <f t="shared" si="50"/>
        <v>4.5</v>
      </c>
      <c r="CP24" s="20">
        <f t="shared" si="51"/>
        <v>13</v>
      </c>
      <c r="CQ24" s="5">
        <f t="shared" si="62"/>
        <v>24</v>
      </c>
      <c r="CR24" s="5">
        <f t="shared" si="63"/>
        <v>36</v>
      </c>
      <c r="CS24" s="5">
        <f t="shared" si="54"/>
        <v>13</v>
      </c>
      <c r="CT24" s="5">
        <f t="shared" si="55"/>
        <v>73</v>
      </c>
      <c r="CY24" s="46"/>
      <c r="DF24" s="46"/>
    </row>
    <row r="25" spans="2:110" s="6" customFormat="1" ht="17.25" customHeight="1" thickBot="1">
      <c r="B25" s="56">
        <v>14</v>
      </c>
      <c r="C25" s="56" t="s">
        <v>88</v>
      </c>
      <c r="D25" s="56"/>
      <c r="E25" s="56" t="s">
        <v>18</v>
      </c>
      <c r="F25" s="243">
        <v>255</v>
      </c>
      <c r="G25" s="139">
        <v>2269.2350000000001</v>
      </c>
      <c r="H25" s="139">
        <v>2547.6759999999999</v>
      </c>
      <c r="I25" s="53">
        <f t="shared" si="33"/>
        <v>278.4409999999998</v>
      </c>
      <c r="J25" s="53">
        <f t="shared" si="64"/>
        <v>967.58000000000015</v>
      </c>
      <c r="K25" s="40"/>
      <c r="L25" s="327"/>
      <c r="M25" s="327"/>
      <c r="N25" s="330"/>
      <c r="O25" s="333"/>
      <c r="P25" s="104">
        <v>3</v>
      </c>
      <c r="Q25" s="138">
        <v>407.79642999999999</v>
      </c>
      <c r="R25" s="55">
        <v>53.9</v>
      </c>
      <c r="S25" s="51">
        <v>2</v>
      </c>
      <c r="T25" s="50">
        <f t="shared" si="0"/>
        <v>4</v>
      </c>
      <c r="U25" s="138">
        <v>1490.83448</v>
      </c>
      <c r="V25" s="49">
        <v>190</v>
      </c>
      <c r="W25" s="51">
        <v>2</v>
      </c>
      <c r="X25" s="50">
        <f t="shared" si="1"/>
        <v>4</v>
      </c>
      <c r="Y25" s="138">
        <v>362.04522000000003</v>
      </c>
      <c r="Z25" s="49">
        <v>42</v>
      </c>
      <c r="AA25" s="51">
        <v>2</v>
      </c>
      <c r="AB25" s="102">
        <f t="shared" si="34"/>
        <v>5.5</v>
      </c>
      <c r="AC25" s="138">
        <v>219.02479999999997</v>
      </c>
      <c r="AD25" s="49">
        <v>40</v>
      </c>
      <c r="AE25" s="51">
        <v>2</v>
      </c>
      <c r="AF25" s="50">
        <f t="shared" si="35"/>
        <v>3</v>
      </c>
      <c r="AG25" s="138">
        <v>97.26588000000001</v>
      </c>
      <c r="AH25" s="49">
        <v>130</v>
      </c>
      <c r="AI25" s="51">
        <v>1</v>
      </c>
      <c r="AJ25" s="102">
        <f t="shared" si="36"/>
        <v>2</v>
      </c>
      <c r="AK25" s="104">
        <f t="shared" si="58"/>
        <v>2</v>
      </c>
      <c r="AL25" s="138">
        <v>307.07313999999997</v>
      </c>
      <c r="AM25" s="49">
        <v>225</v>
      </c>
      <c r="AN25" s="51">
        <v>1</v>
      </c>
      <c r="AO25" s="50">
        <f t="shared" si="38"/>
        <v>1.5</v>
      </c>
      <c r="AP25" s="101">
        <f t="shared" si="39"/>
        <v>25</v>
      </c>
      <c r="AQ25" s="138">
        <v>109.51239999999999</v>
      </c>
      <c r="AR25" s="100">
        <v>40</v>
      </c>
      <c r="AS25" s="51">
        <v>1</v>
      </c>
      <c r="AT25" s="50">
        <f t="shared" si="3"/>
        <v>3</v>
      </c>
      <c r="AU25" s="138">
        <v>120.46363999999998</v>
      </c>
      <c r="AV25" s="49">
        <v>130</v>
      </c>
      <c r="AW25" s="51">
        <v>1</v>
      </c>
      <c r="AX25" s="102">
        <f t="shared" si="4"/>
        <v>2</v>
      </c>
      <c r="AY25" s="104">
        <f t="shared" si="59"/>
        <v>5</v>
      </c>
      <c r="AZ25" s="138">
        <v>1080.732</v>
      </c>
      <c r="BA25" s="103">
        <f t="shared" si="6"/>
        <v>220</v>
      </c>
      <c r="BB25" s="51">
        <v>1</v>
      </c>
      <c r="BC25" s="50">
        <f t="shared" si="7"/>
        <v>5</v>
      </c>
      <c r="BD25" s="138">
        <v>412.86174799999992</v>
      </c>
      <c r="BE25" s="100">
        <v>35</v>
      </c>
      <c r="BF25" s="51">
        <v>2</v>
      </c>
      <c r="BG25" s="102">
        <f t="shared" si="41"/>
        <v>2</v>
      </c>
      <c r="BH25" s="138">
        <v>70.087935999999985</v>
      </c>
      <c r="BI25" s="99">
        <v>3.4</v>
      </c>
      <c r="BJ25" s="51">
        <v>2</v>
      </c>
      <c r="BK25" s="50">
        <f t="shared" si="8"/>
        <v>10.5</v>
      </c>
      <c r="BL25" s="138">
        <v>375.62753199999997</v>
      </c>
      <c r="BM25" s="49">
        <v>125</v>
      </c>
      <c r="BN25" s="51">
        <v>1</v>
      </c>
      <c r="BO25" s="102">
        <f t="shared" si="42"/>
        <v>5</v>
      </c>
      <c r="BP25" s="104">
        <f t="shared" si="60"/>
        <v>7</v>
      </c>
      <c r="BQ25" s="98">
        <f t="shared" si="56"/>
        <v>40</v>
      </c>
      <c r="BR25" s="138">
        <v>133.98851399999998</v>
      </c>
      <c r="BS25" s="49">
        <v>165</v>
      </c>
      <c r="BT25" s="51">
        <v>1</v>
      </c>
      <c r="BU25" s="50">
        <f t="shared" si="44"/>
        <v>1</v>
      </c>
      <c r="BV25" s="138">
        <v>180.828318</v>
      </c>
      <c r="BW25" s="49">
        <v>150</v>
      </c>
      <c r="BX25" s="51">
        <v>2</v>
      </c>
      <c r="BY25" s="50">
        <f t="shared" si="45"/>
        <v>1</v>
      </c>
      <c r="BZ25" s="138">
        <v>1101.2600440000001</v>
      </c>
      <c r="CA25" s="100">
        <v>320</v>
      </c>
      <c r="CB25" s="51">
        <v>2</v>
      </c>
      <c r="CC25" s="50">
        <f t="shared" si="46"/>
        <v>2</v>
      </c>
      <c r="CD25" s="138">
        <v>3303.7801320000003</v>
      </c>
      <c r="CE25" s="100">
        <v>8000</v>
      </c>
      <c r="CF25" s="51">
        <v>1</v>
      </c>
      <c r="CG25" s="50">
        <f t="shared" si="47"/>
        <v>0.5</v>
      </c>
      <c r="CH25" s="138">
        <v>2202.5200880000002</v>
      </c>
      <c r="CI25" s="100">
        <v>300</v>
      </c>
      <c r="CJ25" s="51">
        <v>2</v>
      </c>
      <c r="CK25" s="50">
        <f t="shared" si="48"/>
        <v>4</v>
      </c>
      <c r="CL25" s="97">
        <f t="shared" si="61"/>
        <v>278.4409999999998</v>
      </c>
      <c r="CM25" s="96">
        <v>50</v>
      </c>
      <c r="CN25" s="51">
        <v>1</v>
      </c>
      <c r="CO25" s="50">
        <f t="shared" si="50"/>
        <v>6</v>
      </c>
      <c r="CP25" s="95">
        <f t="shared" si="51"/>
        <v>15</v>
      </c>
      <c r="CQ25" s="4">
        <f t="shared" si="62"/>
        <v>25</v>
      </c>
      <c r="CR25" s="222">
        <f t="shared" si="63"/>
        <v>40</v>
      </c>
      <c r="CS25" s="222">
        <f t="shared" si="54"/>
        <v>15</v>
      </c>
      <c r="CT25" s="4">
        <f t="shared" si="55"/>
        <v>80</v>
      </c>
      <c r="CY25" s="46"/>
      <c r="DF25" s="46"/>
    </row>
    <row r="26" spans="2:110" s="6" customFormat="1" ht="17.25" customHeight="1">
      <c r="B26" s="133" t="s">
        <v>94</v>
      </c>
      <c r="C26" s="119" t="s">
        <v>89</v>
      </c>
      <c r="D26" s="94"/>
      <c r="E26" s="94" t="s">
        <v>18</v>
      </c>
      <c r="F26" s="245">
        <v>255</v>
      </c>
      <c r="G26" s="135">
        <v>2581.6219999999998</v>
      </c>
      <c r="H26" s="135">
        <v>2949.096</v>
      </c>
      <c r="I26" s="93">
        <f t="shared" si="33"/>
        <v>367.47400000000016</v>
      </c>
      <c r="J26" s="93">
        <f>I26</f>
        <v>367.47400000000016</v>
      </c>
      <c r="K26" s="92" t="s">
        <v>91</v>
      </c>
      <c r="L26" s="334" t="s">
        <v>158</v>
      </c>
      <c r="M26" s="337">
        <f>SUM(I26:I29)</f>
        <v>982.71299999999997</v>
      </c>
      <c r="N26" s="340">
        <f>SUM(CQ26:CQ29,CR28:CS28)/18.4</f>
        <v>8.4782608695652186</v>
      </c>
      <c r="O26" s="343">
        <v>22</v>
      </c>
      <c r="P26" s="91">
        <v>3</v>
      </c>
      <c r="Q26" s="45">
        <v>268.25602000000009</v>
      </c>
      <c r="R26" s="89">
        <v>53.9</v>
      </c>
      <c r="S26" s="130">
        <v>1</v>
      </c>
      <c r="T26" s="87">
        <f t="shared" si="0"/>
        <v>5</v>
      </c>
      <c r="U26" s="45">
        <v>984.83032000000048</v>
      </c>
      <c r="V26" s="86">
        <v>190</v>
      </c>
      <c r="W26" s="130">
        <v>1</v>
      </c>
      <c r="X26" s="87">
        <f t="shared" si="1"/>
        <v>5.5</v>
      </c>
      <c r="Y26" s="45">
        <v>246.20758000000012</v>
      </c>
      <c r="Z26" s="86">
        <v>42</v>
      </c>
      <c r="AA26" s="130">
        <v>1</v>
      </c>
      <c r="AB26" s="79">
        <f t="shared" si="34"/>
        <v>7</v>
      </c>
      <c r="AC26" s="45">
        <v>146.98960000000008</v>
      </c>
      <c r="AD26" s="86">
        <v>40</v>
      </c>
      <c r="AE26" s="130">
        <v>1</v>
      </c>
      <c r="AF26" s="87">
        <f t="shared" si="35"/>
        <v>4</v>
      </c>
      <c r="AG26" s="45">
        <v>66.145320000000041</v>
      </c>
      <c r="AH26" s="86">
        <v>130</v>
      </c>
      <c r="AI26" s="83">
        <v>1</v>
      </c>
      <c r="AJ26" s="79">
        <f t="shared" si="36"/>
        <v>2</v>
      </c>
      <c r="AK26" s="91">
        <f t="shared" si="58"/>
        <v>2</v>
      </c>
      <c r="AL26" s="45">
        <v>161.68856000000008</v>
      </c>
      <c r="AM26" s="86">
        <v>225</v>
      </c>
      <c r="AN26" s="83">
        <v>1</v>
      </c>
      <c r="AO26" s="87">
        <f t="shared" si="38"/>
        <v>1</v>
      </c>
      <c r="AP26" s="85">
        <f t="shared" si="39"/>
        <v>30</v>
      </c>
      <c r="AQ26" s="45">
        <v>73.494800000000041</v>
      </c>
      <c r="AR26" s="39">
        <v>40</v>
      </c>
      <c r="AS26" s="83">
        <v>1</v>
      </c>
      <c r="AT26" s="87">
        <f t="shared" si="3"/>
        <v>2</v>
      </c>
      <c r="AU26" s="45">
        <v>80.84428000000004</v>
      </c>
      <c r="AV26" s="86">
        <v>130</v>
      </c>
      <c r="AW26" s="83">
        <v>1</v>
      </c>
      <c r="AX26" s="79">
        <f t="shared" si="4"/>
        <v>2</v>
      </c>
      <c r="AY26" s="91">
        <f t="shared" si="59"/>
        <v>5</v>
      </c>
      <c r="AZ26" s="45">
        <v>734.94800000000032</v>
      </c>
      <c r="BA26" s="80">
        <f t="shared" si="6"/>
        <v>220</v>
      </c>
      <c r="BB26" s="83">
        <v>1</v>
      </c>
      <c r="BC26" s="87">
        <f t="shared" si="7"/>
        <v>3.5</v>
      </c>
      <c r="BD26" s="45">
        <v>277.07539600000013</v>
      </c>
      <c r="BE26" s="39">
        <v>35</v>
      </c>
      <c r="BF26" s="130">
        <v>1</v>
      </c>
      <c r="BG26" s="79">
        <f t="shared" si="41"/>
        <v>2</v>
      </c>
      <c r="BH26" s="45">
        <v>47.036672000000024</v>
      </c>
      <c r="BI26" s="48">
        <v>3.4</v>
      </c>
      <c r="BJ26" s="130">
        <v>1</v>
      </c>
      <c r="BK26" s="87">
        <f t="shared" si="8"/>
        <v>14</v>
      </c>
      <c r="BL26" s="45">
        <v>252.08716400000014</v>
      </c>
      <c r="BM26" s="86">
        <v>125</v>
      </c>
      <c r="BN26" s="83">
        <v>1</v>
      </c>
      <c r="BO26" s="79">
        <f t="shared" si="42"/>
        <v>4</v>
      </c>
      <c r="BP26" s="91">
        <f t="shared" si="60"/>
        <v>7</v>
      </c>
      <c r="BQ26" s="37">
        <f t="shared" si="56"/>
        <v>40</v>
      </c>
      <c r="BR26" s="45">
        <v>117.22420600000005</v>
      </c>
      <c r="BS26" s="86">
        <v>165</v>
      </c>
      <c r="BT26" s="83">
        <v>1</v>
      </c>
      <c r="BU26" s="87">
        <f t="shared" si="44"/>
        <v>1</v>
      </c>
      <c r="BV26" s="45">
        <v>113.18199200000005</v>
      </c>
      <c r="BW26" s="86">
        <v>150</v>
      </c>
      <c r="BX26" s="130">
        <v>1</v>
      </c>
      <c r="BY26" s="87">
        <f t="shared" si="45"/>
        <v>1</v>
      </c>
      <c r="BZ26" s="45">
        <v>694.15838600000029</v>
      </c>
      <c r="CA26" s="39">
        <v>320</v>
      </c>
      <c r="CB26" s="83">
        <v>2</v>
      </c>
      <c r="CC26" s="87">
        <f t="shared" si="46"/>
        <v>1.5</v>
      </c>
      <c r="CD26" s="45">
        <v>2082.4751580000011</v>
      </c>
      <c r="CE26" s="39">
        <v>8000</v>
      </c>
      <c r="CF26" s="83">
        <v>1</v>
      </c>
      <c r="CG26" s="87">
        <f t="shared" si="47"/>
        <v>0.5</v>
      </c>
      <c r="CH26" s="45">
        <v>1388.3167720000006</v>
      </c>
      <c r="CI26" s="39">
        <v>300</v>
      </c>
      <c r="CJ26" s="130">
        <v>1</v>
      </c>
      <c r="CK26" s="87">
        <f t="shared" si="48"/>
        <v>5</v>
      </c>
      <c r="CL26" s="42">
        <f t="shared" si="61"/>
        <v>367.47400000000016</v>
      </c>
      <c r="CM26" s="43">
        <v>50</v>
      </c>
      <c r="CN26" s="83">
        <v>1</v>
      </c>
      <c r="CO26" s="87">
        <f t="shared" si="50"/>
        <v>7.5</v>
      </c>
      <c r="CP26" s="75">
        <f t="shared" si="51"/>
        <v>17</v>
      </c>
      <c r="CQ26" s="78">
        <f t="shared" si="62"/>
        <v>30</v>
      </c>
      <c r="CR26" s="78">
        <f t="shared" si="63"/>
        <v>40</v>
      </c>
      <c r="CS26" s="78">
        <f t="shared" si="54"/>
        <v>17</v>
      </c>
      <c r="CT26" s="78">
        <f t="shared" si="55"/>
        <v>87</v>
      </c>
      <c r="CY26" s="46"/>
      <c r="DF26" s="46"/>
    </row>
    <row r="27" spans="2:110" s="6" customFormat="1" ht="17.25" customHeight="1">
      <c r="B27" s="131" t="s">
        <v>95</v>
      </c>
      <c r="C27" s="134" t="s">
        <v>90</v>
      </c>
      <c r="D27" s="72"/>
      <c r="E27" s="72" t="s">
        <v>18</v>
      </c>
      <c r="F27" s="271">
        <v>255</v>
      </c>
      <c r="G27" s="137">
        <v>2978.6210000000001</v>
      </c>
      <c r="H27" s="137">
        <v>3121.2570000000001</v>
      </c>
      <c r="I27" s="82">
        <f t="shared" si="33"/>
        <v>142.63599999999997</v>
      </c>
      <c r="J27" s="82">
        <f>J26+I27</f>
        <v>510.11000000000013</v>
      </c>
      <c r="K27" s="36" t="s">
        <v>91</v>
      </c>
      <c r="L27" s="335"/>
      <c r="M27" s="338"/>
      <c r="N27" s="341"/>
      <c r="O27" s="344"/>
      <c r="P27" s="19">
        <v>3</v>
      </c>
      <c r="Q27" s="136">
        <v>104.12427999999997</v>
      </c>
      <c r="R27" s="8">
        <v>53.9</v>
      </c>
      <c r="S27" s="132">
        <v>1</v>
      </c>
      <c r="T27" s="10">
        <f t="shared" si="0"/>
        <v>2</v>
      </c>
      <c r="U27" s="136">
        <v>382.26447999999993</v>
      </c>
      <c r="V27" s="11">
        <v>190</v>
      </c>
      <c r="W27" s="132">
        <v>1</v>
      </c>
      <c r="X27" s="10">
        <f t="shared" si="1"/>
        <v>2.5</v>
      </c>
      <c r="Y27" s="136">
        <v>95.566119999999984</v>
      </c>
      <c r="Z27" s="11">
        <v>42</v>
      </c>
      <c r="AA27" s="132">
        <v>1</v>
      </c>
      <c r="AB27" s="12">
        <f t="shared" si="34"/>
        <v>3.5</v>
      </c>
      <c r="AC27" s="136">
        <v>57.054399999999987</v>
      </c>
      <c r="AD27" s="11">
        <v>40</v>
      </c>
      <c r="AE27" s="132">
        <v>1</v>
      </c>
      <c r="AF27" s="10">
        <f t="shared" si="35"/>
        <v>1.5</v>
      </c>
      <c r="AG27" s="136">
        <v>25.674479999999996</v>
      </c>
      <c r="AH27" s="11">
        <v>130</v>
      </c>
      <c r="AI27" s="9">
        <v>1</v>
      </c>
      <c r="AJ27" s="12">
        <f t="shared" si="36"/>
        <v>2</v>
      </c>
      <c r="AK27" s="19">
        <f t="shared" ref="AK27:AK31" si="65">IF(E27="보통",2,IF(E27="조강",1,""))</f>
        <v>2</v>
      </c>
      <c r="AL27" s="136">
        <v>62.759839999999983</v>
      </c>
      <c r="AM27" s="11">
        <v>225</v>
      </c>
      <c r="AN27" s="9">
        <v>1</v>
      </c>
      <c r="AO27" s="10">
        <f t="shared" si="38"/>
        <v>0.5</v>
      </c>
      <c r="AP27" s="18">
        <f t="shared" si="39"/>
        <v>17</v>
      </c>
      <c r="AQ27" s="136">
        <v>28.527199999999993</v>
      </c>
      <c r="AR27" s="13">
        <v>40</v>
      </c>
      <c r="AS27" s="9">
        <v>1</v>
      </c>
      <c r="AT27" s="10">
        <f t="shared" si="3"/>
        <v>1</v>
      </c>
      <c r="AU27" s="136">
        <v>31.379919999999998</v>
      </c>
      <c r="AV27" s="11">
        <v>130</v>
      </c>
      <c r="AW27" s="9">
        <v>1</v>
      </c>
      <c r="AX27" s="12">
        <f t="shared" si="4"/>
        <v>2</v>
      </c>
      <c r="AY27" s="19">
        <f t="shared" ref="AY27:AY31" si="66">IF(E27="보통",5,IF(E27="조강",2,""))</f>
        <v>5</v>
      </c>
      <c r="AZ27" s="136">
        <v>285.27199999999993</v>
      </c>
      <c r="BA27" s="25">
        <f t="shared" si="6"/>
        <v>220</v>
      </c>
      <c r="BB27" s="9">
        <v>1</v>
      </c>
      <c r="BC27" s="10">
        <f t="shared" si="7"/>
        <v>1.5</v>
      </c>
      <c r="BD27" s="136">
        <v>107.54754399999997</v>
      </c>
      <c r="BE27" s="13">
        <v>35</v>
      </c>
      <c r="BF27" s="132">
        <v>1</v>
      </c>
      <c r="BG27" s="12">
        <f t="shared" si="41"/>
        <v>2</v>
      </c>
      <c r="BH27" s="136">
        <v>18.257407999999995</v>
      </c>
      <c r="BI27" s="14">
        <v>3.4</v>
      </c>
      <c r="BJ27" s="132">
        <v>1</v>
      </c>
      <c r="BK27" s="10">
        <f t="shared" si="8"/>
        <v>5.5</v>
      </c>
      <c r="BL27" s="136">
        <v>97.848295999999991</v>
      </c>
      <c r="BM27" s="11">
        <v>125</v>
      </c>
      <c r="BN27" s="9">
        <v>1</v>
      </c>
      <c r="BO27" s="12">
        <f t="shared" si="42"/>
        <v>2</v>
      </c>
      <c r="BP27" s="19">
        <f t="shared" ref="BP27:BP31" si="67">IF(E27="보통",7,IF(E27="조강",3,""))</f>
        <v>7</v>
      </c>
      <c r="BQ27" s="21">
        <f t="shared" si="56"/>
        <v>26</v>
      </c>
      <c r="BR27" s="136">
        <v>45.500883999999992</v>
      </c>
      <c r="BS27" s="11">
        <v>165</v>
      </c>
      <c r="BT27" s="9">
        <v>1</v>
      </c>
      <c r="BU27" s="10">
        <f t="shared" si="44"/>
        <v>0.5</v>
      </c>
      <c r="BV27" s="136">
        <v>43.931887999999987</v>
      </c>
      <c r="BW27" s="11">
        <v>150</v>
      </c>
      <c r="BX27" s="132">
        <v>1</v>
      </c>
      <c r="BY27" s="10">
        <f t="shared" si="45"/>
        <v>0.5</v>
      </c>
      <c r="BZ27" s="136">
        <v>269.43940399999997</v>
      </c>
      <c r="CA27" s="13">
        <v>320</v>
      </c>
      <c r="CB27" s="9">
        <v>2</v>
      </c>
      <c r="CC27" s="10">
        <f t="shared" si="46"/>
        <v>0.5</v>
      </c>
      <c r="CD27" s="136">
        <v>808.3182119999999</v>
      </c>
      <c r="CE27" s="13">
        <v>8000</v>
      </c>
      <c r="CF27" s="9">
        <v>1</v>
      </c>
      <c r="CG27" s="10">
        <f t="shared" si="47"/>
        <v>0.5</v>
      </c>
      <c r="CH27" s="136">
        <v>538.87880799999994</v>
      </c>
      <c r="CI27" s="13">
        <v>300</v>
      </c>
      <c r="CJ27" s="132">
        <v>1</v>
      </c>
      <c r="CK27" s="10">
        <f t="shared" si="48"/>
        <v>2</v>
      </c>
      <c r="CL27" s="41">
        <f t="shared" ref="CL27:CL31" si="68">I27</f>
        <v>142.63599999999997</v>
      </c>
      <c r="CM27" s="15">
        <v>50</v>
      </c>
      <c r="CN27" s="9">
        <v>1</v>
      </c>
      <c r="CO27" s="10">
        <f t="shared" si="50"/>
        <v>3</v>
      </c>
      <c r="CP27" s="20">
        <f t="shared" si="51"/>
        <v>7</v>
      </c>
      <c r="CQ27" s="5">
        <f t="shared" ref="CQ27:CQ31" si="69">AP27</f>
        <v>17</v>
      </c>
      <c r="CR27" s="5">
        <f t="shared" ref="CR27:CR31" si="70">BQ27</f>
        <v>26</v>
      </c>
      <c r="CS27" s="5">
        <f t="shared" si="54"/>
        <v>7</v>
      </c>
      <c r="CT27" s="5">
        <f t="shared" si="55"/>
        <v>50</v>
      </c>
      <c r="CY27" s="46"/>
      <c r="DF27" s="46"/>
    </row>
    <row r="28" spans="2:110" s="6" customFormat="1" ht="17.25" customHeight="1">
      <c r="B28" s="72">
        <v>16</v>
      </c>
      <c r="C28" s="134" t="s">
        <v>92</v>
      </c>
      <c r="D28" s="72"/>
      <c r="E28" s="72" t="s">
        <v>18</v>
      </c>
      <c r="F28" s="271">
        <v>255</v>
      </c>
      <c r="G28" s="137">
        <v>3151.84</v>
      </c>
      <c r="H28" s="137">
        <v>3438.0050000000001</v>
      </c>
      <c r="I28" s="82">
        <f>H28-G28+6.32</f>
        <v>292.48499999999996</v>
      </c>
      <c r="J28" s="82">
        <f>J27+I28</f>
        <v>802.59500000000003</v>
      </c>
      <c r="K28" s="36" t="s">
        <v>93</v>
      </c>
      <c r="L28" s="335"/>
      <c r="M28" s="338"/>
      <c r="N28" s="341"/>
      <c r="O28" s="344"/>
      <c r="P28" s="19">
        <v>3</v>
      </c>
      <c r="Q28" s="33">
        <v>567.90309999999988</v>
      </c>
      <c r="R28" s="8">
        <v>53.9</v>
      </c>
      <c r="S28" s="9">
        <v>2</v>
      </c>
      <c r="T28" s="10">
        <f t="shared" ref="T28:T31" si="71">CEILING(Q28/R28/S28,0.5)</f>
        <v>5.5</v>
      </c>
      <c r="U28" s="33">
        <v>1974.0249999999994</v>
      </c>
      <c r="V28" s="11">
        <v>190</v>
      </c>
      <c r="W28" s="9">
        <v>2</v>
      </c>
      <c r="X28" s="10">
        <f t="shared" ref="X28:X31" si="72">CEILING(U28/V28/W28,0.5)</f>
        <v>5.5</v>
      </c>
      <c r="Y28" s="33">
        <v>387.69215000000003</v>
      </c>
      <c r="Z28" s="11">
        <v>42</v>
      </c>
      <c r="AA28" s="9">
        <v>2</v>
      </c>
      <c r="AB28" s="12">
        <f t="shared" ref="AB28:AB31" si="73">IF(Y28="","",CEILING(Y28/Z28/AA28,0.5)+1)</f>
        <v>6</v>
      </c>
      <c r="AC28" s="33">
        <v>233.98400000000007</v>
      </c>
      <c r="AD28" s="11">
        <v>40</v>
      </c>
      <c r="AE28" s="9">
        <v>2</v>
      </c>
      <c r="AF28" s="10">
        <f t="shared" ref="AF28:AF31" si="74">CEILING(AC28/AD28/AE28,0.5)</f>
        <v>3</v>
      </c>
      <c r="AG28" s="33">
        <v>104.1561</v>
      </c>
      <c r="AH28" s="11">
        <v>130</v>
      </c>
      <c r="AI28" s="9">
        <v>1</v>
      </c>
      <c r="AJ28" s="12">
        <f t="shared" ref="AJ28:AJ31" si="75">IF(AG28="","",ROUNDUP(AG28/AH28/AI28,0)+1)</f>
        <v>2</v>
      </c>
      <c r="AK28" s="19">
        <f t="shared" si="65"/>
        <v>2</v>
      </c>
      <c r="AL28" s="33">
        <v>431.47869999999983</v>
      </c>
      <c r="AM28" s="11">
        <v>225</v>
      </c>
      <c r="AN28" s="9">
        <v>1</v>
      </c>
      <c r="AO28" s="10">
        <f t="shared" ref="AO28:AO31" si="76">CEILING(AL28/AM28/AN28,0.5)</f>
        <v>2</v>
      </c>
      <c r="AP28" s="18">
        <f t="shared" ref="AP28:AP31" si="77">ROUNDUP(SUM(P28,T28,X28,AB28,AF28,AJ28,AK28,AO28),0)</f>
        <v>29</v>
      </c>
      <c r="AQ28" s="33">
        <v>116.99200000000003</v>
      </c>
      <c r="AR28" s="13">
        <v>40</v>
      </c>
      <c r="AS28" s="9">
        <v>1</v>
      </c>
      <c r="AT28" s="10">
        <f t="shared" ref="AT28:AT31" si="78">CEILING(AQ28/AR28/AS28,0.5)</f>
        <v>3</v>
      </c>
      <c r="AU28" s="33">
        <v>128.69120000000001</v>
      </c>
      <c r="AV28" s="11">
        <v>130</v>
      </c>
      <c r="AW28" s="9">
        <v>1</v>
      </c>
      <c r="AX28" s="12">
        <f t="shared" ref="AX28:AX31" si="79">IF(AU28="","",ROUNDUP(AU28/AV28/AW28,0)+1)</f>
        <v>2</v>
      </c>
      <c r="AY28" s="19">
        <f t="shared" si="66"/>
        <v>5</v>
      </c>
      <c r="AZ28" s="33">
        <v>1157.29</v>
      </c>
      <c r="BA28" s="25">
        <f t="shared" si="6"/>
        <v>220</v>
      </c>
      <c r="BB28" s="9">
        <v>1</v>
      </c>
      <c r="BC28" s="10">
        <f t="shared" ref="BC28:BC31" si="80">CEILING(AZ28/BA28/BB28,0.5)</f>
        <v>5.5</v>
      </c>
      <c r="BD28" s="33">
        <v>441.05984000000007</v>
      </c>
      <c r="BE28" s="13">
        <v>35</v>
      </c>
      <c r="BF28" s="9">
        <v>2</v>
      </c>
      <c r="BG28" s="12">
        <f t="shared" ref="BG28:BG31" si="81">IF(BD28="","",2)</f>
        <v>2</v>
      </c>
      <c r="BH28" s="33">
        <v>74.874880000000005</v>
      </c>
      <c r="BI28" s="14">
        <v>3.4</v>
      </c>
      <c r="BJ28" s="9">
        <v>2</v>
      </c>
      <c r="BK28" s="10">
        <f t="shared" ref="BK28:BK31" si="82">CEILING(BH28/BI28/BJ28,0.5)</f>
        <v>11.5</v>
      </c>
      <c r="BL28" s="33">
        <v>401.2825600000001</v>
      </c>
      <c r="BM28" s="11">
        <v>125</v>
      </c>
      <c r="BN28" s="9">
        <v>1</v>
      </c>
      <c r="BO28" s="12">
        <f t="shared" ref="BO28:BO31" si="83">IF(BL28="","",ROUNDUP(BL28/BM28/BN28,0)+1)</f>
        <v>5</v>
      </c>
      <c r="BP28" s="19">
        <f t="shared" si="67"/>
        <v>7</v>
      </c>
      <c r="BQ28" s="21">
        <f t="shared" ref="BQ28:BQ31" si="84">ROUNDUP(SUM(AT28,AX28,AY28,BC28,BG28,BK28,BO28,BP28),0)</f>
        <v>41</v>
      </c>
      <c r="BR28" s="33">
        <v>208.27679499999991</v>
      </c>
      <c r="BS28" s="11">
        <v>165</v>
      </c>
      <c r="BT28" s="9">
        <v>1</v>
      </c>
      <c r="BU28" s="10">
        <f t="shared" ref="BU28:BU31" si="85">CEILING(BR28/BS28/BT28,0.5)</f>
        <v>1.5</v>
      </c>
      <c r="BV28" s="33">
        <v>280.77676999999983</v>
      </c>
      <c r="BW28" s="11">
        <v>150</v>
      </c>
      <c r="BX28" s="9">
        <v>2</v>
      </c>
      <c r="BY28" s="10">
        <f t="shared" ref="BY28:BY31" si="86">CEILING(BV28/BW28/BX28,0.5)</f>
        <v>1</v>
      </c>
      <c r="BZ28" s="33">
        <v>1691.8422349999994</v>
      </c>
      <c r="CA28" s="13">
        <v>320</v>
      </c>
      <c r="CB28" s="9">
        <v>2</v>
      </c>
      <c r="CC28" s="10">
        <f t="shared" ref="CC28:CC31" si="87">CEILING(BZ28/CA28/CB28,0.5)</f>
        <v>3</v>
      </c>
      <c r="CD28" s="33">
        <v>5075.5267049999975</v>
      </c>
      <c r="CE28" s="13">
        <v>8000</v>
      </c>
      <c r="CF28" s="9">
        <v>1</v>
      </c>
      <c r="CG28" s="10">
        <f t="shared" ref="CG28:CG31" si="88">CEILING(CD28/CE28/CF28,0.5)</f>
        <v>1</v>
      </c>
      <c r="CH28" s="33">
        <v>3383.6844699999988</v>
      </c>
      <c r="CI28" s="13">
        <v>300</v>
      </c>
      <c r="CJ28" s="9">
        <v>2</v>
      </c>
      <c r="CK28" s="10">
        <f t="shared" ref="CK28:CK31" si="89">CEILING(CH28/CI28/CJ28,0.5)</f>
        <v>6</v>
      </c>
      <c r="CL28" s="41">
        <f t="shared" si="68"/>
        <v>292.48499999999996</v>
      </c>
      <c r="CM28" s="15">
        <v>50</v>
      </c>
      <c r="CN28" s="9">
        <v>1</v>
      </c>
      <c r="CO28" s="10">
        <f t="shared" ref="CO28:CO31" si="90">CEILING(CL28/CM28/CN28,0.5)</f>
        <v>6</v>
      </c>
      <c r="CP28" s="20">
        <f t="shared" ref="CP28:CP31" si="91">ROUNDUP(SUM(BU28,BY28,CC28,CG28,CK28,CO28),0)</f>
        <v>19</v>
      </c>
      <c r="CQ28" s="5">
        <f t="shared" si="69"/>
        <v>29</v>
      </c>
      <c r="CR28" s="218">
        <f t="shared" si="70"/>
        <v>41</v>
      </c>
      <c r="CS28" s="218">
        <f t="shared" ref="CS28:CS31" si="92">CP28</f>
        <v>19</v>
      </c>
      <c r="CT28" s="5">
        <f t="shared" ref="CT28:CT31" si="93">SUM(CQ28:CS28)</f>
        <v>89</v>
      </c>
      <c r="CY28" s="46"/>
      <c r="DF28" s="46"/>
    </row>
    <row r="29" spans="2:110" s="6" customFormat="1" ht="17.25" customHeight="1" thickBot="1">
      <c r="B29" s="56">
        <v>17</v>
      </c>
      <c r="C29" s="144" t="s">
        <v>96</v>
      </c>
      <c r="D29" s="56"/>
      <c r="E29" s="56" t="s">
        <v>18</v>
      </c>
      <c r="F29" s="243">
        <v>255</v>
      </c>
      <c r="G29" s="147">
        <v>3485.6590000000001</v>
      </c>
      <c r="H29" s="147">
        <v>3665.777</v>
      </c>
      <c r="I29" s="53">
        <f t="shared" ref="I29:I31" si="94">H29-G29</f>
        <v>180.11799999999994</v>
      </c>
      <c r="J29" s="53">
        <f>J28+I29</f>
        <v>982.71299999999997</v>
      </c>
      <c r="K29" s="40"/>
      <c r="L29" s="358"/>
      <c r="M29" s="359"/>
      <c r="N29" s="360"/>
      <c r="O29" s="361"/>
      <c r="P29" s="104">
        <v>3</v>
      </c>
      <c r="Q29" s="145">
        <v>271.9781799999999</v>
      </c>
      <c r="R29" s="55">
        <v>53.9</v>
      </c>
      <c r="S29" s="51">
        <v>2</v>
      </c>
      <c r="T29" s="50">
        <f t="shared" si="71"/>
        <v>3</v>
      </c>
      <c r="U29" s="145">
        <v>994.25135999999964</v>
      </c>
      <c r="V29" s="49">
        <v>190</v>
      </c>
      <c r="W29" s="51">
        <v>2</v>
      </c>
      <c r="X29" s="50">
        <f t="shared" si="72"/>
        <v>3</v>
      </c>
      <c r="Y29" s="145">
        <v>241.35811999999993</v>
      </c>
      <c r="Z29" s="49">
        <v>42</v>
      </c>
      <c r="AA29" s="51">
        <v>2</v>
      </c>
      <c r="AB29" s="102">
        <f t="shared" si="73"/>
        <v>4</v>
      </c>
      <c r="AC29" s="145">
        <v>144.09439999999995</v>
      </c>
      <c r="AD29" s="49">
        <v>40</v>
      </c>
      <c r="AE29" s="51">
        <v>2</v>
      </c>
      <c r="AF29" s="50">
        <f t="shared" si="74"/>
        <v>2</v>
      </c>
      <c r="AG29" s="145">
        <v>64.842479999999981</v>
      </c>
      <c r="AH29" s="49">
        <v>130</v>
      </c>
      <c r="AI29" s="51">
        <v>1</v>
      </c>
      <c r="AJ29" s="102">
        <f t="shared" si="75"/>
        <v>2</v>
      </c>
      <c r="AK29" s="104">
        <f t="shared" si="65"/>
        <v>2</v>
      </c>
      <c r="AL29" s="145">
        <v>205.33451999999991</v>
      </c>
      <c r="AM29" s="49">
        <v>225</v>
      </c>
      <c r="AN29" s="51">
        <v>1</v>
      </c>
      <c r="AO29" s="50">
        <f t="shared" si="76"/>
        <v>1</v>
      </c>
      <c r="AP29" s="101">
        <f t="shared" si="77"/>
        <v>20</v>
      </c>
      <c r="AQ29" s="145">
        <v>72.047199999999975</v>
      </c>
      <c r="AR29" s="100">
        <v>40</v>
      </c>
      <c r="AS29" s="51">
        <v>1</v>
      </c>
      <c r="AT29" s="50">
        <f t="shared" si="78"/>
        <v>2</v>
      </c>
      <c r="AU29" s="145">
        <v>79.251919999999984</v>
      </c>
      <c r="AV29" s="49">
        <v>130</v>
      </c>
      <c r="AW29" s="51">
        <v>1</v>
      </c>
      <c r="AX29" s="102">
        <f t="shared" si="79"/>
        <v>2</v>
      </c>
      <c r="AY29" s="104">
        <f t="shared" si="66"/>
        <v>5</v>
      </c>
      <c r="AZ29" s="145">
        <v>720.47199999999975</v>
      </c>
      <c r="BA29" s="103">
        <f t="shared" si="6"/>
        <v>220</v>
      </c>
      <c r="BB29" s="51">
        <v>1</v>
      </c>
      <c r="BC29" s="50">
        <f t="shared" si="80"/>
        <v>3.5</v>
      </c>
      <c r="BD29" s="145">
        <v>271.61794399999991</v>
      </c>
      <c r="BE29" s="100">
        <v>35</v>
      </c>
      <c r="BF29" s="51">
        <v>2</v>
      </c>
      <c r="BG29" s="102">
        <f t="shared" si="81"/>
        <v>2</v>
      </c>
      <c r="BH29" s="145">
        <v>46.110207999999986</v>
      </c>
      <c r="BI29" s="99">
        <v>3.4</v>
      </c>
      <c r="BJ29" s="51">
        <v>2</v>
      </c>
      <c r="BK29" s="50">
        <f t="shared" si="82"/>
        <v>7</v>
      </c>
      <c r="BL29" s="145">
        <v>247.12189599999994</v>
      </c>
      <c r="BM29" s="49">
        <v>125</v>
      </c>
      <c r="BN29" s="51">
        <v>1</v>
      </c>
      <c r="BO29" s="102">
        <f t="shared" si="83"/>
        <v>3</v>
      </c>
      <c r="BP29" s="104">
        <f t="shared" si="67"/>
        <v>7</v>
      </c>
      <c r="BQ29" s="98">
        <f t="shared" si="84"/>
        <v>32</v>
      </c>
      <c r="BR29" s="145">
        <v>88.978291999999968</v>
      </c>
      <c r="BS29" s="49">
        <v>165</v>
      </c>
      <c r="BT29" s="51">
        <v>1</v>
      </c>
      <c r="BU29" s="50">
        <f t="shared" si="85"/>
        <v>1</v>
      </c>
      <c r="BV29" s="145">
        <v>120.67905999999996</v>
      </c>
      <c r="BW29" s="49">
        <v>150</v>
      </c>
      <c r="BX29" s="51">
        <v>2</v>
      </c>
      <c r="BY29" s="50">
        <f t="shared" si="86"/>
        <v>0.5</v>
      </c>
      <c r="BZ29" s="145">
        <v>734.88143999999977</v>
      </c>
      <c r="CA29" s="100">
        <v>320</v>
      </c>
      <c r="CB29" s="51">
        <v>2</v>
      </c>
      <c r="CC29" s="50">
        <f t="shared" si="87"/>
        <v>1.5</v>
      </c>
      <c r="CD29" s="145">
        <v>2204.6443199999994</v>
      </c>
      <c r="CE29" s="100">
        <v>8000</v>
      </c>
      <c r="CF29" s="51">
        <v>1</v>
      </c>
      <c r="CG29" s="50">
        <f t="shared" si="88"/>
        <v>0.5</v>
      </c>
      <c r="CH29" s="145">
        <v>1469.7628799999995</v>
      </c>
      <c r="CI29" s="100">
        <v>300</v>
      </c>
      <c r="CJ29" s="51">
        <v>2</v>
      </c>
      <c r="CK29" s="50">
        <f t="shared" si="89"/>
        <v>2.5</v>
      </c>
      <c r="CL29" s="97">
        <f t="shared" si="68"/>
        <v>180.11799999999994</v>
      </c>
      <c r="CM29" s="96">
        <v>50</v>
      </c>
      <c r="CN29" s="51">
        <v>1</v>
      </c>
      <c r="CO29" s="50">
        <f t="shared" si="90"/>
        <v>4</v>
      </c>
      <c r="CP29" s="95">
        <f t="shared" si="91"/>
        <v>10</v>
      </c>
      <c r="CQ29" s="4">
        <f t="shared" si="69"/>
        <v>20</v>
      </c>
      <c r="CR29" s="4">
        <f t="shared" si="70"/>
        <v>32</v>
      </c>
      <c r="CS29" s="4">
        <f t="shared" si="92"/>
        <v>10</v>
      </c>
      <c r="CT29" s="4">
        <f t="shared" si="93"/>
        <v>62</v>
      </c>
      <c r="CY29" s="46"/>
      <c r="DF29" s="46"/>
    </row>
    <row r="30" spans="2:110" s="6" customFormat="1" ht="17.25" customHeight="1">
      <c r="B30" s="94">
        <v>18</v>
      </c>
      <c r="C30" s="119" t="s">
        <v>97</v>
      </c>
      <c r="D30" s="94"/>
      <c r="E30" s="94" t="s">
        <v>18</v>
      </c>
      <c r="F30" s="245">
        <v>255</v>
      </c>
      <c r="G30" s="140">
        <v>3710.41</v>
      </c>
      <c r="H30" s="140">
        <v>4037.498</v>
      </c>
      <c r="I30" s="93">
        <f t="shared" si="94"/>
        <v>327.08800000000019</v>
      </c>
      <c r="J30" s="93">
        <f>I30</f>
        <v>327.08800000000019</v>
      </c>
      <c r="K30" s="92"/>
      <c r="L30" s="334" t="s">
        <v>159</v>
      </c>
      <c r="M30" s="337">
        <f>SUM(I30:I32)</f>
        <v>1032.6020000000003</v>
      </c>
      <c r="N30" s="340">
        <f>SUM(CQ30:CQ32,CR31:CS31)/18.4</f>
        <v>8.913043478260871</v>
      </c>
      <c r="O30" s="380">
        <v>23</v>
      </c>
      <c r="P30" s="91">
        <v>3</v>
      </c>
      <c r="Q30" s="90">
        <v>513.29104000000018</v>
      </c>
      <c r="R30" s="89">
        <v>53.9</v>
      </c>
      <c r="S30" s="83">
        <v>2</v>
      </c>
      <c r="T30" s="87">
        <f t="shared" si="71"/>
        <v>5</v>
      </c>
      <c r="U30" s="90">
        <v>1855.3425600000007</v>
      </c>
      <c r="V30" s="86">
        <v>190</v>
      </c>
      <c r="W30" s="83">
        <v>2</v>
      </c>
      <c r="X30" s="87">
        <f t="shared" si="72"/>
        <v>5</v>
      </c>
      <c r="Y30" s="90">
        <v>438.29792000000032</v>
      </c>
      <c r="Z30" s="86">
        <v>42</v>
      </c>
      <c r="AA30" s="83">
        <v>2</v>
      </c>
      <c r="AB30" s="79">
        <f t="shared" si="73"/>
        <v>6.5</v>
      </c>
      <c r="AC30" s="90">
        <v>261.6704000000002</v>
      </c>
      <c r="AD30" s="86">
        <v>40</v>
      </c>
      <c r="AE30" s="83">
        <v>2</v>
      </c>
      <c r="AF30" s="87">
        <f t="shared" si="74"/>
        <v>3.5</v>
      </c>
      <c r="AG30" s="90">
        <v>117.75168000000008</v>
      </c>
      <c r="AH30" s="86">
        <v>130</v>
      </c>
      <c r="AI30" s="83">
        <v>1</v>
      </c>
      <c r="AJ30" s="79">
        <f t="shared" si="75"/>
        <v>2</v>
      </c>
      <c r="AK30" s="91">
        <f t="shared" si="65"/>
        <v>2</v>
      </c>
      <c r="AL30" s="90">
        <v>393.3456000000001</v>
      </c>
      <c r="AM30" s="86">
        <v>225</v>
      </c>
      <c r="AN30" s="83">
        <v>1</v>
      </c>
      <c r="AO30" s="87">
        <f t="shared" si="76"/>
        <v>2</v>
      </c>
      <c r="AP30" s="85">
        <f t="shared" si="77"/>
        <v>29</v>
      </c>
      <c r="AQ30" s="90">
        <v>130.8352000000001</v>
      </c>
      <c r="AR30" s="39">
        <v>40</v>
      </c>
      <c r="AS30" s="83">
        <v>1</v>
      </c>
      <c r="AT30" s="87">
        <f t="shared" si="78"/>
        <v>3.5</v>
      </c>
      <c r="AU30" s="90">
        <v>143.91872000000009</v>
      </c>
      <c r="AV30" s="86">
        <v>130</v>
      </c>
      <c r="AW30" s="83">
        <v>1</v>
      </c>
      <c r="AX30" s="79">
        <f t="shared" si="79"/>
        <v>3</v>
      </c>
      <c r="AY30" s="91">
        <f t="shared" si="66"/>
        <v>5</v>
      </c>
      <c r="AZ30" s="90">
        <v>1308.3520000000008</v>
      </c>
      <c r="BA30" s="80">
        <f t="shared" si="6"/>
        <v>220</v>
      </c>
      <c r="BB30" s="83">
        <v>1</v>
      </c>
      <c r="BC30" s="87">
        <f t="shared" si="80"/>
        <v>6</v>
      </c>
      <c r="BD30" s="90">
        <v>493.24870400000026</v>
      </c>
      <c r="BE30" s="39">
        <v>35</v>
      </c>
      <c r="BF30" s="83">
        <v>2</v>
      </c>
      <c r="BG30" s="79">
        <f t="shared" si="81"/>
        <v>2</v>
      </c>
      <c r="BH30" s="90">
        <v>83.734528000000054</v>
      </c>
      <c r="BI30" s="48">
        <v>3.4</v>
      </c>
      <c r="BJ30" s="83">
        <v>2</v>
      </c>
      <c r="BK30" s="87">
        <f t="shared" si="82"/>
        <v>12.5</v>
      </c>
      <c r="BL30" s="90">
        <v>448.76473600000031</v>
      </c>
      <c r="BM30" s="86">
        <v>125</v>
      </c>
      <c r="BN30" s="83">
        <v>1</v>
      </c>
      <c r="BO30" s="79">
        <f t="shared" si="83"/>
        <v>5</v>
      </c>
      <c r="BP30" s="91">
        <f t="shared" si="67"/>
        <v>7</v>
      </c>
      <c r="BQ30" s="37">
        <f t="shared" si="84"/>
        <v>44</v>
      </c>
      <c r="BR30" s="90">
        <v>173.53750400000004</v>
      </c>
      <c r="BS30" s="86">
        <v>165</v>
      </c>
      <c r="BT30" s="83">
        <v>1</v>
      </c>
      <c r="BU30" s="87">
        <f t="shared" si="85"/>
        <v>1.5</v>
      </c>
      <c r="BV30" s="90">
        <v>236.54444800000007</v>
      </c>
      <c r="BW30" s="86">
        <v>150</v>
      </c>
      <c r="BX30" s="83">
        <v>2</v>
      </c>
      <c r="BY30" s="87">
        <f t="shared" si="86"/>
        <v>1</v>
      </c>
      <c r="BZ30" s="90">
        <v>1436.8454400000003</v>
      </c>
      <c r="CA30" s="39">
        <v>320</v>
      </c>
      <c r="CB30" s="83">
        <v>2</v>
      </c>
      <c r="CC30" s="87">
        <f t="shared" si="87"/>
        <v>2.5</v>
      </c>
      <c r="CD30" s="90">
        <v>4310.5363200000011</v>
      </c>
      <c r="CE30" s="39">
        <v>8000</v>
      </c>
      <c r="CF30" s="83">
        <v>1</v>
      </c>
      <c r="CG30" s="87">
        <f t="shared" si="88"/>
        <v>1</v>
      </c>
      <c r="CH30" s="90">
        <v>2873.6908800000006</v>
      </c>
      <c r="CI30" s="39">
        <v>300</v>
      </c>
      <c r="CJ30" s="83">
        <v>2</v>
      </c>
      <c r="CK30" s="87">
        <f t="shared" si="89"/>
        <v>5</v>
      </c>
      <c r="CL30" s="42">
        <f t="shared" si="68"/>
        <v>327.08800000000019</v>
      </c>
      <c r="CM30" s="43">
        <v>50</v>
      </c>
      <c r="CN30" s="83">
        <v>1</v>
      </c>
      <c r="CO30" s="87">
        <f t="shared" si="90"/>
        <v>7</v>
      </c>
      <c r="CP30" s="75">
        <f t="shared" si="91"/>
        <v>18</v>
      </c>
      <c r="CQ30" s="78">
        <f t="shared" si="69"/>
        <v>29</v>
      </c>
      <c r="CR30" s="78">
        <f t="shared" si="70"/>
        <v>44</v>
      </c>
      <c r="CS30" s="78">
        <f t="shared" si="92"/>
        <v>18</v>
      </c>
      <c r="CT30" s="78">
        <f t="shared" si="93"/>
        <v>91</v>
      </c>
      <c r="CY30" s="46"/>
      <c r="DF30" s="46"/>
    </row>
    <row r="31" spans="2:110" s="6" customFormat="1" ht="17.25" customHeight="1">
      <c r="B31" s="72">
        <v>19</v>
      </c>
      <c r="C31" s="143" t="s">
        <v>98</v>
      </c>
      <c r="D31" s="72"/>
      <c r="E31" s="72" t="s">
        <v>18</v>
      </c>
      <c r="F31" s="271">
        <v>255</v>
      </c>
      <c r="G31" s="141">
        <v>4099.8739999999998</v>
      </c>
      <c r="H31" s="141">
        <v>4472.21</v>
      </c>
      <c r="I31" s="82">
        <f t="shared" si="94"/>
        <v>372.33600000000024</v>
      </c>
      <c r="J31" s="82">
        <f>J30+I31</f>
        <v>699.42400000000043</v>
      </c>
      <c r="K31" s="36" t="s">
        <v>99</v>
      </c>
      <c r="L31" s="335"/>
      <c r="M31" s="338"/>
      <c r="N31" s="341"/>
      <c r="O31" s="381"/>
      <c r="P31" s="19">
        <v>3</v>
      </c>
      <c r="Q31" s="33">
        <v>666.84768000000076</v>
      </c>
      <c r="R31" s="8">
        <v>53.9</v>
      </c>
      <c r="S31" s="9">
        <v>2</v>
      </c>
      <c r="T31" s="10">
        <f t="shared" si="71"/>
        <v>6.5</v>
      </c>
      <c r="U31" s="33">
        <v>2364.5108200000022</v>
      </c>
      <c r="V31" s="11">
        <v>190</v>
      </c>
      <c r="W31" s="9">
        <v>2</v>
      </c>
      <c r="X31" s="10">
        <f t="shared" si="72"/>
        <v>6.5</v>
      </c>
      <c r="Y31" s="33">
        <v>498.93024000000037</v>
      </c>
      <c r="Z31" s="11">
        <v>42</v>
      </c>
      <c r="AA31" s="9">
        <v>2</v>
      </c>
      <c r="AB31" s="12">
        <f t="shared" si="73"/>
        <v>7</v>
      </c>
      <c r="AC31" s="33">
        <v>297.86880000000019</v>
      </c>
      <c r="AD31" s="11">
        <v>40</v>
      </c>
      <c r="AE31" s="9">
        <v>2</v>
      </c>
      <c r="AF31" s="10">
        <f t="shared" si="74"/>
        <v>4</v>
      </c>
      <c r="AG31" s="33">
        <v>134.0409600000001</v>
      </c>
      <c r="AH31" s="11">
        <v>130</v>
      </c>
      <c r="AI31" s="9">
        <v>1</v>
      </c>
      <c r="AJ31" s="12">
        <f t="shared" si="75"/>
        <v>3</v>
      </c>
      <c r="AK31" s="19">
        <f t="shared" si="65"/>
        <v>2</v>
      </c>
      <c r="AL31" s="33">
        <v>498.89560000000063</v>
      </c>
      <c r="AM31" s="11">
        <v>225</v>
      </c>
      <c r="AN31" s="9">
        <v>1</v>
      </c>
      <c r="AO31" s="10">
        <f t="shared" si="76"/>
        <v>2.5</v>
      </c>
      <c r="AP31" s="18">
        <f t="shared" si="77"/>
        <v>35</v>
      </c>
      <c r="AQ31" s="33">
        <v>148.9344000000001</v>
      </c>
      <c r="AR31" s="13">
        <v>40</v>
      </c>
      <c r="AS31" s="9">
        <v>1</v>
      </c>
      <c r="AT31" s="10">
        <f t="shared" si="78"/>
        <v>4</v>
      </c>
      <c r="AU31" s="33">
        <v>163.82784000000012</v>
      </c>
      <c r="AV31" s="11">
        <v>130</v>
      </c>
      <c r="AW31" s="9">
        <v>1</v>
      </c>
      <c r="AX31" s="12">
        <f t="shared" si="79"/>
        <v>3</v>
      </c>
      <c r="AY31" s="19">
        <f t="shared" si="66"/>
        <v>5</v>
      </c>
      <c r="AZ31" s="33">
        <v>1489.344000000001</v>
      </c>
      <c r="BA31" s="25">
        <f t="shared" si="6"/>
        <v>220</v>
      </c>
      <c r="BB31" s="9">
        <v>1</v>
      </c>
      <c r="BC31" s="10">
        <f t="shared" si="80"/>
        <v>7</v>
      </c>
      <c r="BD31" s="33">
        <v>561.48268800000039</v>
      </c>
      <c r="BE31" s="13">
        <v>35</v>
      </c>
      <c r="BF31" s="9">
        <v>2</v>
      </c>
      <c r="BG31" s="12">
        <f t="shared" si="81"/>
        <v>2</v>
      </c>
      <c r="BH31" s="33">
        <v>95.318016000000057</v>
      </c>
      <c r="BI31" s="14">
        <v>3.4</v>
      </c>
      <c r="BJ31" s="9">
        <v>2</v>
      </c>
      <c r="BK31" s="10">
        <f t="shared" si="82"/>
        <v>14.5</v>
      </c>
      <c r="BL31" s="33">
        <v>510.84499200000039</v>
      </c>
      <c r="BM31" s="11">
        <v>125</v>
      </c>
      <c r="BN31" s="9">
        <v>1</v>
      </c>
      <c r="BO31" s="12">
        <f t="shared" si="83"/>
        <v>6</v>
      </c>
      <c r="BP31" s="19">
        <f t="shared" si="67"/>
        <v>7</v>
      </c>
      <c r="BQ31" s="21">
        <f t="shared" si="84"/>
        <v>49</v>
      </c>
      <c r="BR31" s="33">
        <v>232.44984800000034</v>
      </c>
      <c r="BS31" s="11">
        <v>165</v>
      </c>
      <c r="BT31" s="9">
        <v>1</v>
      </c>
      <c r="BU31" s="10">
        <f t="shared" si="85"/>
        <v>1.5</v>
      </c>
      <c r="BV31" s="33">
        <v>312.73279600000046</v>
      </c>
      <c r="BW31" s="11">
        <v>150</v>
      </c>
      <c r="BX31" s="9">
        <v>2</v>
      </c>
      <c r="BY31" s="10">
        <f t="shared" si="86"/>
        <v>1.5</v>
      </c>
      <c r="BZ31" s="33">
        <v>1891.293680000003</v>
      </c>
      <c r="CA31" s="13">
        <v>320</v>
      </c>
      <c r="CB31" s="9">
        <v>2</v>
      </c>
      <c r="CC31" s="10">
        <f t="shared" si="87"/>
        <v>3</v>
      </c>
      <c r="CD31" s="33">
        <v>5673.8810400000093</v>
      </c>
      <c r="CE31" s="13">
        <v>8000</v>
      </c>
      <c r="CF31" s="9">
        <v>1</v>
      </c>
      <c r="CG31" s="10">
        <f t="shared" si="88"/>
        <v>1</v>
      </c>
      <c r="CH31" s="33">
        <v>3782.5873600000059</v>
      </c>
      <c r="CI31" s="13">
        <v>300</v>
      </c>
      <c r="CJ31" s="9">
        <v>2</v>
      </c>
      <c r="CK31" s="10">
        <f t="shared" si="89"/>
        <v>6.5</v>
      </c>
      <c r="CL31" s="41">
        <f t="shared" si="68"/>
        <v>372.33600000000024</v>
      </c>
      <c r="CM31" s="15">
        <v>50</v>
      </c>
      <c r="CN31" s="9">
        <v>1</v>
      </c>
      <c r="CO31" s="10">
        <f t="shared" si="90"/>
        <v>7.5</v>
      </c>
      <c r="CP31" s="20">
        <f t="shared" si="91"/>
        <v>21</v>
      </c>
      <c r="CQ31" s="5">
        <f t="shared" si="69"/>
        <v>35</v>
      </c>
      <c r="CR31" s="218">
        <f t="shared" si="70"/>
        <v>49</v>
      </c>
      <c r="CS31" s="218">
        <f t="shared" si="92"/>
        <v>21</v>
      </c>
      <c r="CT31" s="5">
        <f t="shared" si="93"/>
        <v>105</v>
      </c>
      <c r="CY31" s="46"/>
      <c r="DF31" s="46"/>
    </row>
    <row r="32" spans="2:110" s="6" customFormat="1" ht="17.25" customHeight="1" thickBot="1">
      <c r="B32" s="71">
        <v>20</v>
      </c>
      <c r="C32" s="70" t="s">
        <v>100</v>
      </c>
      <c r="D32" s="71"/>
      <c r="E32" s="71" t="s">
        <v>18</v>
      </c>
      <c r="F32" s="270">
        <v>255</v>
      </c>
      <c r="G32" s="142">
        <v>4539.4369999999999</v>
      </c>
      <c r="H32" s="142">
        <v>4872.6149999999998</v>
      </c>
      <c r="I32" s="105">
        <f t="shared" ref="I32:I35" si="95">H32-G32</f>
        <v>333.17799999999988</v>
      </c>
      <c r="J32" s="105">
        <f>J31+I32</f>
        <v>1032.6020000000003</v>
      </c>
      <c r="K32" s="120" t="s">
        <v>101</v>
      </c>
      <c r="L32" s="336"/>
      <c r="M32" s="339"/>
      <c r="N32" s="342"/>
      <c r="O32" s="382"/>
      <c r="P32" s="66">
        <v>3</v>
      </c>
      <c r="Q32" s="146">
        <v>570.75357999999994</v>
      </c>
      <c r="R32" s="65">
        <v>53.9</v>
      </c>
      <c r="S32" s="109">
        <v>2</v>
      </c>
      <c r="T32" s="110">
        <f t="shared" ref="T32:T35" si="96">CEILING(Q32/R32/S32,0.5)</f>
        <v>5.5</v>
      </c>
      <c r="U32" s="146">
        <v>2053.3778099999995</v>
      </c>
      <c r="V32" s="68">
        <v>190</v>
      </c>
      <c r="W32" s="109">
        <v>2</v>
      </c>
      <c r="X32" s="110">
        <f t="shared" ref="X32:X35" si="97">CEILING(U32/V32/W32,0.5)</f>
        <v>5.5</v>
      </c>
      <c r="Y32" s="146">
        <v>446.45851999999991</v>
      </c>
      <c r="Z32" s="68">
        <v>42</v>
      </c>
      <c r="AA32" s="109">
        <v>2</v>
      </c>
      <c r="AB32" s="67">
        <f t="shared" ref="AB32:AB34" si="98">IF(Y32="","",CEILING(Y32/Z32/AA32,0.5)+1)</f>
        <v>6.5</v>
      </c>
      <c r="AC32" s="146">
        <v>266.54239999999993</v>
      </c>
      <c r="AD32" s="68">
        <v>40</v>
      </c>
      <c r="AE32" s="109">
        <v>2</v>
      </c>
      <c r="AF32" s="110">
        <f t="shared" ref="AF32:AF35" si="99">CEILING(AC32/AD32/AE32,0.5)</f>
        <v>3.5</v>
      </c>
      <c r="AG32" s="146">
        <v>119.94407999999999</v>
      </c>
      <c r="AH32" s="68">
        <v>130</v>
      </c>
      <c r="AI32" s="109">
        <v>1</v>
      </c>
      <c r="AJ32" s="67">
        <f t="shared" ref="AJ32:AJ34" si="100">IF(AG32="","",ROUNDUP(AG32/AH32/AI32,0)+1)</f>
        <v>2</v>
      </c>
      <c r="AK32" s="66">
        <f t="shared" ref="AK32:AK34" si="101">IF(E32="보통",2,IF(E32="조강",1,""))</f>
        <v>2</v>
      </c>
      <c r="AL32" s="146">
        <v>415.23631999999998</v>
      </c>
      <c r="AM32" s="68">
        <v>225</v>
      </c>
      <c r="AN32" s="109">
        <v>1</v>
      </c>
      <c r="AO32" s="110">
        <f t="shared" ref="AO32:AO34" si="102">CEILING(AL32/AM32/AN32,0.5)</f>
        <v>2</v>
      </c>
      <c r="AP32" s="64">
        <f t="shared" ref="AP32:AP34" si="103">ROUNDUP(SUM(P32,T32,X32,AB32,AF32,AJ32,AK32,AO32),0)</f>
        <v>30</v>
      </c>
      <c r="AQ32" s="146">
        <v>133.27119999999996</v>
      </c>
      <c r="AR32" s="63">
        <v>40</v>
      </c>
      <c r="AS32" s="109">
        <v>1</v>
      </c>
      <c r="AT32" s="110">
        <f t="shared" ref="AT32:AT35" si="104">CEILING(AQ32/AR32/AS32,0.5)</f>
        <v>3.5</v>
      </c>
      <c r="AU32" s="146">
        <v>146.59831999999997</v>
      </c>
      <c r="AV32" s="68">
        <v>130</v>
      </c>
      <c r="AW32" s="109">
        <v>1</v>
      </c>
      <c r="AX32" s="67">
        <f t="shared" ref="AX32:AX35" si="105">IF(AU32="","",ROUNDUP(AU32/AV32/AW32,0)+1)</f>
        <v>3</v>
      </c>
      <c r="AY32" s="66">
        <f t="shared" ref="AY32:AY34" si="106">IF(E32="보통",5,IF(E32="조강",2,""))</f>
        <v>5</v>
      </c>
      <c r="AZ32" s="146">
        <v>1332.7119999999995</v>
      </c>
      <c r="BA32" s="62">
        <f t="shared" si="6"/>
        <v>220</v>
      </c>
      <c r="BB32" s="109">
        <v>1</v>
      </c>
      <c r="BC32" s="110">
        <f t="shared" ref="BC32:BC35" si="107">CEILING(AZ32/BA32/BB32,0.5)</f>
        <v>6.5</v>
      </c>
      <c r="BD32" s="146">
        <v>502.4324239999998</v>
      </c>
      <c r="BE32" s="63">
        <v>35</v>
      </c>
      <c r="BF32" s="109">
        <v>2</v>
      </c>
      <c r="BG32" s="67">
        <f t="shared" ref="BG32:BG35" si="108">IF(BD32="","",2)</f>
        <v>2</v>
      </c>
      <c r="BH32" s="146">
        <v>85.293567999999965</v>
      </c>
      <c r="BI32" s="61">
        <v>3.4</v>
      </c>
      <c r="BJ32" s="109">
        <v>2</v>
      </c>
      <c r="BK32" s="110">
        <f t="shared" ref="BK32:BK35" si="109">CEILING(BH32/BI32/BJ32,0.5)</f>
        <v>13</v>
      </c>
      <c r="BL32" s="146">
        <v>457.12021599999991</v>
      </c>
      <c r="BM32" s="68">
        <v>125</v>
      </c>
      <c r="BN32" s="109">
        <v>1</v>
      </c>
      <c r="BO32" s="67">
        <f t="shared" ref="BO32:BO35" si="110">IF(BL32="","",ROUNDUP(BL32/BM32/BN32,0)+1)</f>
        <v>5</v>
      </c>
      <c r="BP32" s="66">
        <f t="shared" ref="BP32:BP35" si="111">IF(E32="보통",7,IF(E32="조강",3,""))</f>
        <v>7</v>
      </c>
      <c r="BQ32" s="106">
        <f t="shared" ref="BQ32:BQ35" si="112">ROUNDUP(SUM(AT32,AX32,AY32,BC32,BG32,BK32,BO32,BP32),0)</f>
        <v>45</v>
      </c>
      <c r="BR32" s="146">
        <v>190.31039200000001</v>
      </c>
      <c r="BS32" s="68">
        <v>165</v>
      </c>
      <c r="BT32" s="109">
        <v>1</v>
      </c>
      <c r="BU32" s="110">
        <f t="shared" ref="BU32:BU35" si="113">CEILING(BR32/BS32/BT32,0.5)</f>
        <v>1.5</v>
      </c>
      <c r="BV32" s="146">
        <v>253.33065000000005</v>
      </c>
      <c r="BW32" s="68">
        <v>150</v>
      </c>
      <c r="BX32" s="109">
        <v>2</v>
      </c>
      <c r="BY32" s="110">
        <f t="shared" ref="BY32:BY35" si="114">CEILING(BV32/BW32/BX32,0.5)</f>
        <v>1</v>
      </c>
      <c r="BZ32" s="146">
        <v>1536.4332400000001</v>
      </c>
      <c r="CA32" s="63">
        <v>320</v>
      </c>
      <c r="CB32" s="109">
        <v>2</v>
      </c>
      <c r="CC32" s="110">
        <f t="shared" ref="CC32:CC35" si="115">CEILING(BZ32/CA32/CB32,0.5)</f>
        <v>2.5</v>
      </c>
      <c r="CD32" s="146">
        <v>4609.2997200000009</v>
      </c>
      <c r="CE32" s="63">
        <v>8000</v>
      </c>
      <c r="CF32" s="109">
        <v>1</v>
      </c>
      <c r="CG32" s="110">
        <f t="shared" ref="CG32:CG35" si="116">CEILING(CD32/CE32/CF32,0.5)</f>
        <v>1</v>
      </c>
      <c r="CH32" s="146">
        <v>3072.8664800000001</v>
      </c>
      <c r="CI32" s="63">
        <v>300</v>
      </c>
      <c r="CJ32" s="109">
        <v>2</v>
      </c>
      <c r="CK32" s="110">
        <f t="shared" ref="CK32:CK35" si="117">CEILING(CH32/CI32/CJ32,0.5)</f>
        <v>5.5</v>
      </c>
      <c r="CL32" s="60">
        <f t="shared" ref="CL32:CL35" si="118">I32</f>
        <v>333.17799999999988</v>
      </c>
      <c r="CM32" s="69">
        <v>50</v>
      </c>
      <c r="CN32" s="109">
        <v>1</v>
      </c>
      <c r="CO32" s="110">
        <f t="shared" ref="CO32:CO35" si="119">CEILING(CL32/CM32/CN32,0.5)</f>
        <v>7</v>
      </c>
      <c r="CP32" s="58">
        <f t="shared" ref="CP32:CP35" si="120">ROUNDUP(SUM(BU32,BY32,CC32,CG32,CK32,CO32),0)</f>
        <v>19</v>
      </c>
      <c r="CQ32" s="57">
        <f t="shared" ref="CQ32:CQ35" si="121">AP32</f>
        <v>30</v>
      </c>
      <c r="CR32" s="57">
        <f t="shared" ref="CR32:CR35" si="122">BQ32</f>
        <v>45</v>
      </c>
      <c r="CS32" s="57">
        <f t="shared" ref="CS32:CS35" si="123">CP32</f>
        <v>19</v>
      </c>
      <c r="CT32" s="57">
        <f t="shared" ref="CT32:CT35" si="124">SUM(CQ32:CS32)</f>
        <v>94</v>
      </c>
      <c r="CY32" s="46"/>
      <c r="DF32" s="46"/>
    </row>
    <row r="33" spans="2:110" s="6" customFormat="1" ht="17.25" customHeight="1">
      <c r="B33" s="94">
        <v>21</v>
      </c>
      <c r="C33" s="119" t="s">
        <v>104</v>
      </c>
      <c r="D33" s="94"/>
      <c r="E33" s="94" t="s">
        <v>18</v>
      </c>
      <c r="F33" s="245">
        <v>255</v>
      </c>
      <c r="G33" s="163">
        <v>4920.8149999999996</v>
      </c>
      <c r="H33" s="163">
        <v>5124.5659999999998</v>
      </c>
      <c r="I33" s="93">
        <f t="shared" si="95"/>
        <v>203.7510000000002</v>
      </c>
      <c r="J33" s="93">
        <f>I33</f>
        <v>203.7510000000002</v>
      </c>
      <c r="K33" s="128"/>
      <c r="L33" s="322" t="s">
        <v>160</v>
      </c>
      <c r="M33" s="394">
        <f>SUM(I33:I37)</f>
        <v>1162.375</v>
      </c>
      <c r="N33" s="328">
        <f>SUM(CQ33:CQ37,CR37:CS37)/18.4</f>
        <v>9.6195652173913047</v>
      </c>
      <c r="O33" s="331">
        <v>14</v>
      </c>
      <c r="P33" s="91">
        <v>3</v>
      </c>
      <c r="Q33" s="45">
        <v>307.6640100000003</v>
      </c>
      <c r="R33" s="89">
        <v>53.9</v>
      </c>
      <c r="S33" s="83">
        <v>2</v>
      </c>
      <c r="T33" s="87">
        <f t="shared" si="96"/>
        <v>3</v>
      </c>
      <c r="U33" s="45">
        <v>1124.7055200000011</v>
      </c>
      <c r="V33" s="86">
        <v>190</v>
      </c>
      <c r="W33" s="83">
        <v>2</v>
      </c>
      <c r="X33" s="87">
        <f t="shared" si="97"/>
        <v>3</v>
      </c>
      <c r="Y33" s="45">
        <v>273.02634000000029</v>
      </c>
      <c r="Z33" s="86">
        <v>42</v>
      </c>
      <c r="AA33" s="83">
        <v>2</v>
      </c>
      <c r="AB33" s="79">
        <f t="shared" si="98"/>
        <v>4.5</v>
      </c>
      <c r="AC33" s="45">
        <v>163.00080000000017</v>
      </c>
      <c r="AD33" s="86">
        <v>40</v>
      </c>
      <c r="AE33" s="83">
        <v>2</v>
      </c>
      <c r="AF33" s="87">
        <f t="shared" si="99"/>
        <v>2.5</v>
      </c>
      <c r="AG33" s="45">
        <v>73.35036000000008</v>
      </c>
      <c r="AH33" s="86">
        <v>130</v>
      </c>
      <c r="AI33" s="83">
        <v>1</v>
      </c>
      <c r="AJ33" s="79">
        <f t="shared" si="100"/>
        <v>2</v>
      </c>
      <c r="AK33" s="91">
        <f t="shared" si="101"/>
        <v>2</v>
      </c>
      <c r="AL33" s="45">
        <v>232.27614000000023</v>
      </c>
      <c r="AM33" s="86">
        <v>225</v>
      </c>
      <c r="AN33" s="83">
        <v>1</v>
      </c>
      <c r="AO33" s="87">
        <f t="shared" si="102"/>
        <v>1.5</v>
      </c>
      <c r="AP33" s="85">
        <f t="shared" si="103"/>
        <v>22</v>
      </c>
      <c r="AQ33" s="45">
        <v>81.500400000000084</v>
      </c>
      <c r="AR33" s="39">
        <v>40</v>
      </c>
      <c r="AS33" s="83">
        <v>1</v>
      </c>
      <c r="AT33" s="87">
        <f t="shared" si="104"/>
        <v>2.5</v>
      </c>
      <c r="AU33" s="45">
        <v>89.650440000000103</v>
      </c>
      <c r="AV33" s="86">
        <v>130</v>
      </c>
      <c r="AW33" s="83">
        <v>1</v>
      </c>
      <c r="AX33" s="79">
        <f t="shared" si="105"/>
        <v>2</v>
      </c>
      <c r="AY33" s="91">
        <f t="shared" si="106"/>
        <v>5</v>
      </c>
      <c r="AZ33" s="45">
        <v>815.00400000000081</v>
      </c>
      <c r="BA33" s="80">
        <f t="shared" si="6"/>
        <v>220</v>
      </c>
      <c r="BB33" s="83">
        <v>1</v>
      </c>
      <c r="BC33" s="87">
        <f t="shared" si="107"/>
        <v>4</v>
      </c>
      <c r="BD33" s="45">
        <v>307.25650800000028</v>
      </c>
      <c r="BE33" s="39">
        <v>35</v>
      </c>
      <c r="BF33" s="83">
        <v>2</v>
      </c>
      <c r="BG33" s="79">
        <f t="shared" si="108"/>
        <v>2</v>
      </c>
      <c r="BH33" s="45">
        <v>52.160256000000054</v>
      </c>
      <c r="BI33" s="48">
        <v>3.4</v>
      </c>
      <c r="BJ33" s="83">
        <v>2</v>
      </c>
      <c r="BK33" s="87">
        <f t="shared" si="109"/>
        <v>8</v>
      </c>
      <c r="BL33" s="45">
        <v>279.5463720000003</v>
      </c>
      <c r="BM33" s="86">
        <v>125</v>
      </c>
      <c r="BN33" s="83">
        <v>1</v>
      </c>
      <c r="BO33" s="79">
        <f t="shared" si="110"/>
        <v>4</v>
      </c>
      <c r="BP33" s="91">
        <f t="shared" si="111"/>
        <v>7</v>
      </c>
      <c r="BQ33" s="37">
        <f t="shared" si="112"/>
        <v>35</v>
      </c>
      <c r="BR33" s="45">
        <v>100.65299400000011</v>
      </c>
      <c r="BS33" s="86">
        <v>165</v>
      </c>
      <c r="BT33" s="83">
        <v>1</v>
      </c>
      <c r="BU33" s="87">
        <f t="shared" si="113"/>
        <v>1</v>
      </c>
      <c r="BV33" s="45">
        <v>136.51317000000014</v>
      </c>
      <c r="BW33" s="86">
        <v>150</v>
      </c>
      <c r="BX33" s="83">
        <v>2</v>
      </c>
      <c r="BY33" s="87">
        <f t="shared" si="114"/>
        <v>0.5</v>
      </c>
      <c r="BZ33" s="45">
        <v>831.30408000000079</v>
      </c>
      <c r="CA33" s="39">
        <v>320</v>
      </c>
      <c r="CB33" s="83">
        <v>2</v>
      </c>
      <c r="CC33" s="87">
        <f t="shared" si="115"/>
        <v>1.5</v>
      </c>
      <c r="CD33" s="45">
        <v>2493.9122400000024</v>
      </c>
      <c r="CE33" s="39">
        <v>8000</v>
      </c>
      <c r="CF33" s="83">
        <v>1</v>
      </c>
      <c r="CG33" s="87">
        <f t="shared" si="116"/>
        <v>0.5</v>
      </c>
      <c r="CH33" s="45">
        <v>1662.6081600000016</v>
      </c>
      <c r="CI33" s="39">
        <v>300</v>
      </c>
      <c r="CJ33" s="83">
        <v>2</v>
      </c>
      <c r="CK33" s="87">
        <f t="shared" si="117"/>
        <v>3</v>
      </c>
      <c r="CL33" s="42">
        <f t="shared" si="118"/>
        <v>203.7510000000002</v>
      </c>
      <c r="CM33" s="43">
        <v>50</v>
      </c>
      <c r="CN33" s="83">
        <v>1</v>
      </c>
      <c r="CO33" s="87">
        <f t="shared" si="119"/>
        <v>4.5</v>
      </c>
      <c r="CP33" s="75">
        <f t="shared" si="120"/>
        <v>11</v>
      </c>
      <c r="CQ33" s="78">
        <f t="shared" si="121"/>
        <v>22</v>
      </c>
      <c r="CR33" s="78">
        <f t="shared" si="122"/>
        <v>35</v>
      </c>
      <c r="CS33" s="78">
        <f t="shared" si="123"/>
        <v>11</v>
      </c>
      <c r="CT33" s="78">
        <f t="shared" si="124"/>
        <v>68</v>
      </c>
      <c r="CY33" s="46"/>
      <c r="DF33" s="46"/>
    </row>
    <row r="34" spans="2:110" s="6" customFormat="1" ht="17.25" customHeight="1">
      <c r="B34" s="129">
        <v>22</v>
      </c>
      <c r="C34" s="162" t="s">
        <v>105</v>
      </c>
      <c r="D34" s="129"/>
      <c r="E34" s="129" t="s">
        <v>18</v>
      </c>
      <c r="F34" s="271">
        <v>150</v>
      </c>
      <c r="G34" s="160">
        <v>5156.6170000000002</v>
      </c>
      <c r="H34" s="160">
        <v>5390.6</v>
      </c>
      <c r="I34" s="82">
        <f t="shared" si="95"/>
        <v>233.98300000000017</v>
      </c>
      <c r="J34" s="82">
        <f>J33+I34</f>
        <v>437.73400000000038</v>
      </c>
      <c r="K34" s="126" t="s">
        <v>106</v>
      </c>
      <c r="L34" s="326"/>
      <c r="M34" s="395"/>
      <c r="N34" s="329"/>
      <c r="O34" s="332"/>
      <c r="P34" s="19">
        <v>3</v>
      </c>
      <c r="Q34" s="33">
        <v>460.75273000000044</v>
      </c>
      <c r="R34" s="8">
        <v>53.9</v>
      </c>
      <c r="S34" s="9">
        <v>2</v>
      </c>
      <c r="T34" s="10">
        <f t="shared" si="96"/>
        <v>4.5</v>
      </c>
      <c r="U34" s="33">
        <v>1608.0431600000013</v>
      </c>
      <c r="V34" s="11">
        <v>190</v>
      </c>
      <c r="W34" s="9">
        <v>2</v>
      </c>
      <c r="X34" s="10">
        <f t="shared" si="97"/>
        <v>4.5</v>
      </c>
      <c r="Y34" s="33">
        <v>313.53722000000027</v>
      </c>
      <c r="Z34" s="11">
        <v>42</v>
      </c>
      <c r="AA34" s="9">
        <v>2</v>
      </c>
      <c r="AB34" s="12">
        <f t="shared" si="98"/>
        <v>5</v>
      </c>
      <c r="AC34" s="33">
        <v>187.18640000000013</v>
      </c>
      <c r="AD34" s="11">
        <v>40</v>
      </c>
      <c r="AE34" s="9">
        <v>2</v>
      </c>
      <c r="AF34" s="10">
        <f t="shared" si="99"/>
        <v>2.5</v>
      </c>
      <c r="AG34" s="33">
        <v>84.23388000000007</v>
      </c>
      <c r="AH34" s="11">
        <v>130</v>
      </c>
      <c r="AI34" s="9">
        <v>1</v>
      </c>
      <c r="AJ34" s="12">
        <f t="shared" si="100"/>
        <v>2</v>
      </c>
      <c r="AK34" s="19">
        <f t="shared" si="101"/>
        <v>2</v>
      </c>
      <c r="AL34" s="33">
        <v>344.14782000000037</v>
      </c>
      <c r="AM34" s="11">
        <v>225</v>
      </c>
      <c r="AN34" s="9">
        <v>1</v>
      </c>
      <c r="AO34" s="10">
        <f t="shared" si="102"/>
        <v>2</v>
      </c>
      <c r="AP34" s="18">
        <f t="shared" si="103"/>
        <v>26</v>
      </c>
      <c r="AQ34" s="33">
        <v>93.593200000000067</v>
      </c>
      <c r="AR34" s="13">
        <v>40</v>
      </c>
      <c r="AS34" s="9">
        <v>1</v>
      </c>
      <c r="AT34" s="10">
        <f t="shared" si="104"/>
        <v>2.5</v>
      </c>
      <c r="AU34" s="33">
        <v>102.95252000000008</v>
      </c>
      <c r="AV34" s="11">
        <v>130</v>
      </c>
      <c r="AW34" s="9">
        <v>1</v>
      </c>
      <c r="AX34" s="12">
        <f t="shared" si="105"/>
        <v>2</v>
      </c>
      <c r="AY34" s="19">
        <f t="shared" si="106"/>
        <v>5</v>
      </c>
      <c r="AZ34" s="33">
        <v>935.9320000000007</v>
      </c>
      <c r="BA34" s="25">
        <f t="shared" si="6"/>
        <v>220</v>
      </c>
      <c r="BB34" s="9">
        <v>1</v>
      </c>
      <c r="BC34" s="10">
        <f t="shared" si="107"/>
        <v>4.5</v>
      </c>
      <c r="BD34" s="33">
        <v>352.84636400000028</v>
      </c>
      <c r="BE34" s="13">
        <v>35</v>
      </c>
      <c r="BF34" s="9">
        <v>2</v>
      </c>
      <c r="BG34" s="12">
        <f t="shared" si="108"/>
        <v>2</v>
      </c>
      <c r="BH34" s="33">
        <v>59.899648000000049</v>
      </c>
      <c r="BI34" s="14">
        <v>3.4</v>
      </c>
      <c r="BJ34" s="9">
        <v>2</v>
      </c>
      <c r="BK34" s="10">
        <f t="shared" si="109"/>
        <v>9</v>
      </c>
      <c r="BL34" s="33">
        <v>321.02467600000028</v>
      </c>
      <c r="BM34" s="11">
        <v>125</v>
      </c>
      <c r="BN34" s="9">
        <v>1</v>
      </c>
      <c r="BO34" s="12">
        <f t="shared" si="110"/>
        <v>4</v>
      </c>
      <c r="BP34" s="19">
        <f t="shared" si="111"/>
        <v>7</v>
      </c>
      <c r="BQ34" s="21">
        <f t="shared" si="112"/>
        <v>36</v>
      </c>
      <c r="BR34" s="33">
        <v>165.84128200000018</v>
      </c>
      <c r="BS34" s="11">
        <v>165</v>
      </c>
      <c r="BT34" s="9">
        <v>1</v>
      </c>
      <c r="BU34" s="10">
        <f t="shared" si="113"/>
        <v>1.5</v>
      </c>
      <c r="BV34" s="33">
        <v>222.56473000000028</v>
      </c>
      <c r="BW34" s="11">
        <v>150</v>
      </c>
      <c r="BX34" s="9">
        <v>2</v>
      </c>
      <c r="BY34" s="10">
        <f t="shared" si="114"/>
        <v>1</v>
      </c>
      <c r="BZ34" s="33">
        <v>1341.6866400000015</v>
      </c>
      <c r="CA34" s="13">
        <v>320</v>
      </c>
      <c r="CB34" s="9">
        <v>2</v>
      </c>
      <c r="CC34" s="10">
        <f t="shared" si="115"/>
        <v>2.5</v>
      </c>
      <c r="CD34" s="33">
        <v>4025.0599200000047</v>
      </c>
      <c r="CE34" s="13">
        <v>8000</v>
      </c>
      <c r="CF34" s="9">
        <v>1</v>
      </c>
      <c r="CG34" s="10">
        <f t="shared" si="116"/>
        <v>1</v>
      </c>
      <c r="CH34" s="33">
        <v>2683.373280000003</v>
      </c>
      <c r="CI34" s="13">
        <v>300</v>
      </c>
      <c r="CJ34" s="9">
        <v>2</v>
      </c>
      <c r="CK34" s="10">
        <f t="shared" si="117"/>
        <v>4.5</v>
      </c>
      <c r="CL34" s="41">
        <f t="shared" si="118"/>
        <v>233.98300000000017</v>
      </c>
      <c r="CM34" s="15">
        <v>50</v>
      </c>
      <c r="CN34" s="9">
        <v>1</v>
      </c>
      <c r="CO34" s="10">
        <f t="shared" si="119"/>
        <v>5</v>
      </c>
      <c r="CP34" s="20">
        <f t="shared" si="120"/>
        <v>16</v>
      </c>
      <c r="CQ34" s="5">
        <f t="shared" si="121"/>
        <v>26</v>
      </c>
      <c r="CR34" s="5">
        <f t="shared" si="122"/>
        <v>36</v>
      </c>
      <c r="CS34" s="5">
        <f t="shared" si="123"/>
        <v>16</v>
      </c>
      <c r="CT34" s="5">
        <f t="shared" si="124"/>
        <v>78</v>
      </c>
      <c r="CW34" s="6">
        <v>255</v>
      </c>
      <c r="CY34" s="46"/>
      <c r="DF34" s="46"/>
    </row>
    <row r="35" spans="2:110" s="6" customFormat="1" ht="17.25" customHeight="1">
      <c r="B35" s="131" t="s">
        <v>114</v>
      </c>
      <c r="C35" s="157" t="s">
        <v>177</v>
      </c>
      <c r="D35" s="153" t="s">
        <v>116</v>
      </c>
      <c r="E35" s="129" t="s">
        <v>18</v>
      </c>
      <c r="F35" s="271"/>
      <c r="G35" s="164">
        <v>5390.6</v>
      </c>
      <c r="H35" s="164">
        <v>5597.15</v>
      </c>
      <c r="I35" s="82">
        <f t="shared" si="95"/>
        <v>206.54999999999927</v>
      </c>
      <c r="J35" s="82">
        <f t="shared" ref="J35" si="125">J34+I35</f>
        <v>644.28399999999965</v>
      </c>
      <c r="K35" s="126" t="s">
        <v>107</v>
      </c>
      <c r="L35" s="326"/>
      <c r="M35" s="395"/>
      <c r="N35" s="329"/>
      <c r="O35" s="332"/>
      <c r="P35" s="19">
        <v>3</v>
      </c>
      <c r="Q35" s="159">
        <v>125.99549999999955</v>
      </c>
      <c r="R35" s="8">
        <v>53.9</v>
      </c>
      <c r="S35" s="9">
        <v>2</v>
      </c>
      <c r="T35" s="10">
        <f t="shared" si="96"/>
        <v>1.5</v>
      </c>
      <c r="U35" s="33"/>
      <c r="V35" s="11">
        <v>190</v>
      </c>
      <c r="W35" s="9">
        <v>2</v>
      </c>
      <c r="X35" s="10">
        <f t="shared" si="97"/>
        <v>0</v>
      </c>
      <c r="Y35" s="305" t="s">
        <v>49</v>
      </c>
      <c r="Z35" s="305"/>
      <c r="AA35" s="305"/>
      <c r="AB35" s="305"/>
      <c r="AC35" s="168">
        <v>413.09999999999854</v>
      </c>
      <c r="AD35" s="25">
        <v>20</v>
      </c>
      <c r="AE35" s="9">
        <v>2</v>
      </c>
      <c r="AF35" s="10">
        <f t="shared" si="99"/>
        <v>10.5</v>
      </c>
      <c r="AG35" s="33"/>
      <c r="AH35" s="11"/>
      <c r="AI35" s="9"/>
      <c r="AJ35" s="12"/>
      <c r="AK35" s="19"/>
      <c r="AL35" s="33"/>
      <c r="AM35" s="11">
        <v>225</v>
      </c>
      <c r="AN35" s="9">
        <v>1</v>
      </c>
      <c r="AO35" s="10">
        <f t="shared" ref="AO35" si="126">ROUND(AL35/AM35/AN35,0)</f>
        <v>0</v>
      </c>
      <c r="AP35" s="18">
        <f>ROUNDUP(SUM(T35,X35,AF35,AJ35,AK35,AO35),0)</f>
        <v>12</v>
      </c>
      <c r="AQ35" s="33"/>
      <c r="AR35" s="13">
        <v>40</v>
      </c>
      <c r="AS35" s="9">
        <v>1</v>
      </c>
      <c r="AT35" s="10">
        <f t="shared" si="104"/>
        <v>0</v>
      </c>
      <c r="AU35" s="33"/>
      <c r="AV35" s="11">
        <v>130</v>
      </c>
      <c r="AW35" s="9">
        <v>1</v>
      </c>
      <c r="AX35" s="12" t="str">
        <f t="shared" si="105"/>
        <v/>
      </c>
      <c r="AY35" s="19"/>
      <c r="AZ35" s="159">
        <v>826.19999999999709</v>
      </c>
      <c r="BA35" s="25">
        <f t="shared" si="6"/>
        <v>220</v>
      </c>
      <c r="BB35" s="9">
        <v>1</v>
      </c>
      <c r="BC35" s="10">
        <f t="shared" si="107"/>
        <v>4</v>
      </c>
      <c r="BD35" s="159">
        <v>311.47739999999891</v>
      </c>
      <c r="BE35" s="13">
        <v>35</v>
      </c>
      <c r="BF35" s="9">
        <v>2</v>
      </c>
      <c r="BG35" s="12">
        <f t="shared" si="108"/>
        <v>2</v>
      </c>
      <c r="BH35" s="159">
        <v>52.876799999999818</v>
      </c>
      <c r="BI35" s="14">
        <v>3.4</v>
      </c>
      <c r="BJ35" s="9">
        <v>2</v>
      </c>
      <c r="BK35" s="10">
        <f t="shared" si="109"/>
        <v>8</v>
      </c>
      <c r="BL35" s="159">
        <v>283.38659999999902</v>
      </c>
      <c r="BM35" s="11">
        <v>125</v>
      </c>
      <c r="BN35" s="9">
        <v>1</v>
      </c>
      <c r="BO35" s="12">
        <f t="shared" si="110"/>
        <v>4</v>
      </c>
      <c r="BP35" s="19">
        <f t="shared" si="111"/>
        <v>7</v>
      </c>
      <c r="BQ35" s="21">
        <f t="shared" si="112"/>
        <v>25</v>
      </c>
      <c r="BR35" s="33"/>
      <c r="BS35" s="11">
        <v>165</v>
      </c>
      <c r="BT35" s="9">
        <v>1</v>
      </c>
      <c r="BU35" s="10">
        <f t="shared" si="113"/>
        <v>0</v>
      </c>
      <c r="BV35" s="159">
        <v>37.798649999999867</v>
      </c>
      <c r="BW35" s="11">
        <v>150</v>
      </c>
      <c r="BX35" s="9">
        <v>2</v>
      </c>
      <c r="BY35" s="10">
        <f t="shared" si="114"/>
        <v>0.5</v>
      </c>
      <c r="BZ35" s="159">
        <v>322.21799999999888</v>
      </c>
      <c r="CA35" s="13">
        <v>320</v>
      </c>
      <c r="CB35" s="9">
        <v>2</v>
      </c>
      <c r="CC35" s="10">
        <f t="shared" si="115"/>
        <v>1</v>
      </c>
      <c r="CD35" s="159">
        <v>966.65399999999659</v>
      </c>
      <c r="CE35" s="13">
        <v>8000</v>
      </c>
      <c r="CF35" s="9">
        <v>1</v>
      </c>
      <c r="CG35" s="10">
        <f t="shared" si="116"/>
        <v>0.5</v>
      </c>
      <c r="CH35" s="159">
        <v>644.43599999999776</v>
      </c>
      <c r="CI35" s="13">
        <v>300</v>
      </c>
      <c r="CJ35" s="9">
        <v>2</v>
      </c>
      <c r="CK35" s="10">
        <f t="shared" si="117"/>
        <v>1.5</v>
      </c>
      <c r="CL35" s="41">
        <f t="shared" si="118"/>
        <v>206.54999999999927</v>
      </c>
      <c r="CM35" s="15">
        <v>50</v>
      </c>
      <c r="CN35" s="9">
        <v>1</v>
      </c>
      <c r="CO35" s="10">
        <f t="shared" si="119"/>
        <v>4.5</v>
      </c>
      <c r="CP35" s="20">
        <f t="shared" si="120"/>
        <v>8</v>
      </c>
      <c r="CQ35" s="5">
        <f t="shared" si="121"/>
        <v>12</v>
      </c>
      <c r="CR35" s="5">
        <f t="shared" si="122"/>
        <v>25</v>
      </c>
      <c r="CS35" s="5">
        <f t="shared" si="123"/>
        <v>8</v>
      </c>
      <c r="CT35" s="5">
        <f t="shared" si="124"/>
        <v>45</v>
      </c>
      <c r="CW35" s="6">
        <f>CW34/30</f>
        <v>8.5</v>
      </c>
      <c r="CY35" s="46"/>
      <c r="DF35" s="46"/>
    </row>
    <row r="36" spans="2:110" s="6" customFormat="1" ht="17.25" customHeight="1">
      <c r="B36" s="129">
        <v>23</v>
      </c>
      <c r="C36" s="162" t="s">
        <v>108</v>
      </c>
      <c r="D36" s="129"/>
      <c r="E36" s="129" t="s">
        <v>18</v>
      </c>
      <c r="F36" s="271">
        <v>150</v>
      </c>
      <c r="G36" s="166">
        <v>5597.15</v>
      </c>
      <c r="H36" s="166">
        <v>5768.799</v>
      </c>
      <c r="I36" s="82">
        <f t="shared" ref="I36:I37" si="127">H36-G36</f>
        <v>171.64900000000034</v>
      </c>
      <c r="J36" s="82">
        <f>J35+I36</f>
        <v>815.93299999999999</v>
      </c>
      <c r="K36" s="126"/>
      <c r="L36" s="326"/>
      <c r="M36" s="395"/>
      <c r="N36" s="329"/>
      <c r="O36" s="332"/>
      <c r="P36" s="19">
        <v>3</v>
      </c>
      <c r="Q36" s="165">
        <v>259.18999000000053</v>
      </c>
      <c r="R36" s="8">
        <v>53.9</v>
      </c>
      <c r="S36" s="9">
        <v>2</v>
      </c>
      <c r="T36" s="10">
        <f t="shared" ref="T36:T37" si="128">CEILING(Q36/R36/S36,0.5)</f>
        <v>2.5</v>
      </c>
      <c r="U36" s="165">
        <v>947.50248000000192</v>
      </c>
      <c r="V36" s="11">
        <v>190</v>
      </c>
      <c r="W36" s="9">
        <v>2</v>
      </c>
      <c r="X36" s="10">
        <f t="shared" ref="X36:X37" si="129">CEILING(U36/V36/W36,0.5)</f>
        <v>2.5</v>
      </c>
      <c r="Y36" s="165">
        <v>230.00966000000048</v>
      </c>
      <c r="Z36" s="11">
        <v>42</v>
      </c>
      <c r="AA36" s="9">
        <v>2</v>
      </c>
      <c r="AB36" s="12">
        <f t="shared" ref="AB36:AB37" si="130">IF(Y36="","",CEILING(Y36/Z36/AA36,0.5)+1)</f>
        <v>4</v>
      </c>
      <c r="AC36" s="165">
        <v>137.31920000000028</v>
      </c>
      <c r="AD36" s="11">
        <v>40</v>
      </c>
      <c r="AE36" s="9">
        <v>2</v>
      </c>
      <c r="AF36" s="10">
        <f t="shared" ref="AF36:AF37" si="131">CEILING(AC36/AD36/AE36,0.5)</f>
        <v>2</v>
      </c>
      <c r="AG36" s="165">
        <v>61.793640000000131</v>
      </c>
      <c r="AH36" s="11">
        <v>130</v>
      </c>
      <c r="AI36" s="9">
        <v>1</v>
      </c>
      <c r="AJ36" s="12">
        <f t="shared" ref="AJ36:AJ37" si="132">IF(AG36="","",ROUNDUP(AG36/AH36/AI36,0)+1)</f>
        <v>2</v>
      </c>
      <c r="AK36" s="19">
        <f t="shared" ref="AK36:AK37" si="133">IF(E36="보통",2,IF(E36="조강",1,""))</f>
        <v>2</v>
      </c>
      <c r="AL36" s="165">
        <v>195.67986000000036</v>
      </c>
      <c r="AM36" s="11">
        <v>225</v>
      </c>
      <c r="AN36" s="9">
        <v>1</v>
      </c>
      <c r="AO36" s="10">
        <f t="shared" ref="AO36:AO37" si="134">CEILING(AL36/AM36/AN36,0.5)</f>
        <v>1</v>
      </c>
      <c r="AP36" s="18">
        <f t="shared" ref="AP36:AP37" si="135">ROUNDUP(SUM(P36,T36,X36,AB36,AF36,AJ36,AK36,AO36),0)</f>
        <v>19</v>
      </c>
      <c r="AQ36" s="165">
        <v>68.65960000000014</v>
      </c>
      <c r="AR36" s="13">
        <v>40</v>
      </c>
      <c r="AS36" s="9">
        <v>1</v>
      </c>
      <c r="AT36" s="10">
        <f t="shared" ref="AT36:AT37" si="136">CEILING(AQ36/AR36/AS36,0.5)</f>
        <v>2</v>
      </c>
      <c r="AU36" s="165">
        <v>75.525560000000155</v>
      </c>
      <c r="AV36" s="11">
        <v>130</v>
      </c>
      <c r="AW36" s="9">
        <v>1</v>
      </c>
      <c r="AX36" s="12">
        <f t="shared" ref="AX36:AX37" si="137">IF(AU36="","",ROUNDUP(AU36/AV36/AW36,0)+1)</f>
        <v>2</v>
      </c>
      <c r="AY36" s="19">
        <f t="shared" ref="AY36:AY37" si="138">IF(E36="보통",5,IF(E36="조강",2,""))</f>
        <v>5</v>
      </c>
      <c r="AZ36" s="165">
        <v>686.59600000000137</v>
      </c>
      <c r="BA36" s="25">
        <f t="shared" si="6"/>
        <v>220</v>
      </c>
      <c r="BB36" s="9">
        <v>1</v>
      </c>
      <c r="BC36" s="10">
        <f t="shared" ref="BC36:BC37" si="139">CEILING(AZ36/BA36/BB36,0.5)</f>
        <v>3.5</v>
      </c>
      <c r="BD36" s="165">
        <v>258.84669200000053</v>
      </c>
      <c r="BE36" s="13">
        <v>35</v>
      </c>
      <c r="BF36" s="9">
        <v>2</v>
      </c>
      <c r="BG36" s="12">
        <f t="shared" ref="BG36:BG37" si="140">IF(BD36="","",2)</f>
        <v>2</v>
      </c>
      <c r="BH36" s="165">
        <v>43.942144000000091</v>
      </c>
      <c r="BI36" s="14">
        <v>3.4</v>
      </c>
      <c r="BJ36" s="9">
        <v>2</v>
      </c>
      <c r="BK36" s="10">
        <f t="shared" ref="BK36:BK37" si="141">CEILING(BH36/BI36/BJ36,0.5)</f>
        <v>6.5</v>
      </c>
      <c r="BL36" s="165">
        <v>235.50242800000049</v>
      </c>
      <c r="BM36" s="11">
        <v>125</v>
      </c>
      <c r="BN36" s="9">
        <v>1</v>
      </c>
      <c r="BO36" s="12">
        <f t="shared" ref="BO36:BO37" si="142">IF(BL36="","",ROUNDUP(BL36/BM36/BN36,0)+1)</f>
        <v>3</v>
      </c>
      <c r="BP36" s="19">
        <f t="shared" ref="BP36:BP37" si="143">IF(E36="보통",7,IF(E36="조강",3,""))</f>
        <v>7</v>
      </c>
      <c r="BQ36" s="21">
        <f t="shared" ref="BQ36:BQ37" si="144">ROUNDUP(SUM(AT36,AX36,AY36,BC36,BG36,BK36,BO36,BP36),0)</f>
        <v>31</v>
      </c>
      <c r="BR36" s="165">
        <v>84.794606000000172</v>
      </c>
      <c r="BS36" s="11">
        <v>165</v>
      </c>
      <c r="BT36" s="9">
        <v>1</v>
      </c>
      <c r="BU36" s="10">
        <f t="shared" ref="BU36:BU37" si="145">CEILING(BR36/BS36/BT36,0.5)</f>
        <v>1</v>
      </c>
      <c r="BV36" s="165">
        <v>115.00483000000024</v>
      </c>
      <c r="BW36" s="11">
        <v>150</v>
      </c>
      <c r="BX36" s="9">
        <v>2</v>
      </c>
      <c r="BY36" s="10">
        <f t="shared" ref="BY36:BY37" si="146">CEILING(BV36/BW36/BX36,0.5)</f>
        <v>0.5</v>
      </c>
      <c r="BZ36" s="165">
        <v>700.32792000000143</v>
      </c>
      <c r="CA36" s="13">
        <v>320</v>
      </c>
      <c r="CB36" s="9">
        <v>2</v>
      </c>
      <c r="CC36" s="10">
        <f t="shared" ref="CC36:CC37" si="147">CEILING(BZ36/CA36/CB36,0.5)</f>
        <v>1.5</v>
      </c>
      <c r="CD36" s="165">
        <v>2100.9837600000042</v>
      </c>
      <c r="CE36" s="13">
        <v>8000</v>
      </c>
      <c r="CF36" s="9">
        <v>1</v>
      </c>
      <c r="CG36" s="10">
        <f t="shared" ref="CG36:CG37" si="148">CEILING(CD36/CE36/CF36,0.5)</f>
        <v>0.5</v>
      </c>
      <c r="CH36" s="165">
        <v>1400.6558400000029</v>
      </c>
      <c r="CI36" s="13">
        <v>300</v>
      </c>
      <c r="CJ36" s="9">
        <v>2</v>
      </c>
      <c r="CK36" s="10">
        <f t="shared" ref="CK36:CK37" si="149">CEILING(CH36/CI36/CJ36,0.5)</f>
        <v>2.5</v>
      </c>
      <c r="CL36" s="41">
        <f t="shared" ref="CL36:CL37" si="150">I36</f>
        <v>171.64900000000034</v>
      </c>
      <c r="CM36" s="15">
        <v>50</v>
      </c>
      <c r="CN36" s="9">
        <v>1</v>
      </c>
      <c r="CO36" s="10">
        <f t="shared" ref="CO36:CO37" si="151">CEILING(CL36/CM36/CN36,0.5)</f>
        <v>3.5</v>
      </c>
      <c r="CP36" s="20">
        <f t="shared" ref="CP36:CP37" si="152">ROUNDUP(SUM(BU36,BY36,CC36,CG36,CK36,CO36),0)</f>
        <v>10</v>
      </c>
      <c r="CQ36" s="5">
        <f t="shared" ref="CQ36:CQ37" si="153">AP36</f>
        <v>19</v>
      </c>
      <c r="CR36" s="5">
        <f t="shared" ref="CR36:CR37" si="154">BQ36</f>
        <v>31</v>
      </c>
      <c r="CS36" s="5">
        <f t="shared" ref="CS36:CS37" si="155">CP36</f>
        <v>10</v>
      </c>
      <c r="CT36" s="5">
        <f t="shared" ref="CT36:CT37" si="156">SUM(CQ36:CS36)</f>
        <v>60</v>
      </c>
      <c r="CW36" s="6">
        <f>CW35*18.4</f>
        <v>156.39999999999998</v>
      </c>
      <c r="CY36" s="46"/>
      <c r="DF36" s="46"/>
    </row>
    <row r="37" spans="2:110" s="6" customFormat="1" ht="17.25" customHeight="1" thickBot="1">
      <c r="B37" s="71">
        <v>24</v>
      </c>
      <c r="C37" s="70" t="s">
        <v>109</v>
      </c>
      <c r="D37" s="71"/>
      <c r="E37" s="71" t="s">
        <v>18</v>
      </c>
      <c r="F37" s="270">
        <v>150</v>
      </c>
      <c r="G37" s="161">
        <v>5824.8829999999998</v>
      </c>
      <c r="H37" s="161">
        <v>6171.3249999999998</v>
      </c>
      <c r="I37" s="105">
        <f t="shared" si="127"/>
        <v>346.44200000000001</v>
      </c>
      <c r="J37" s="105">
        <f>J36+I37</f>
        <v>1162.375</v>
      </c>
      <c r="K37" s="127" t="s">
        <v>110</v>
      </c>
      <c r="L37" s="393"/>
      <c r="M37" s="396"/>
      <c r="N37" s="397"/>
      <c r="O37" s="383"/>
      <c r="P37" s="66">
        <v>3</v>
      </c>
      <c r="Q37" s="167">
        <v>623.70422000000042</v>
      </c>
      <c r="R37" s="65">
        <v>53.9</v>
      </c>
      <c r="S37" s="109">
        <v>2</v>
      </c>
      <c r="T37" s="110">
        <f t="shared" si="128"/>
        <v>6</v>
      </c>
      <c r="U37" s="167">
        <v>2211.1863400000011</v>
      </c>
      <c r="V37" s="68">
        <v>190</v>
      </c>
      <c r="W37" s="109">
        <v>2</v>
      </c>
      <c r="X37" s="110">
        <f t="shared" si="129"/>
        <v>6</v>
      </c>
      <c r="Y37" s="167">
        <v>464.23228000000006</v>
      </c>
      <c r="Z37" s="68">
        <v>42</v>
      </c>
      <c r="AA37" s="109">
        <v>2</v>
      </c>
      <c r="AB37" s="67">
        <f t="shared" si="130"/>
        <v>7</v>
      </c>
      <c r="AC37" s="167">
        <v>277.15359999999998</v>
      </c>
      <c r="AD37" s="68">
        <v>40</v>
      </c>
      <c r="AE37" s="109">
        <v>2</v>
      </c>
      <c r="AF37" s="110">
        <f t="shared" si="131"/>
        <v>3.5</v>
      </c>
      <c r="AG37" s="167">
        <v>124.71912</v>
      </c>
      <c r="AH37" s="68">
        <v>130</v>
      </c>
      <c r="AI37" s="109">
        <v>1</v>
      </c>
      <c r="AJ37" s="67">
        <f t="shared" si="132"/>
        <v>2</v>
      </c>
      <c r="AK37" s="66">
        <f t="shared" si="133"/>
        <v>2</v>
      </c>
      <c r="AL37" s="167">
        <v>465.10828000000038</v>
      </c>
      <c r="AM37" s="68">
        <v>225</v>
      </c>
      <c r="AN37" s="109">
        <v>1</v>
      </c>
      <c r="AO37" s="110">
        <f t="shared" si="134"/>
        <v>2.5</v>
      </c>
      <c r="AP37" s="64">
        <f t="shared" si="135"/>
        <v>32</v>
      </c>
      <c r="AQ37" s="167">
        <v>138.57679999999999</v>
      </c>
      <c r="AR37" s="63">
        <v>40</v>
      </c>
      <c r="AS37" s="109">
        <v>1</v>
      </c>
      <c r="AT37" s="110">
        <f t="shared" si="136"/>
        <v>3.5</v>
      </c>
      <c r="AU37" s="167">
        <v>152.43448000000001</v>
      </c>
      <c r="AV37" s="68">
        <v>130</v>
      </c>
      <c r="AW37" s="109">
        <v>1</v>
      </c>
      <c r="AX37" s="67">
        <f t="shared" si="137"/>
        <v>3</v>
      </c>
      <c r="AY37" s="66">
        <f t="shared" si="138"/>
        <v>5</v>
      </c>
      <c r="AZ37" s="167">
        <v>1385.768</v>
      </c>
      <c r="BA37" s="62">
        <f t="shared" si="6"/>
        <v>220</v>
      </c>
      <c r="BB37" s="109">
        <v>1</v>
      </c>
      <c r="BC37" s="110">
        <f t="shared" si="139"/>
        <v>6.5</v>
      </c>
      <c r="BD37" s="167">
        <v>522.43453599999998</v>
      </c>
      <c r="BE37" s="63">
        <v>35</v>
      </c>
      <c r="BF37" s="109">
        <v>2</v>
      </c>
      <c r="BG37" s="67">
        <f t="shared" si="140"/>
        <v>2</v>
      </c>
      <c r="BH37" s="167">
        <v>88.689152000000007</v>
      </c>
      <c r="BI37" s="61">
        <v>3.4</v>
      </c>
      <c r="BJ37" s="109">
        <v>2</v>
      </c>
      <c r="BK37" s="110">
        <f t="shared" si="141"/>
        <v>13.5</v>
      </c>
      <c r="BL37" s="167">
        <v>475.31842400000005</v>
      </c>
      <c r="BM37" s="68">
        <v>125</v>
      </c>
      <c r="BN37" s="109">
        <v>1</v>
      </c>
      <c r="BO37" s="67">
        <f t="shared" si="142"/>
        <v>5</v>
      </c>
      <c r="BP37" s="66">
        <f t="shared" si="143"/>
        <v>7</v>
      </c>
      <c r="BQ37" s="106">
        <f t="shared" si="144"/>
        <v>46</v>
      </c>
      <c r="BR37" s="167">
        <v>217.16470800000022</v>
      </c>
      <c r="BS37" s="68">
        <v>165</v>
      </c>
      <c r="BT37" s="109">
        <v>1</v>
      </c>
      <c r="BU37" s="110">
        <f t="shared" si="145"/>
        <v>1.5</v>
      </c>
      <c r="BV37" s="167">
        <v>291.75588000000033</v>
      </c>
      <c r="BW37" s="68">
        <v>150</v>
      </c>
      <c r="BX37" s="109">
        <v>2</v>
      </c>
      <c r="BY37" s="110">
        <f t="shared" si="146"/>
        <v>1</v>
      </c>
      <c r="BZ37" s="167">
        <v>1764.3053600000019</v>
      </c>
      <c r="CA37" s="63">
        <v>320</v>
      </c>
      <c r="CB37" s="109">
        <v>2</v>
      </c>
      <c r="CC37" s="110">
        <f t="shared" si="147"/>
        <v>3</v>
      </c>
      <c r="CD37" s="167">
        <v>5292.9160800000063</v>
      </c>
      <c r="CE37" s="63">
        <v>8000</v>
      </c>
      <c r="CF37" s="109">
        <v>1</v>
      </c>
      <c r="CG37" s="110">
        <f t="shared" si="148"/>
        <v>1</v>
      </c>
      <c r="CH37" s="167">
        <v>3528.6107200000038</v>
      </c>
      <c r="CI37" s="63">
        <v>300</v>
      </c>
      <c r="CJ37" s="109">
        <v>2</v>
      </c>
      <c r="CK37" s="110">
        <f t="shared" si="149"/>
        <v>6</v>
      </c>
      <c r="CL37" s="60">
        <f t="shared" si="150"/>
        <v>346.44200000000001</v>
      </c>
      <c r="CM37" s="69">
        <v>50</v>
      </c>
      <c r="CN37" s="109">
        <v>1</v>
      </c>
      <c r="CO37" s="110">
        <f t="shared" si="151"/>
        <v>7</v>
      </c>
      <c r="CP37" s="58">
        <f t="shared" si="152"/>
        <v>20</v>
      </c>
      <c r="CQ37" s="57">
        <f t="shared" si="153"/>
        <v>32</v>
      </c>
      <c r="CR37" s="220">
        <f t="shared" si="154"/>
        <v>46</v>
      </c>
      <c r="CS37" s="220">
        <f t="shared" si="155"/>
        <v>20</v>
      </c>
      <c r="CT37" s="57">
        <f t="shared" si="156"/>
        <v>98</v>
      </c>
      <c r="CY37" s="46"/>
      <c r="DF37" s="46"/>
    </row>
    <row r="38" spans="2:110" s="169" customFormat="1" ht="17.25" customHeight="1">
      <c r="B38" s="400" t="s">
        <v>113</v>
      </c>
      <c r="C38" s="401"/>
      <c r="D38" s="401"/>
      <c r="E38" s="202" t="s">
        <v>112</v>
      </c>
      <c r="F38" s="207">
        <v>38</v>
      </c>
      <c r="G38" s="208"/>
      <c r="H38" s="208"/>
      <c r="I38" s="203"/>
      <c r="J38" s="203"/>
      <c r="K38" s="211"/>
      <c r="L38" s="211"/>
      <c r="M38" s="211"/>
      <c r="N38" s="212"/>
      <c r="O38" s="221"/>
      <c r="P38" s="193"/>
      <c r="Q38" s="196"/>
      <c r="R38" s="206"/>
      <c r="S38" s="198"/>
      <c r="T38" s="194"/>
      <c r="U38" s="196"/>
      <c r="V38" s="192"/>
      <c r="W38" s="198"/>
      <c r="X38" s="194"/>
      <c r="Y38" s="196"/>
      <c r="Z38" s="196"/>
      <c r="AA38" s="196"/>
      <c r="AB38" s="196"/>
      <c r="AC38" s="197"/>
      <c r="AD38" s="200"/>
      <c r="AE38" s="198"/>
      <c r="AF38" s="194"/>
      <c r="AG38" s="196"/>
      <c r="AH38" s="192"/>
      <c r="AI38" s="198"/>
      <c r="AJ38" s="201"/>
      <c r="AK38" s="193"/>
      <c r="AL38" s="196"/>
      <c r="AM38" s="192"/>
      <c r="AN38" s="198"/>
      <c r="AO38" s="194"/>
      <c r="AP38" s="191"/>
      <c r="AQ38" s="196"/>
      <c r="AR38" s="210"/>
      <c r="AS38" s="198"/>
      <c r="AT38" s="194"/>
      <c r="AU38" s="196"/>
      <c r="AV38" s="192"/>
      <c r="AW38" s="198"/>
      <c r="AX38" s="201"/>
      <c r="AY38" s="193"/>
      <c r="AZ38" s="197"/>
      <c r="BA38" s="200"/>
      <c r="BB38" s="198"/>
      <c r="BC38" s="194"/>
      <c r="BD38" s="197"/>
      <c r="BE38" s="210"/>
      <c r="BF38" s="198"/>
      <c r="BG38" s="201"/>
      <c r="BH38" s="197"/>
      <c r="BI38" s="189"/>
      <c r="BJ38" s="198"/>
      <c r="BK38" s="194"/>
      <c r="BL38" s="197"/>
      <c r="BM38" s="192"/>
      <c r="BN38" s="198"/>
      <c r="BO38" s="201"/>
      <c r="BP38" s="193"/>
      <c r="BQ38" s="191"/>
      <c r="BR38" s="196"/>
      <c r="BS38" s="192"/>
      <c r="BT38" s="198"/>
      <c r="BU38" s="194"/>
      <c r="BV38" s="197"/>
      <c r="BW38" s="192"/>
      <c r="BX38" s="198"/>
      <c r="BY38" s="194"/>
      <c r="BZ38" s="197"/>
      <c r="CA38" s="210"/>
      <c r="CB38" s="198"/>
      <c r="CC38" s="194"/>
      <c r="CD38" s="197"/>
      <c r="CE38" s="210"/>
      <c r="CF38" s="198"/>
      <c r="CG38" s="194"/>
      <c r="CH38" s="197"/>
      <c r="CI38" s="210"/>
      <c r="CJ38" s="198"/>
      <c r="CK38" s="194"/>
      <c r="CL38" s="205"/>
      <c r="CM38" s="209"/>
      <c r="CN38" s="198"/>
      <c r="CO38" s="194"/>
      <c r="CP38" s="204"/>
      <c r="CQ38" s="204"/>
      <c r="CR38" s="204"/>
      <c r="CS38" s="204"/>
      <c r="CT38" s="195"/>
      <c r="CY38" s="188"/>
      <c r="DF38" s="188"/>
    </row>
    <row r="39" spans="2:110" s="6" customFormat="1" ht="17.25" customHeight="1">
      <c r="B39" s="152">
        <v>25</v>
      </c>
      <c r="C39" s="225" t="s">
        <v>115</v>
      </c>
      <c r="D39" s="152"/>
      <c r="E39" s="152" t="s">
        <v>18</v>
      </c>
      <c r="F39" s="271">
        <v>255</v>
      </c>
      <c r="G39" s="224">
        <v>6223.9470000000001</v>
      </c>
      <c r="H39" s="224">
        <v>6431.2849999999999</v>
      </c>
      <c r="I39" s="82">
        <f t="shared" ref="I39:I41" si="157">H39-G39</f>
        <v>207.33799999999974</v>
      </c>
      <c r="J39" s="82">
        <f>I39</f>
        <v>207.33799999999974</v>
      </c>
      <c r="K39" s="148" t="s">
        <v>117</v>
      </c>
      <c r="L39" s="335" t="s">
        <v>124</v>
      </c>
      <c r="M39" s="338">
        <f>SUM(I39:I42)</f>
        <v>924.91799999999967</v>
      </c>
      <c r="N39" s="341">
        <f>SUM(CQ39:CQ42,CR40:CS40)/18.4</f>
        <v>8.5869565217391308</v>
      </c>
      <c r="O39" s="344">
        <v>24</v>
      </c>
      <c r="P39" s="19">
        <v>3</v>
      </c>
      <c r="Q39" s="199">
        <v>313.08037999999959</v>
      </c>
      <c r="R39" s="8">
        <v>53.9</v>
      </c>
      <c r="S39" s="9">
        <v>2</v>
      </c>
      <c r="T39" s="10">
        <f t="shared" ref="T39:T41" si="158">CEILING(Q39/R39/S39,0.5)</f>
        <v>3</v>
      </c>
      <c r="U39" s="199">
        <v>1144.5057599999986</v>
      </c>
      <c r="V39" s="11">
        <v>190</v>
      </c>
      <c r="W39" s="9">
        <v>2</v>
      </c>
      <c r="X39" s="10">
        <f t="shared" ref="X39:X41" si="159">CEILING(U39/V39/W39,0.5)</f>
        <v>3.5</v>
      </c>
      <c r="Y39" s="199">
        <v>277.83291999999966</v>
      </c>
      <c r="Z39" s="11">
        <v>42</v>
      </c>
      <c r="AA39" s="9">
        <v>2</v>
      </c>
      <c r="AB39" s="12">
        <f t="shared" ref="AB39:AB41" si="160">IF(Y39="","",CEILING(Y39/Z39/AA39,0.5)+1)</f>
        <v>4.5</v>
      </c>
      <c r="AC39" s="199">
        <v>165.87039999999979</v>
      </c>
      <c r="AD39" s="11">
        <v>40</v>
      </c>
      <c r="AE39" s="9">
        <v>2</v>
      </c>
      <c r="AF39" s="10">
        <f t="shared" ref="AF39:AF41" si="161">CEILING(AC39/AD39/AE39,0.5)</f>
        <v>2.5</v>
      </c>
      <c r="AG39" s="199">
        <v>74.641679999999909</v>
      </c>
      <c r="AH39" s="11">
        <v>130</v>
      </c>
      <c r="AI39" s="9">
        <v>1</v>
      </c>
      <c r="AJ39" s="12">
        <f t="shared" ref="AJ39:AJ41" si="162">IF(AG39="","",ROUNDUP(AG39/AH39/AI39,0)+1)</f>
        <v>2</v>
      </c>
      <c r="AK39" s="19">
        <f t="shared" ref="AK39:AK41" si="163">IF(E39="보통",2,IF(E39="조강",1,""))</f>
        <v>2</v>
      </c>
      <c r="AL39" s="199">
        <v>236.36531999999968</v>
      </c>
      <c r="AM39" s="11">
        <v>225</v>
      </c>
      <c r="AN39" s="9">
        <v>1</v>
      </c>
      <c r="AO39" s="10">
        <f t="shared" ref="AO39:AO41" si="164">CEILING(AL39/AM39/AN39,0.5)</f>
        <v>1.5</v>
      </c>
      <c r="AP39" s="18">
        <f t="shared" ref="AP39:AP41" si="165">ROUNDUP(SUM(P39,T39,X39,AB39,AF39,AJ39,AK39,AO39),0)</f>
        <v>22</v>
      </c>
      <c r="AQ39" s="199">
        <v>82.935199999999895</v>
      </c>
      <c r="AR39" s="13">
        <v>40</v>
      </c>
      <c r="AS39" s="9">
        <v>1</v>
      </c>
      <c r="AT39" s="10">
        <f t="shared" ref="AT39:AT41" si="166">CEILING(AQ39/AR39/AS39,0.5)</f>
        <v>2.5</v>
      </c>
      <c r="AU39" s="199">
        <v>91.228719999999896</v>
      </c>
      <c r="AV39" s="11">
        <v>130</v>
      </c>
      <c r="AW39" s="9">
        <v>1</v>
      </c>
      <c r="AX39" s="12">
        <f t="shared" ref="AX39:AX41" si="167">IF(AU39="","",ROUNDUP(AU39/AV39/AW39,0)+1)</f>
        <v>2</v>
      </c>
      <c r="AY39" s="19">
        <f t="shared" ref="AY39:AY41" si="168">IF(E39="보통",5,IF(E39="조강",2,""))</f>
        <v>5</v>
      </c>
      <c r="AZ39" s="199">
        <v>829.35199999999895</v>
      </c>
      <c r="BA39" s="25">
        <f t="shared" si="6"/>
        <v>220</v>
      </c>
      <c r="BB39" s="9">
        <v>1</v>
      </c>
      <c r="BC39" s="10">
        <f t="shared" ref="BC39:BC41" si="169">CEILING(AZ39/BA39/BB39,0.5)</f>
        <v>4</v>
      </c>
      <c r="BD39" s="199">
        <v>312.66570399999961</v>
      </c>
      <c r="BE39" s="13">
        <v>35</v>
      </c>
      <c r="BF39" s="9">
        <v>2</v>
      </c>
      <c r="BG39" s="12">
        <f t="shared" ref="BG39:BG41" si="170">IF(BD39="","",2)</f>
        <v>2</v>
      </c>
      <c r="BH39" s="199">
        <v>53.078527999999935</v>
      </c>
      <c r="BI39" s="14">
        <v>3.4</v>
      </c>
      <c r="BJ39" s="9">
        <v>2</v>
      </c>
      <c r="BK39" s="10">
        <f t="shared" ref="BK39:BK41" si="171">CEILING(BH39/BI39/BJ39,0.5)</f>
        <v>8</v>
      </c>
      <c r="BL39" s="199">
        <v>284.46773599999966</v>
      </c>
      <c r="BM39" s="11">
        <v>125</v>
      </c>
      <c r="BN39" s="9">
        <v>1</v>
      </c>
      <c r="BO39" s="12">
        <f t="shared" ref="BO39:BO41" si="172">IF(BL39="","",ROUNDUP(BL39/BM39/BN39,0)+1)</f>
        <v>4</v>
      </c>
      <c r="BP39" s="19">
        <f t="shared" ref="BP39:BP41" si="173">IF(E39="보통",7,IF(E39="조강",3,""))</f>
        <v>7</v>
      </c>
      <c r="BQ39" s="21">
        <f t="shared" ref="BQ39:BQ41" si="174">ROUNDUP(SUM(AT39,AX39,AY39,BC39,BG39,BK39,BO39,BP39),0)</f>
        <v>35</v>
      </c>
      <c r="BR39" s="199">
        <v>102.42497199999987</v>
      </c>
      <c r="BS39" s="11">
        <v>165</v>
      </c>
      <c r="BT39" s="9">
        <v>1</v>
      </c>
      <c r="BU39" s="10">
        <f t="shared" ref="BU39:BU41" si="175">CEILING(BR39/BS39/BT39,0.5)</f>
        <v>1</v>
      </c>
      <c r="BV39" s="199">
        <v>138.91645999999983</v>
      </c>
      <c r="BW39" s="11">
        <v>150</v>
      </c>
      <c r="BX39" s="9">
        <v>2</v>
      </c>
      <c r="BY39" s="10">
        <f t="shared" ref="BY39:BY41" si="176">CEILING(BV39/BW39/BX39,0.5)</f>
        <v>0.5</v>
      </c>
      <c r="BZ39" s="199">
        <v>845.93903999999895</v>
      </c>
      <c r="CA39" s="13">
        <v>320</v>
      </c>
      <c r="CB39" s="9">
        <v>2</v>
      </c>
      <c r="CC39" s="10">
        <f t="shared" ref="CC39:CC41" si="177">CEILING(BZ39/CA39/CB39,0.5)</f>
        <v>1.5</v>
      </c>
      <c r="CD39" s="199">
        <v>2537.817119999997</v>
      </c>
      <c r="CE39" s="13">
        <v>8000</v>
      </c>
      <c r="CF39" s="9">
        <v>1</v>
      </c>
      <c r="CG39" s="10">
        <f t="shared" ref="CG39:CG41" si="178">CEILING(CD39/CE39/CF39,0.5)</f>
        <v>0.5</v>
      </c>
      <c r="CH39" s="199">
        <v>1691.8780799999979</v>
      </c>
      <c r="CI39" s="13">
        <v>300</v>
      </c>
      <c r="CJ39" s="9">
        <v>2</v>
      </c>
      <c r="CK39" s="10">
        <f t="shared" ref="CK39:CK41" si="179">CEILING(CH39/CI39/CJ39,0.5)</f>
        <v>3</v>
      </c>
      <c r="CL39" s="41">
        <f t="shared" ref="CL39:CL41" si="180">I39</f>
        <v>207.33799999999974</v>
      </c>
      <c r="CM39" s="15">
        <v>50</v>
      </c>
      <c r="CN39" s="9">
        <v>1</v>
      </c>
      <c r="CO39" s="10">
        <f t="shared" ref="CO39:CO41" si="181">CEILING(CL39/CM39/CN39,0.5)</f>
        <v>4.5</v>
      </c>
      <c r="CP39" s="20">
        <f t="shared" ref="CP39:CP41" si="182">ROUNDUP(SUM(BU39,BY39,CC39,CG39,CK39,CO39),0)</f>
        <v>11</v>
      </c>
      <c r="CQ39" s="5">
        <f t="shared" ref="CQ39:CQ41" si="183">AP39</f>
        <v>22</v>
      </c>
      <c r="CR39" s="5">
        <f t="shared" ref="CR39:CR41" si="184">BQ39</f>
        <v>35</v>
      </c>
      <c r="CS39" s="5">
        <f t="shared" ref="CS39:CS41" si="185">CP39</f>
        <v>11</v>
      </c>
      <c r="CT39" s="5">
        <f t="shared" ref="CT39:CT41" si="186">SUM(CQ39:CS39)</f>
        <v>68</v>
      </c>
      <c r="CY39" s="46"/>
      <c r="DF39" s="46"/>
    </row>
    <row r="40" spans="2:110" s="6" customFormat="1" ht="17.25" customHeight="1">
      <c r="B40" s="152">
        <v>27</v>
      </c>
      <c r="C40" s="225" t="s">
        <v>121</v>
      </c>
      <c r="D40" s="152"/>
      <c r="E40" s="152" t="s">
        <v>18</v>
      </c>
      <c r="F40" s="271">
        <v>62</v>
      </c>
      <c r="G40" s="224">
        <v>6735.63</v>
      </c>
      <c r="H40" s="224">
        <v>7036.4560000000001</v>
      </c>
      <c r="I40" s="82">
        <f t="shared" si="157"/>
        <v>300.82600000000002</v>
      </c>
      <c r="J40" s="82">
        <f>J39+I40</f>
        <v>508.16399999999976</v>
      </c>
      <c r="K40" s="148" t="s">
        <v>102</v>
      </c>
      <c r="L40" s="335"/>
      <c r="M40" s="338"/>
      <c r="N40" s="341"/>
      <c r="O40" s="344"/>
      <c r="P40" s="19">
        <v>3</v>
      </c>
      <c r="Q40" s="33">
        <v>542.48605999999995</v>
      </c>
      <c r="R40" s="8">
        <v>53.9</v>
      </c>
      <c r="S40" s="9">
        <v>2</v>
      </c>
      <c r="T40" s="10">
        <f t="shared" si="158"/>
        <v>5.5</v>
      </c>
      <c r="U40" s="33">
        <v>1988.6587199999994</v>
      </c>
      <c r="V40" s="11">
        <v>190</v>
      </c>
      <c r="W40" s="9">
        <v>2</v>
      </c>
      <c r="X40" s="10">
        <f t="shared" si="159"/>
        <v>5.5</v>
      </c>
      <c r="Y40" s="33">
        <v>486.37443999999982</v>
      </c>
      <c r="Z40" s="11">
        <v>42</v>
      </c>
      <c r="AA40" s="9">
        <v>2</v>
      </c>
      <c r="AB40" s="12">
        <f t="shared" si="160"/>
        <v>7</v>
      </c>
      <c r="AC40" s="33">
        <v>240.66080000000005</v>
      </c>
      <c r="AD40" s="11">
        <v>40</v>
      </c>
      <c r="AE40" s="9">
        <v>2</v>
      </c>
      <c r="AF40" s="10">
        <f t="shared" si="161"/>
        <v>3.5</v>
      </c>
      <c r="AG40" s="33">
        <v>130.66775999999999</v>
      </c>
      <c r="AH40" s="11">
        <v>130</v>
      </c>
      <c r="AI40" s="9">
        <v>1</v>
      </c>
      <c r="AJ40" s="12">
        <f t="shared" si="162"/>
        <v>3</v>
      </c>
      <c r="AK40" s="19">
        <f t="shared" si="163"/>
        <v>2</v>
      </c>
      <c r="AL40" s="33">
        <v>412.53843999999987</v>
      </c>
      <c r="AM40" s="11">
        <v>225</v>
      </c>
      <c r="AN40" s="9">
        <v>1</v>
      </c>
      <c r="AO40" s="10">
        <f t="shared" si="164"/>
        <v>2</v>
      </c>
      <c r="AP40" s="18">
        <f t="shared" si="165"/>
        <v>32</v>
      </c>
      <c r="AQ40" s="33">
        <v>120.33040000000003</v>
      </c>
      <c r="AR40" s="13">
        <v>40</v>
      </c>
      <c r="AS40" s="9">
        <v>1</v>
      </c>
      <c r="AT40" s="10">
        <f t="shared" si="166"/>
        <v>3.5</v>
      </c>
      <c r="AU40" s="33">
        <v>132.36344000000003</v>
      </c>
      <c r="AV40" s="11">
        <v>130</v>
      </c>
      <c r="AW40" s="9">
        <v>1</v>
      </c>
      <c r="AX40" s="12">
        <f t="shared" si="167"/>
        <v>3</v>
      </c>
      <c r="AY40" s="19">
        <f t="shared" si="168"/>
        <v>5</v>
      </c>
      <c r="AZ40" s="33">
        <v>1203.3040000000001</v>
      </c>
      <c r="BA40" s="25">
        <f t="shared" si="6"/>
        <v>220</v>
      </c>
      <c r="BB40" s="9">
        <v>1</v>
      </c>
      <c r="BC40" s="10">
        <f t="shared" si="169"/>
        <v>5.5</v>
      </c>
      <c r="BD40" s="33">
        <v>453.64560800000004</v>
      </c>
      <c r="BE40" s="13">
        <v>35</v>
      </c>
      <c r="BF40" s="9">
        <v>2</v>
      </c>
      <c r="BG40" s="12">
        <f t="shared" si="170"/>
        <v>2</v>
      </c>
      <c r="BH40" s="33">
        <v>77.01145600000001</v>
      </c>
      <c r="BI40" s="14">
        <v>3.4</v>
      </c>
      <c r="BJ40" s="9">
        <v>2</v>
      </c>
      <c r="BK40" s="10">
        <f t="shared" si="171"/>
        <v>11.5</v>
      </c>
      <c r="BL40" s="33">
        <v>412.73327200000006</v>
      </c>
      <c r="BM40" s="11">
        <v>125</v>
      </c>
      <c r="BN40" s="9">
        <v>1</v>
      </c>
      <c r="BO40" s="12">
        <f t="shared" si="172"/>
        <v>5</v>
      </c>
      <c r="BP40" s="19">
        <f t="shared" si="173"/>
        <v>7</v>
      </c>
      <c r="BQ40" s="21">
        <f t="shared" si="174"/>
        <v>43</v>
      </c>
      <c r="BR40" s="33">
        <v>170.85416399999994</v>
      </c>
      <c r="BS40" s="11">
        <v>165</v>
      </c>
      <c r="BT40" s="9">
        <v>1</v>
      </c>
      <c r="BU40" s="10">
        <f t="shared" si="175"/>
        <v>1.5</v>
      </c>
      <c r="BV40" s="33">
        <v>237.47033999999994</v>
      </c>
      <c r="BW40" s="11">
        <v>150</v>
      </c>
      <c r="BX40" s="9">
        <v>2</v>
      </c>
      <c r="BY40" s="10">
        <f t="shared" si="176"/>
        <v>1</v>
      </c>
      <c r="BZ40" s="33">
        <v>1446.1028799999997</v>
      </c>
      <c r="CA40" s="13">
        <v>320</v>
      </c>
      <c r="CB40" s="9">
        <v>2</v>
      </c>
      <c r="CC40" s="10">
        <f t="shared" si="177"/>
        <v>2.5</v>
      </c>
      <c r="CD40" s="33">
        <v>4338.3086399999984</v>
      </c>
      <c r="CE40" s="13">
        <v>8000</v>
      </c>
      <c r="CF40" s="9">
        <v>1</v>
      </c>
      <c r="CG40" s="10">
        <f t="shared" si="178"/>
        <v>1</v>
      </c>
      <c r="CH40" s="33">
        <v>2892.2057599999994</v>
      </c>
      <c r="CI40" s="13">
        <v>300</v>
      </c>
      <c r="CJ40" s="9">
        <v>2</v>
      </c>
      <c r="CK40" s="10">
        <f t="shared" si="179"/>
        <v>5</v>
      </c>
      <c r="CL40" s="41">
        <f t="shared" si="180"/>
        <v>300.82600000000002</v>
      </c>
      <c r="CM40" s="15">
        <v>50</v>
      </c>
      <c r="CN40" s="9">
        <v>1</v>
      </c>
      <c r="CO40" s="10">
        <f t="shared" si="181"/>
        <v>6.5</v>
      </c>
      <c r="CP40" s="20">
        <f t="shared" si="182"/>
        <v>18</v>
      </c>
      <c r="CQ40" s="5">
        <f t="shared" si="183"/>
        <v>32</v>
      </c>
      <c r="CR40" s="218">
        <f t="shared" si="184"/>
        <v>43</v>
      </c>
      <c r="CS40" s="218">
        <f t="shared" si="185"/>
        <v>18</v>
      </c>
      <c r="CT40" s="5">
        <f t="shared" si="186"/>
        <v>93</v>
      </c>
      <c r="CY40" s="46"/>
      <c r="DF40" s="46"/>
    </row>
    <row r="41" spans="2:110" s="6" customFormat="1" ht="18" customHeight="1">
      <c r="B41" s="229">
        <v>28</v>
      </c>
      <c r="C41" s="246" t="s">
        <v>123</v>
      </c>
      <c r="D41" s="229" t="s">
        <v>116</v>
      </c>
      <c r="E41" s="229" t="s">
        <v>18</v>
      </c>
      <c r="F41" s="244" t="s">
        <v>167</v>
      </c>
      <c r="G41" s="282">
        <v>7084.4110000000001</v>
      </c>
      <c r="H41" s="282">
        <v>7330.91</v>
      </c>
      <c r="I41" s="82">
        <f t="shared" si="157"/>
        <v>246.4989999999998</v>
      </c>
      <c r="J41" s="82">
        <f t="shared" ref="J41:J42" si="187">J40+I41</f>
        <v>754.66299999999956</v>
      </c>
      <c r="K41" s="213" t="s">
        <v>102</v>
      </c>
      <c r="L41" s="358"/>
      <c r="M41" s="359"/>
      <c r="N41" s="360"/>
      <c r="O41" s="361"/>
      <c r="P41" s="19">
        <v>3</v>
      </c>
      <c r="Q41" s="281">
        <v>372.21348999999969</v>
      </c>
      <c r="R41" s="8">
        <v>53.9</v>
      </c>
      <c r="S41" s="9">
        <v>2</v>
      </c>
      <c r="T41" s="10">
        <f t="shared" si="158"/>
        <v>3.5</v>
      </c>
      <c r="U41" s="281">
        <v>1360.6744799999988</v>
      </c>
      <c r="V41" s="11">
        <v>190</v>
      </c>
      <c r="W41" s="9">
        <v>2</v>
      </c>
      <c r="X41" s="10">
        <f t="shared" si="159"/>
        <v>4</v>
      </c>
      <c r="Y41" s="281">
        <v>330.30865999999975</v>
      </c>
      <c r="Z41" s="11">
        <v>42</v>
      </c>
      <c r="AA41" s="9">
        <v>2</v>
      </c>
      <c r="AB41" s="12">
        <f t="shared" si="160"/>
        <v>5</v>
      </c>
      <c r="AC41" s="281">
        <v>197.19919999999985</v>
      </c>
      <c r="AD41" s="11">
        <v>40</v>
      </c>
      <c r="AE41" s="9">
        <v>2</v>
      </c>
      <c r="AF41" s="10">
        <f t="shared" si="161"/>
        <v>2.5</v>
      </c>
      <c r="AG41" s="281">
        <v>88.739639999999937</v>
      </c>
      <c r="AH41" s="11">
        <v>130</v>
      </c>
      <c r="AI41" s="9">
        <v>1</v>
      </c>
      <c r="AJ41" s="12">
        <f t="shared" si="162"/>
        <v>2</v>
      </c>
      <c r="AK41" s="19">
        <f t="shared" si="163"/>
        <v>2</v>
      </c>
      <c r="AL41" s="281">
        <v>281.00885999999974</v>
      </c>
      <c r="AM41" s="11">
        <v>225</v>
      </c>
      <c r="AN41" s="9">
        <v>1</v>
      </c>
      <c r="AO41" s="10">
        <f t="shared" si="164"/>
        <v>1.5</v>
      </c>
      <c r="AP41" s="18">
        <f t="shared" si="165"/>
        <v>24</v>
      </c>
      <c r="AQ41" s="281">
        <v>98.599599999999924</v>
      </c>
      <c r="AR41" s="13">
        <v>40</v>
      </c>
      <c r="AS41" s="9">
        <v>1</v>
      </c>
      <c r="AT41" s="10">
        <f t="shared" si="166"/>
        <v>2.5</v>
      </c>
      <c r="AU41" s="281">
        <v>108.45955999999993</v>
      </c>
      <c r="AV41" s="11">
        <v>130</v>
      </c>
      <c r="AW41" s="9">
        <v>1</v>
      </c>
      <c r="AX41" s="12">
        <f t="shared" si="167"/>
        <v>2</v>
      </c>
      <c r="AY41" s="19">
        <f t="shared" si="168"/>
        <v>5</v>
      </c>
      <c r="AZ41" s="281">
        <v>985.99599999999919</v>
      </c>
      <c r="BA41" s="25">
        <f t="shared" si="6"/>
        <v>220</v>
      </c>
      <c r="BB41" s="9">
        <v>1</v>
      </c>
      <c r="BC41" s="10">
        <f t="shared" si="169"/>
        <v>4.5</v>
      </c>
      <c r="BD41" s="281">
        <v>371.72049199999969</v>
      </c>
      <c r="BE41" s="13">
        <v>35</v>
      </c>
      <c r="BF41" s="9">
        <v>2</v>
      </c>
      <c r="BG41" s="12">
        <f t="shared" si="170"/>
        <v>2</v>
      </c>
      <c r="BH41" s="281">
        <v>63.103743999999949</v>
      </c>
      <c r="BI41" s="14">
        <v>3.4</v>
      </c>
      <c r="BJ41" s="9">
        <v>2</v>
      </c>
      <c r="BK41" s="10">
        <f t="shared" si="171"/>
        <v>9.5</v>
      </c>
      <c r="BL41" s="281">
        <v>338.19662799999975</v>
      </c>
      <c r="BM41" s="11">
        <v>125</v>
      </c>
      <c r="BN41" s="9">
        <v>1</v>
      </c>
      <c r="BO41" s="12">
        <f t="shared" si="172"/>
        <v>4</v>
      </c>
      <c r="BP41" s="19">
        <f t="shared" si="173"/>
        <v>7</v>
      </c>
      <c r="BQ41" s="21">
        <f t="shared" si="174"/>
        <v>37</v>
      </c>
      <c r="BR41" s="281">
        <v>121.7705059999999</v>
      </c>
      <c r="BS41" s="11">
        <v>165</v>
      </c>
      <c r="BT41" s="9">
        <v>1</v>
      </c>
      <c r="BU41" s="10">
        <f t="shared" si="175"/>
        <v>1</v>
      </c>
      <c r="BV41" s="281">
        <v>165.15432999999987</v>
      </c>
      <c r="BW41" s="11">
        <v>150</v>
      </c>
      <c r="BX41" s="9">
        <v>2</v>
      </c>
      <c r="BY41" s="10">
        <f t="shared" si="176"/>
        <v>1</v>
      </c>
      <c r="BZ41" s="281">
        <v>1005.7159199999992</v>
      </c>
      <c r="CA41" s="13">
        <v>320</v>
      </c>
      <c r="CB41" s="9">
        <v>2</v>
      </c>
      <c r="CC41" s="10">
        <f t="shared" si="177"/>
        <v>2</v>
      </c>
      <c r="CD41" s="281">
        <v>3017.1477599999976</v>
      </c>
      <c r="CE41" s="13">
        <v>8000</v>
      </c>
      <c r="CF41" s="9">
        <v>1</v>
      </c>
      <c r="CG41" s="10">
        <f t="shared" si="178"/>
        <v>0.5</v>
      </c>
      <c r="CH41" s="281">
        <v>2011.4318399999984</v>
      </c>
      <c r="CI41" s="13">
        <v>300</v>
      </c>
      <c r="CJ41" s="9">
        <v>2</v>
      </c>
      <c r="CK41" s="10">
        <f t="shared" si="179"/>
        <v>3.5</v>
      </c>
      <c r="CL41" s="41">
        <f t="shared" si="180"/>
        <v>246.4989999999998</v>
      </c>
      <c r="CM41" s="15">
        <v>50</v>
      </c>
      <c r="CN41" s="9">
        <v>1</v>
      </c>
      <c r="CO41" s="10">
        <f t="shared" si="181"/>
        <v>5</v>
      </c>
      <c r="CP41" s="20">
        <f t="shared" si="182"/>
        <v>13</v>
      </c>
      <c r="CQ41" s="5">
        <f t="shared" si="183"/>
        <v>24</v>
      </c>
      <c r="CR41" s="5">
        <f t="shared" si="184"/>
        <v>37</v>
      </c>
      <c r="CS41" s="5">
        <f t="shared" si="185"/>
        <v>13</v>
      </c>
      <c r="CT41" s="5">
        <f t="shared" si="186"/>
        <v>74</v>
      </c>
      <c r="CY41" s="46"/>
      <c r="DF41" s="46"/>
    </row>
    <row r="42" spans="2:110" s="6" customFormat="1" ht="17.25" customHeight="1" thickBot="1">
      <c r="B42" s="56">
        <v>30</v>
      </c>
      <c r="C42" s="226" t="s">
        <v>126</v>
      </c>
      <c r="D42" s="56"/>
      <c r="E42" s="56" t="s">
        <v>18</v>
      </c>
      <c r="F42" s="243">
        <v>255</v>
      </c>
      <c r="G42" s="228">
        <v>7686.3829999999998</v>
      </c>
      <c r="H42" s="228">
        <v>7856.6379999999999</v>
      </c>
      <c r="I42" s="53">
        <f t="shared" ref="I42" si="188">H42-G42</f>
        <v>170.25500000000011</v>
      </c>
      <c r="J42" s="53">
        <f t="shared" si="187"/>
        <v>924.91799999999967</v>
      </c>
      <c r="K42" s="149" t="s">
        <v>102</v>
      </c>
      <c r="L42" s="358"/>
      <c r="M42" s="359"/>
      <c r="N42" s="360"/>
      <c r="O42" s="361"/>
      <c r="P42" s="104">
        <v>3</v>
      </c>
      <c r="Q42" s="227">
        <v>257.08505000000019</v>
      </c>
      <c r="R42" s="55">
        <v>53.9</v>
      </c>
      <c r="S42" s="51">
        <v>2</v>
      </c>
      <c r="T42" s="50">
        <f t="shared" ref="T42" si="189">CEILING(Q42/R42/S42,0.5)</f>
        <v>2.5</v>
      </c>
      <c r="U42" s="227">
        <v>939.80760000000066</v>
      </c>
      <c r="V42" s="49">
        <v>190</v>
      </c>
      <c r="W42" s="51">
        <v>2</v>
      </c>
      <c r="X42" s="50">
        <f t="shared" ref="X42" si="190">CEILING(U42/V42/W42,0.5)</f>
        <v>2.5</v>
      </c>
      <c r="Y42" s="227">
        <v>228.14170000000016</v>
      </c>
      <c r="Z42" s="49">
        <v>42</v>
      </c>
      <c r="AA42" s="51">
        <v>2</v>
      </c>
      <c r="AB42" s="102">
        <f t="shared" ref="AB42" si="191">IF(Y42="","",CEILING(Y42/Z42/AA42,0.5)+1)</f>
        <v>4</v>
      </c>
      <c r="AC42" s="227">
        <v>136.20400000000009</v>
      </c>
      <c r="AD42" s="49">
        <v>40</v>
      </c>
      <c r="AE42" s="51">
        <v>2</v>
      </c>
      <c r="AF42" s="50">
        <f t="shared" ref="AF42" si="192">CEILING(AC42/AD42/AE42,0.5)</f>
        <v>2</v>
      </c>
      <c r="AG42" s="227">
        <v>61.291800000000045</v>
      </c>
      <c r="AH42" s="49">
        <v>130</v>
      </c>
      <c r="AI42" s="51">
        <v>1</v>
      </c>
      <c r="AJ42" s="102">
        <f t="shared" ref="AJ42" si="193">IF(AG42="","",ROUNDUP(AG42/AH42/AI42,0)+1)</f>
        <v>2</v>
      </c>
      <c r="AK42" s="104">
        <f t="shared" ref="AK42" si="194">IF(E42="보통",2,IF(E42="조강",1,""))</f>
        <v>2</v>
      </c>
      <c r="AL42" s="227">
        <v>194.09070000000011</v>
      </c>
      <c r="AM42" s="49">
        <v>225</v>
      </c>
      <c r="AN42" s="51">
        <v>1</v>
      </c>
      <c r="AO42" s="50">
        <f t="shared" ref="AO42" si="195">CEILING(AL42/AM42/AN42,0.5)</f>
        <v>1</v>
      </c>
      <c r="AP42" s="101">
        <f t="shared" ref="AP42" si="196">ROUNDUP(SUM(P42,T42,X42,AB42,AF42,AJ42,AK42,AO42),0)</f>
        <v>19</v>
      </c>
      <c r="AQ42" s="227">
        <v>68.102000000000046</v>
      </c>
      <c r="AR42" s="100">
        <v>40</v>
      </c>
      <c r="AS42" s="51">
        <v>1</v>
      </c>
      <c r="AT42" s="50">
        <f t="shared" ref="AT42" si="197">CEILING(AQ42/AR42/AS42,0.5)</f>
        <v>2</v>
      </c>
      <c r="AU42" s="227">
        <v>74.912200000000055</v>
      </c>
      <c r="AV42" s="49">
        <v>130</v>
      </c>
      <c r="AW42" s="51">
        <v>1</v>
      </c>
      <c r="AX42" s="102">
        <f t="shared" ref="AX42" si="198">IF(AU42="","",ROUNDUP(AU42/AV42/AW42,0)+1)</f>
        <v>2</v>
      </c>
      <c r="AY42" s="104">
        <f t="shared" ref="AY42" si="199">IF(E42="보통",5,IF(E42="조강",2,""))</f>
        <v>5</v>
      </c>
      <c r="AZ42" s="227">
        <v>681.02000000000044</v>
      </c>
      <c r="BA42" s="103">
        <f t="shared" si="6"/>
        <v>220</v>
      </c>
      <c r="BB42" s="51">
        <v>1</v>
      </c>
      <c r="BC42" s="50">
        <f t="shared" ref="BC42" si="200">CEILING(AZ42/BA42/BB42,0.5)</f>
        <v>3.5</v>
      </c>
      <c r="BD42" s="227">
        <v>256.74454000000014</v>
      </c>
      <c r="BE42" s="100">
        <v>35</v>
      </c>
      <c r="BF42" s="51">
        <v>2</v>
      </c>
      <c r="BG42" s="102">
        <f t="shared" ref="BG42" si="201">IF(BD42="","",2)</f>
        <v>2</v>
      </c>
      <c r="BH42" s="227">
        <v>43.585280000000026</v>
      </c>
      <c r="BI42" s="99">
        <v>3.4</v>
      </c>
      <c r="BJ42" s="51">
        <v>2</v>
      </c>
      <c r="BK42" s="50">
        <f t="shared" ref="BK42" si="202">CEILING(BH42/BI42/BJ42,0.5)</f>
        <v>6.5</v>
      </c>
      <c r="BL42" s="227">
        <v>233.58986000000016</v>
      </c>
      <c r="BM42" s="49">
        <v>125</v>
      </c>
      <c r="BN42" s="51">
        <v>1</v>
      </c>
      <c r="BO42" s="102">
        <f t="shared" ref="BO42" si="203">IF(BL42="","",ROUNDUP(BL42/BM42/BN42,0)+1)</f>
        <v>3</v>
      </c>
      <c r="BP42" s="104">
        <f t="shared" ref="BP42" si="204">IF(E42="보통",7,IF(E42="조강",3,""))</f>
        <v>7</v>
      </c>
      <c r="BQ42" s="98">
        <f t="shared" ref="BQ42" si="205">ROUNDUP(SUM(AT42,AX42,AY42,BC42,BG42,BK42,BO42,BP42),0)</f>
        <v>31</v>
      </c>
      <c r="BR42" s="227">
        <v>84.105970000000056</v>
      </c>
      <c r="BS42" s="49">
        <v>165</v>
      </c>
      <c r="BT42" s="51">
        <v>1</v>
      </c>
      <c r="BU42" s="50">
        <f t="shared" ref="BU42" si="206">CEILING(BR42/BS42/BT42,0.5)</f>
        <v>1</v>
      </c>
      <c r="BV42" s="227">
        <v>114.07085000000008</v>
      </c>
      <c r="BW42" s="49">
        <v>150</v>
      </c>
      <c r="BX42" s="51">
        <v>2</v>
      </c>
      <c r="BY42" s="50">
        <f t="shared" ref="BY42" si="207">CEILING(BV42/BW42/BX42,0.5)</f>
        <v>0.5</v>
      </c>
      <c r="BZ42" s="227">
        <v>694.64040000000045</v>
      </c>
      <c r="CA42" s="100">
        <v>320</v>
      </c>
      <c r="CB42" s="51">
        <v>2</v>
      </c>
      <c r="CC42" s="50">
        <f t="shared" ref="CC42" si="208">CEILING(BZ42/CA42/CB42,0.5)</f>
        <v>1.5</v>
      </c>
      <c r="CD42" s="227">
        <v>2083.9212000000016</v>
      </c>
      <c r="CE42" s="100">
        <v>8000</v>
      </c>
      <c r="CF42" s="51">
        <v>1</v>
      </c>
      <c r="CG42" s="50">
        <f t="shared" ref="CG42" si="209">CEILING(CD42/CE42/CF42,0.5)</f>
        <v>0.5</v>
      </c>
      <c r="CH42" s="227">
        <v>1389.2808000000009</v>
      </c>
      <c r="CI42" s="100">
        <v>300</v>
      </c>
      <c r="CJ42" s="51">
        <v>2</v>
      </c>
      <c r="CK42" s="50">
        <f t="shared" ref="CK42" si="210">CEILING(CH42/CI42/CJ42,0.5)</f>
        <v>2.5</v>
      </c>
      <c r="CL42" s="97">
        <f t="shared" ref="CL42" si="211">I42</f>
        <v>170.25500000000011</v>
      </c>
      <c r="CM42" s="96">
        <v>50</v>
      </c>
      <c r="CN42" s="51">
        <v>1</v>
      </c>
      <c r="CO42" s="50">
        <f t="shared" ref="CO42" si="212">CEILING(CL42/CM42/CN42,0.5)</f>
        <v>3.5</v>
      </c>
      <c r="CP42" s="95">
        <f t="shared" ref="CP42" si="213">ROUNDUP(SUM(BU42,BY42,CC42,CG42,CK42,CO42),0)</f>
        <v>10</v>
      </c>
      <c r="CQ42" s="4">
        <f t="shared" ref="CQ42" si="214">AP42</f>
        <v>19</v>
      </c>
      <c r="CR42" s="4">
        <f t="shared" ref="CR42" si="215">BQ42</f>
        <v>31</v>
      </c>
      <c r="CS42" s="4">
        <f t="shared" ref="CS42" si="216">CP42</f>
        <v>10</v>
      </c>
      <c r="CT42" s="4">
        <f t="shared" ref="CT42" si="217">SUM(CQ42:CS42)</f>
        <v>60</v>
      </c>
      <c r="CY42" s="46"/>
      <c r="DF42" s="46"/>
    </row>
    <row r="43" spans="2:110" s="6" customFormat="1" ht="17.25" customHeight="1">
      <c r="B43" s="94">
        <v>26</v>
      </c>
      <c r="C43" s="119" t="s">
        <v>176</v>
      </c>
      <c r="D43" s="94" t="s">
        <v>116</v>
      </c>
      <c r="E43" s="94" t="s">
        <v>18</v>
      </c>
      <c r="F43" s="245"/>
      <c r="G43" s="272">
        <v>6457.7569999999996</v>
      </c>
      <c r="H43" s="272">
        <v>6573.37</v>
      </c>
      <c r="I43" s="93">
        <f t="shared" ref="I43:I44" si="218">H43-G43</f>
        <v>115.61300000000028</v>
      </c>
      <c r="J43" s="93">
        <f>I43</f>
        <v>115.61300000000028</v>
      </c>
      <c r="K43" s="215" t="s">
        <v>117</v>
      </c>
      <c r="L43" s="322" t="s">
        <v>127</v>
      </c>
      <c r="M43" s="325">
        <f>SUM(I43:I47)</f>
        <v>860.62700000000223</v>
      </c>
      <c r="N43" s="328">
        <f>SUM(CQ43:CQ47,CR45:CS45)/18.4</f>
        <v>8.3695652173913047</v>
      </c>
      <c r="O43" s="331">
        <v>11</v>
      </c>
      <c r="P43" s="91">
        <v>3</v>
      </c>
      <c r="Q43" s="223">
        <v>174.57563000000042</v>
      </c>
      <c r="R43" s="89">
        <v>53.9</v>
      </c>
      <c r="S43" s="83">
        <v>2</v>
      </c>
      <c r="T43" s="87">
        <f t="shared" ref="T43:T44" si="219">CEILING(Q43/R43/S43,0.5)</f>
        <v>2</v>
      </c>
      <c r="U43" s="223">
        <v>638.18376000000148</v>
      </c>
      <c r="V43" s="86">
        <v>190</v>
      </c>
      <c r="W43" s="83">
        <v>2</v>
      </c>
      <c r="X43" s="87">
        <f t="shared" ref="X43:X44" si="220">CEILING(U43/V43/W43,0.5)</f>
        <v>2</v>
      </c>
      <c r="Y43" s="223">
        <v>154.92142000000038</v>
      </c>
      <c r="Z43" s="86">
        <v>42</v>
      </c>
      <c r="AA43" s="83">
        <v>2</v>
      </c>
      <c r="AB43" s="79">
        <f t="shared" ref="AB43" si="221">IF(Y43="","",CEILING(Y43/Z43/AA43,0.5)+1)</f>
        <v>3</v>
      </c>
      <c r="AC43" s="223">
        <v>92.490400000000236</v>
      </c>
      <c r="AD43" s="86">
        <v>40</v>
      </c>
      <c r="AE43" s="83">
        <v>2</v>
      </c>
      <c r="AF43" s="87">
        <f t="shared" ref="AF43:AF44" si="222">CEILING(AC43/AD43/AE43,0.5)</f>
        <v>1.5</v>
      </c>
      <c r="AG43" s="223">
        <v>41.620680000000107</v>
      </c>
      <c r="AH43" s="86">
        <v>130</v>
      </c>
      <c r="AI43" s="83">
        <v>1</v>
      </c>
      <c r="AJ43" s="79">
        <f t="shared" ref="AJ43" si="223">IF(AG43="","",ROUNDUP(AG43/AH43/AI43,0)+1)</f>
        <v>2</v>
      </c>
      <c r="AK43" s="91">
        <f t="shared" ref="AK43" si="224">IF(E43="보통",2,IF(E43="조강",1,""))</f>
        <v>2</v>
      </c>
      <c r="AL43" s="223">
        <v>131.79882000000032</v>
      </c>
      <c r="AM43" s="86">
        <v>225</v>
      </c>
      <c r="AN43" s="83">
        <v>1</v>
      </c>
      <c r="AO43" s="87">
        <f t="shared" ref="AO43" si="225">CEILING(AL43/AM43/AN43,0.5)</f>
        <v>1</v>
      </c>
      <c r="AP43" s="85">
        <f t="shared" ref="AP43" si="226">ROUNDUP(SUM(P43,T43,X43,AB43,AF43,AJ43,AK43,AO43),0)</f>
        <v>17</v>
      </c>
      <c r="AQ43" s="223">
        <v>46.245200000000118</v>
      </c>
      <c r="AR43" s="39">
        <v>40</v>
      </c>
      <c r="AS43" s="83">
        <v>1</v>
      </c>
      <c r="AT43" s="87">
        <f t="shared" ref="AT43:AT44" si="227">CEILING(AQ43/AR43/AS43,0.5)</f>
        <v>1.5</v>
      </c>
      <c r="AU43" s="223">
        <v>50.869720000000129</v>
      </c>
      <c r="AV43" s="86">
        <v>130</v>
      </c>
      <c r="AW43" s="83">
        <v>1</v>
      </c>
      <c r="AX43" s="79">
        <f t="shared" ref="AX43:AX44" si="228">IF(AU43="","",ROUNDUP(AU43/AV43/AW43,0)+1)</f>
        <v>2</v>
      </c>
      <c r="AY43" s="91">
        <f t="shared" ref="AY43" si="229">IF(E43="보통",5,IF(E43="조강",2,""))</f>
        <v>5</v>
      </c>
      <c r="AZ43" s="223">
        <v>462.45200000000114</v>
      </c>
      <c r="BA43" s="80">
        <f t="shared" si="6"/>
        <v>220</v>
      </c>
      <c r="BB43" s="83">
        <v>1</v>
      </c>
      <c r="BC43" s="87">
        <f t="shared" ref="BC43:BC44" si="230">CEILING(AZ43/BA43/BB43,0.5)</f>
        <v>2.5</v>
      </c>
      <c r="BD43" s="223">
        <v>174.34440400000042</v>
      </c>
      <c r="BE43" s="39">
        <v>35</v>
      </c>
      <c r="BF43" s="83">
        <v>2</v>
      </c>
      <c r="BG43" s="79">
        <f t="shared" ref="BG43:BG44" si="231">IF(BD43="","",2)</f>
        <v>2</v>
      </c>
      <c r="BH43" s="223">
        <v>29.596928000000073</v>
      </c>
      <c r="BI43" s="48">
        <v>3.4</v>
      </c>
      <c r="BJ43" s="83">
        <v>2</v>
      </c>
      <c r="BK43" s="87">
        <f t="shared" ref="BK43:BK44" si="232">CEILING(BH43/BI43/BJ43,0.5)</f>
        <v>4.5</v>
      </c>
      <c r="BL43" s="223">
        <v>158.6210360000004</v>
      </c>
      <c r="BM43" s="86">
        <v>125</v>
      </c>
      <c r="BN43" s="83">
        <v>1</v>
      </c>
      <c r="BO43" s="79">
        <f t="shared" ref="BO43:BO44" si="233">IF(BL43="","",ROUNDUP(BL43/BM43/BN43,0)+1)</f>
        <v>3</v>
      </c>
      <c r="BP43" s="91">
        <f t="shared" ref="BP43:BP44" si="234">IF(E43="보통",7,IF(E43="조강",3,""))</f>
        <v>7</v>
      </c>
      <c r="BQ43" s="37">
        <f t="shared" ref="BQ43:BQ44" si="235">ROUNDUP(SUM(AT43,AX43,AY43,BC43,BG43,BK43,BO43,BP43),0)</f>
        <v>28</v>
      </c>
      <c r="BR43" s="223">
        <v>57.112822000000136</v>
      </c>
      <c r="BS43" s="86">
        <v>165</v>
      </c>
      <c r="BT43" s="83">
        <v>1</v>
      </c>
      <c r="BU43" s="87">
        <f t="shared" ref="BU43:BU44" si="236">CEILING(BR43/BS43/BT43,0.5)</f>
        <v>0.5</v>
      </c>
      <c r="BV43" s="223">
        <v>77.460710000000191</v>
      </c>
      <c r="BW43" s="86">
        <v>150</v>
      </c>
      <c r="BX43" s="83">
        <v>2</v>
      </c>
      <c r="BY43" s="87">
        <f t="shared" ref="BY43:BY44" si="237">CEILING(BV43/BW43/BX43,0.5)</f>
        <v>0.5</v>
      </c>
      <c r="BZ43" s="223">
        <v>471.70104000000117</v>
      </c>
      <c r="CA43" s="39">
        <v>320</v>
      </c>
      <c r="CB43" s="83">
        <v>2</v>
      </c>
      <c r="CC43" s="87">
        <f t="shared" ref="CC43:CC44" si="238">CEILING(BZ43/CA43/CB43,0.5)</f>
        <v>1</v>
      </c>
      <c r="CD43" s="223">
        <v>1415.1031200000034</v>
      </c>
      <c r="CE43" s="39">
        <v>8000</v>
      </c>
      <c r="CF43" s="83">
        <v>1</v>
      </c>
      <c r="CG43" s="87">
        <f t="shared" ref="CG43:CG44" si="239">CEILING(CD43/CE43/CF43,0.5)</f>
        <v>0.5</v>
      </c>
      <c r="CH43" s="223">
        <v>943.40208000000234</v>
      </c>
      <c r="CI43" s="39">
        <v>300</v>
      </c>
      <c r="CJ43" s="83">
        <v>2</v>
      </c>
      <c r="CK43" s="87">
        <f t="shared" ref="CK43:CK44" si="240">CEILING(CH43/CI43/CJ43,0.5)</f>
        <v>2</v>
      </c>
      <c r="CL43" s="42">
        <f t="shared" ref="CL43:CL44" si="241">I43</f>
        <v>115.61300000000028</v>
      </c>
      <c r="CM43" s="43">
        <v>50</v>
      </c>
      <c r="CN43" s="83">
        <v>1</v>
      </c>
      <c r="CO43" s="87">
        <f t="shared" ref="CO43:CO44" si="242">CEILING(CL43/CM43/CN43,0.5)</f>
        <v>2.5</v>
      </c>
      <c r="CP43" s="75">
        <f t="shared" ref="CP43:CP44" si="243">ROUNDUP(SUM(BU43,BY43,CC43,CG43,CK43,CO43),0)</f>
        <v>7</v>
      </c>
      <c r="CQ43" s="78">
        <f t="shared" ref="CQ43:CQ44" si="244">AP43</f>
        <v>17</v>
      </c>
      <c r="CR43" s="78">
        <f t="shared" ref="CR43:CR44" si="245">BQ43</f>
        <v>28</v>
      </c>
      <c r="CS43" s="78">
        <f t="shared" ref="CS43:CS44" si="246">CP43</f>
        <v>7</v>
      </c>
      <c r="CT43" s="78">
        <f t="shared" ref="CT43:CT44" si="247">SUM(CQ43:CS43)</f>
        <v>52</v>
      </c>
      <c r="CY43" s="46"/>
      <c r="DF43" s="46"/>
    </row>
    <row r="44" spans="2:110" s="6" customFormat="1" ht="17.25" customHeight="1">
      <c r="B44" s="131" t="s">
        <v>118</v>
      </c>
      <c r="C44" s="190" t="s">
        <v>119</v>
      </c>
      <c r="D44" s="153" t="s">
        <v>116</v>
      </c>
      <c r="E44" s="229" t="s">
        <v>18</v>
      </c>
      <c r="F44" s="271"/>
      <c r="G44" s="280">
        <v>6573.37</v>
      </c>
      <c r="H44" s="273">
        <v>6670.7780000000002</v>
      </c>
      <c r="I44" s="82">
        <f t="shared" si="218"/>
        <v>97.408000000000357</v>
      </c>
      <c r="J44" s="82">
        <f>J43+I44</f>
        <v>213.02100000000064</v>
      </c>
      <c r="K44" s="213" t="s">
        <v>120</v>
      </c>
      <c r="L44" s="323"/>
      <c r="M44" s="326"/>
      <c r="N44" s="329"/>
      <c r="O44" s="332"/>
      <c r="P44" s="19">
        <v>3</v>
      </c>
      <c r="Q44" s="33">
        <v>69.902080000000339</v>
      </c>
      <c r="R44" s="8">
        <v>53.9</v>
      </c>
      <c r="S44" s="9">
        <v>2</v>
      </c>
      <c r="T44" s="10">
        <f t="shared" si="219"/>
        <v>1</v>
      </c>
      <c r="U44" s="33">
        <v>64.296960000000766</v>
      </c>
      <c r="V44" s="11">
        <v>190</v>
      </c>
      <c r="W44" s="9">
        <v>2</v>
      </c>
      <c r="X44" s="10">
        <f t="shared" si="220"/>
        <v>0.5</v>
      </c>
      <c r="Y44" s="305" t="s">
        <v>49</v>
      </c>
      <c r="Z44" s="305"/>
      <c r="AA44" s="305"/>
      <c r="AB44" s="305"/>
      <c r="AC44" s="286">
        <v>171.52000000000044</v>
      </c>
      <c r="AD44" s="25">
        <v>20</v>
      </c>
      <c r="AE44" s="9">
        <v>2</v>
      </c>
      <c r="AF44" s="10">
        <f t="shared" si="222"/>
        <v>4.5</v>
      </c>
      <c r="AG44" s="33"/>
      <c r="AH44" s="11"/>
      <c r="AI44" s="9"/>
      <c r="AJ44" s="12"/>
      <c r="AK44" s="19"/>
      <c r="AL44" s="33"/>
      <c r="AM44" s="11">
        <v>225</v>
      </c>
      <c r="AN44" s="9">
        <v>1</v>
      </c>
      <c r="AO44" s="10">
        <f t="shared" ref="AO44" si="248">ROUND(AL44/AM44/AN44,0)</f>
        <v>0</v>
      </c>
      <c r="AP44" s="18">
        <f>ROUNDUP(SUM(T44,X44,AF44,AJ44,AK44,AO44),0)</f>
        <v>6</v>
      </c>
      <c r="AQ44" s="33"/>
      <c r="AR44" s="13">
        <v>40</v>
      </c>
      <c r="AS44" s="9">
        <v>1</v>
      </c>
      <c r="AT44" s="10">
        <f t="shared" si="227"/>
        <v>0</v>
      </c>
      <c r="AU44" s="33"/>
      <c r="AV44" s="11">
        <v>130</v>
      </c>
      <c r="AW44" s="9">
        <v>1</v>
      </c>
      <c r="AX44" s="12" t="str">
        <f t="shared" si="228"/>
        <v/>
      </c>
      <c r="AY44" s="19"/>
      <c r="AZ44" s="33">
        <v>389.63200000000143</v>
      </c>
      <c r="BA44" s="25">
        <f t="shared" si="6"/>
        <v>220</v>
      </c>
      <c r="BB44" s="9">
        <v>1</v>
      </c>
      <c r="BC44" s="10">
        <f t="shared" si="230"/>
        <v>2</v>
      </c>
      <c r="BD44" s="33">
        <v>146.89126400000055</v>
      </c>
      <c r="BE44" s="13">
        <v>35</v>
      </c>
      <c r="BF44" s="9">
        <v>2</v>
      </c>
      <c r="BG44" s="12">
        <f t="shared" si="231"/>
        <v>2</v>
      </c>
      <c r="BH44" s="33">
        <v>24.936448000000095</v>
      </c>
      <c r="BI44" s="14">
        <v>3.4</v>
      </c>
      <c r="BJ44" s="9">
        <v>2</v>
      </c>
      <c r="BK44" s="10">
        <f t="shared" si="232"/>
        <v>4</v>
      </c>
      <c r="BL44" s="33">
        <v>133.64377600000049</v>
      </c>
      <c r="BM44" s="11">
        <v>125</v>
      </c>
      <c r="BN44" s="9">
        <v>1</v>
      </c>
      <c r="BO44" s="12">
        <f t="shared" si="233"/>
        <v>3</v>
      </c>
      <c r="BP44" s="19">
        <f t="shared" si="234"/>
        <v>7</v>
      </c>
      <c r="BQ44" s="21">
        <f t="shared" si="235"/>
        <v>18</v>
      </c>
      <c r="BR44" s="33"/>
      <c r="BS44" s="11">
        <v>165</v>
      </c>
      <c r="BT44" s="9">
        <v>1</v>
      </c>
      <c r="BU44" s="10">
        <f t="shared" si="236"/>
        <v>0</v>
      </c>
      <c r="BV44" s="33">
        <v>23.498240000000134</v>
      </c>
      <c r="BW44" s="11">
        <v>150</v>
      </c>
      <c r="BX44" s="9">
        <v>2</v>
      </c>
      <c r="BY44" s="10">
        <f t="shared" si="237"/>
        <v>0.5</v>
      </c>
      <c r="BZ44" s="33">
        <v>181.30944000000093</v>
      </c>
      <c r="CA44" s="13">
        <v>320</v>
      </c>
      <c r="CB44" s="9">
        <v>2</v>
      </c>
      <c r="CC44" s="10">
        <f t="shared" si="238"/>
        <v>0.5</v>
      </c>
      <c r="CD44" s="33">
        <v>543.92832000000271</v>
      </c>
      <c r="CE44" s="13">
        <v>8000</v>
      </c>
      <c r="CF44" s="9">
        <v>1</v>
      </c>
      <c r="CG44" s="10">
        <f t="shared" si="239"/>
        <v>0.5</v>
      </c>
      <c r="CH44" s="33">
        <v>362.61888000000187</v>
      </c>
      <c r="CI44" s="13">
        <v>300</v>
      </c>
      <c r="CJ44" s="9">
        <v>2</v>
      </c>
      <c r="CK44" s="10">
        <f t="shared" si="240"/>
        <v>1</v>
      </c>
      <c r="CL44" s="41">
        <f t="shared" si="241"/>
        <v>97.408000000000357</v>
      </c>
      <c r="CM44" s="15">
        <v>50</v>
      </c>
      <c r="CN44" s="9">
        <v>1</v>
      </c>
      <c r="CO44" s="10">
        <f t="shared" si="242"/>
        <v>2</v>
      </c>
      <c r="CP44" s="20">
        <f t="shared" si="243"/>
        <v>5</v>
      </c>
      <c r="CQ44" s="5">
        <f t="shared" si="244"/>
        <v>6</v>
      </c>
      <c r="CR44" s="5">
        <f t="shared" si="245"/>
        <v>18</v>
      </c>
      <c r="CS44" s="5">
        <f t="shared" si="246"/>
        <v>5</v>
      </c>
      <c r="CT44" s="5">
        <f t="shared" si="247"/>
        <v>29</v>
      </c>
      <c r="CY44" s="46"/>
      <c r="DF44" s="46"/>
    </row>
    <row r="45" spans="2:110" s="6" customFormat="1" ht="17.25" customHeight="1">
      <c r="B45" s="229">
        <v>29</v>
      </c>
      <c r="C45" s="275" t="s">
        <v>125</v>
      </c>
      <c r="D45" s="229" t="s">
        <v>116</v>
      </c>
      <c r="E45" s="229" t="s">
        <v>18</v>
      </c>
      <c r="F45" s="271"/>
      <c r="G45" s="273">
        <v>7365.2510000000002</v>
      </c>
      <c r="H45" s="273">
        <v>7656.5320000000002</v>
      </c>
      <c r="I45" s="82">
        <f t="shared" ref="I45" si="249">H45-G45</f>
        <v>291.28099999999995</v>
      </c>
      <c r="J45" s="82">
        <f t="shared" ref="J45:J47" si="250">J44+I45</f>
        <v>504.30200000000059</v>
      </c>
      <c r="K45" s="213" t="s">
        <v>129</v>
      </c>
      <c r="L45" s="323"/>
      <c r="M45" s="326"/>
      <c r="N45" s="329"/>
      <c r="O45" s="332"/>
      <c r="P45" s="19">
        <v>3</v>
      </c>
      <c r="Q45" s="33">
        <v>686.27830999999981</v>
      </c>
      <c r="R45" s="8">
        <v>53.9</v>
      </c>
      <c r="S45" s="9">
        <v>2</v>
      </c>
      <c r="T45" s="10">
        <f t="shared" ref="T45" si="251">CEILING(Q45/R45/S45,0.5)</f>
        <v>6.5</v>
      </c>
      <c r="U45" s="33">
        <v>2447.7643199999993</v>
      </c>
      <c r="V45" s="11">
        <v>190</v>
      </c>
      <c r="W45" s="9">
        <v>2</v>
      </c>
      <c r="X45" s="10">
        <f t="shared" ref="X45" si="252">CEILING(U45/V45/W45,0.5)</f>
        <v>6.5</v>
      </c>
      <c r="Y45" s="33">
        <v>390.31653999999997</v>
      </c>
      <c r="Z45" s="11">
        <v>42</v>
      </c>
      <c r="AA45" s="9">
        <v>2</v>
      </c>
      <c r="AB45" s="12">
        <f t="shared" ref="AB45:AB47" si="253">IF(Y45="","",CEILING(Y45/Z45/AA45,0.5)+1)</f>
        <v>6</v>
      </c>
      <c r="AC45" s="33">
        <v>233.02479999999997</v>
      </c>
      <c r="AD45" s="11">
        <v>40</v>
      </c>
      <c r="AE45" s="9">
        <v>2</v>
      </c>
      <c r="AF45" s="10">
        <f t="shared" ref="AF45" si="254">CEILING(AC45/AD45/AE45,0.5)</f>
        <v>3</v>
      </c>
      <c r="AG45" s="33">
        <v>104.86115999999998</v>
      </c>
      <c r="AH45" s="11">
        <v>130</v>
      </c>
      <c r="AI45" s="9">
        <v>1</v>
      </c>
      <c r="AJ45" s="12">
        <f t="shared" ref="AJ45" si="255">IF(AG45="","",ROUNDUP(AG45/AH45/AI45,0)+1)</f>
        <v>2</v>
      </c>
      <c r="AK45" s="19">
        <f t="shared" ref="AK45" si="256">IF(E45="보통",2,IF(E45="조강",1,""))</f>
        <v>2</v>
      </c>
      <c r="AL45" s="33">
        <v>402.14673999999985</v>
      </c>
      <c r="AM45" s="11">
        <v>225</v>
      </c>
      <c r="AN45" s="9">
        <v>1</v>
      </c>
      <c r="AO45" s="10">
        <f t="shared" ref="AO45" si="257">CEILING(AL45/AM45/AN45,0.5)</f>
        <v>2</v>
      </c>
      <c r="AP45" s="18">
        <f t="shared" ref="AP45" si="258">ROUNDUP(SUM(P45,T45,X45,AB45,AF45,AJ45,AK45,AO45),0)</f>
        <v>31</v>
      </c>
      <c r="AQ45" s="33">
        <v>116.51239999999999</v>
      </c>
      <c r="AR45" s="13">
        <v>40</v>
      </c>
      <c r="AS45" s="9">
        <v>1</v>
      </c>
      <c r="AT45" s="10">
        <f t="shared" ref="AT45" si="259">CEILING(AQ45/AR45/AS45,0.5)</f>
        <v>3</v>
      </c>
      <c r="AU45" s="33">
        <v>128.16363999999999</v>
      </c>
      <c r="AV45" s="11">
        <v>130</v>
      </c>
      <c r="AW45" s="9">
        <v>1</v>
      </c>
      <c r="AX45" s="12">
        <f t="shared" ref="AX45" si="260">IF(AU45="","",ROUNDUP(AU45/AV45/AW45,0)+1)</f>
        <v>2</v>
      </c>
      <c r="AY45" s="19">
        <f t="shared" ref="AY45" si="261">IF(E45="보통",5,IF(E45="조강",2,""))</f>
        <v>5</v>
      </c>
      <c r="AZ45" s="33">
        <v>1165.1239999999998</v>
      </c>
      <c r="BA45" s="25">
        <f t="shared" si="6"/>
        <v>220</v>
      </c>
      <c r="BB45" s="9">
        <v>1</v>
      </c>
      <c r="BC45" s="10">
        <f t="shared" ref="BC45" si="262">CEILING(AZ45/BA45/BB45,0.5)</f>
        <v>5.5</v>
      </c>
      <c r="BD45" s="33">
        <v>439.25174799999996</v>
      </c>
      <c r="BE45" s="13">
        <v>35</v>
      </c>
      <c r="BF45" s="9">
        <v>2</v>
      </c>
      <c r="BG45" s="12">
        <f t="shared" ref="BG45" si="263">IF(BD45="","",2)</f>
        <v>2</v>
      </c>
      <c r="BH45" s="33">
        <v>74.567935999999989</v>
      </c>
      <c r="BI45" s="14">
        <v>3.4</v>
      </c>
      <c r="BJ45" s="9">
        <v>2</v>
      </c>
      <c r="BK45" s="10">
        <f t="shared" ref="BK45" si="264">CEILING(BH45/BI45/BJ45,0.5)</f>
        <v>11</v>
      </c>
      <c r="BL45" s="33">
        <v>399.63753199999996</v>
      </c>
      <c r="BM45" s="11">
        <v>125</v>
      </c>
      <c r="BN45" s="9">
        <v>1</v>
      </c>
      <c r="BO45" s="12">
        <f t="shared" ref="BO45" si="265">IF(BL45="","",ROUNDUP(BL45/BM45/BN45,0)+1)</f>
        <v>5</v>
      </c>
      <c r="BP45" s="19">
        <f t="shared" ref="BP45" si="266">IF(E45="보통",7,IF(E45="조강",3,""))</f>
        <v>7</v>
      </c>
      <c r="BQ45" s="21">
        <f t="shared" ref="BQ45:BQ48" si="267">ROUNDUP(SUM(AT45,AX45,AY45,BC45,BG45,BK45,BO45,BP45),0)</f>
        <v>41</v>
      </c>
      <c r="BR45" s="33">
        <v>203.22793399999995</v>
      </c>
      <c r="BS45" s="11">
        <v>165</v>
      </c>
      <c r="BT45" s="9">
        <v>1</v>
      </c>
      <c r="BU45" s="10">
        <f t="shared" ref="BU45" si="268">CEILING(BR45/BS45/BT45,0.5)</f>
        <v>1.5</v>
      </c>
      <c r="BV45" s="33">
        <v>254.73170999999994</v>
      </c>
      <c r="BW45" s="11">
        <v>150</v>
      </c>
      <c r="BX45" s="9">
        <v>2</v>
      </c>
      <c r="BY45" s="10">
        <f t="shared" ref="BY45" si="269">CEILING(BV45/BW45/BX45,0.5)</f>
        <v>1</v>
      </c>
      <c r="BZ45" s="33">
        <v>1538.8584799999999</v>
      </c>
      <c r="CA45" s="13">
        <v>320</v>
      </c>
      <c r="CB45" s="9">
        <v>2</v>
      </c>
      <c r="CC45" s="10">
        <f t="shared" ref="CC45" si="270">CEILING(BZ45/CA45/CB45,0.5)</f>
        <v>2.5</v>
      </c>
      <c r="CD45" s="33">
        <v>4616.5754399999987</v>
      </c>
      <c r="CE45" s="13">
        <v>8000</v>
      </c>
      <c r="CF45" s="9">
        <v>1</v>
      </c>
      <c r="CG45" s="10">
        <f t="shared" ref="CG45" si="271">CEILING(CD45/CE45/CF45,0.5)</f>
        <v>1</v>
      </c>
      <c r="CH45" s="33">
        <v>3077.7169599999997</v>
      </c>
      <c r="CI45" s="13">
        <v>300</v>
      </c>
      <c r="CJ45" s="9">
        <v>2</v>
      </c>
      <c r="CK45" s="10">
        <f t="shared" ref="CK45" si="272">CEILING(CH45/CI45/CJ45,0.5)</f>
        <v>5.5</v>
      </c>
      <c r="CL45" s="41">
        <f t="shared" ref="CL45" si="273">I45</f>
        <v>291.28099999999995</v>
      </c>
      <c r="CM45" s="15">
        <v>50</v>
      </c>
      <c r="CN45" s="9">
        <v>1</v>
      </c>
      <c r="CO45" s="10">
        <f t="shared" ref="CO45" si="274">CEILING(CL45/CM45/CN45,0.5)</f>
        <v>6</v>
      </c>
      <c r="CP45" s="20">
        <f t="shared" ref="CP45" si="275">ROUNDUP(SUM(BU45,BY45,CC45,CG45,CK45,CO45),0)</f>
        <v>18</v>
      </c>
      <c r="CQ45" s="5">
        <f t="shared" ref="CQ45" si="276">AP45</f>
        <v>31</v>
      </c>
      <c r="CR45" s="218">
        <f t="shared" ref="CR45" si="277">BQ45</f>
        <v>41</v>
      </c>
      <c r="CS45" s="218">
        <f t="shared" ref="CS45" si="278">CP45</f>
        <v>18</v>
      </c>
      <c r="CT45" s="5">
        <f t="shared" ref="CT45" si="279">SUM(CQ45:CS45)</f>
        <v>90</v>
      </c>
      <c r="CY45" s="46"/>
      <c r="DF45" s="46"/>
    </row>
    <row r="46" spans="2:110" s="6" customFormat="1" ht="17.25" customHeight="1">
      <c r="B46" s="229">
        <v>31</v>
      </c>
      <c r="C46" s="275" t="s">
        <v>128</v>
      </c>
      <c r="D46" s="229" t="s">
        <v>116</v>
      </c>
      <c r="E46" s="229" t="s">
        <v>18</v>
      </c>
      <c r="F46" s="271"/>
      <c r="G46" s="273">
        <v>7906.0159999999996</v>
      </c>
      <c r="H46" s="273">
        <v>8028.7250000000004</v>
      </c>
      <c r="I46" s="82">
        <f t="shared" ref="I46:I50" si="280">H46-G46</f>
        <v>122.70900000000074</v>
      </c>
      <c r="J46" s="82">
        <f t="shared" si="250"/>
        <v>627.01100000000133</v>
      </c>
      <c r="K46" s="213" t="s">
        <v>102</v>
      </c>
      <c r="L46" s="323"/>
      <c r="M46" s="326"/>
      <c r="N46" s="329"/>
      <c r="O46" s="332"/>
      <c r="P46" s="19">
        <v>3</v>
      </c>
      <c r="Q46" s="199">
        <v>185.29059000000112</v>
      </c>
      <c r="R46" s="8">
        <v>53.9</v>
      </c>
      <c r="S46" s="9">
        <v>2</v>
      </c>
      <c r="T46" s="10">
        <f t="shared" ref="T46:T50" si="281">CEILING(Q46/R46/S46,0.5)</f>
        <v>2</v>
      </c>
      <c r="U46" s="199">
        <v>677.35368000000415</v>
      </c>
      <c r="V46" s="11">
        <v>190</v>
      </c>
      <c r="W46" s="9">
        <v>2</v>
      </c>
      <c r="X46" s="10">
        <f t="shared" ref="X46:X50" si="282">CEILING(U46/V46/W46,0.5)</f>
        <v>2</v>
      </c>
      <c r="Y46" s="199">
        <v>164.43006000000099</v>
      </c>
      <c r="Z46" s="11">
        <v>42</v>
      </c>
      <c r="AA46" s="9">
        <v>2</v>
      </c>
      <c r="AB46" s="12">
        <f t="shared" si="253"/>
        <v>3</v>
      </c>
      <c r="AC46" s="199">
        <v>98.167200000000605</v>
      </c>
      <c r="AD46" s="11">
        <v>40</v>
      </c>
      <c r="AE46" s="9">
        <v>2</v>
      </c>
      <c r="AF46" s="10">
        <f t="shared" ref="AF46:AF50" si="283">CEILING(AC46/AD46/AE46,0.5)</f>
        <v>1.5</v>
      </c>
      <c r="AG46" s="199">
        <v>44.175240000000272</v>
      </c>
      <c r="AH46" s="11">
        <v>130</v>
      </c>
      <c r="AI46" s="9">
        <v>1</v>
      </c>
      <c r="AJ46" s="12">
        <f t="shared" ref="AJ46:AJ47" si="284">IF(AG46="","",ROUNDUP(AG46/AH46/AI46,0)+1)</f>
        <v>2</v>
      </c>
      <c r="AK46" s="19">
        <f t="shared" ref="AK46:AK47" si="285">IF(E46="보통",2,IF(E46="조강",1,""))</f>
        <v>2</v>
      </c>
      <c r="AL46" s="199">
        <v>139.88826000000083</v>
      </c>
      <c r="AM46" s="11">
        <v>225</v>
      </c>
      <c r="AN46" s="9">
        <v>1</v>
      </c>
      <c r="AO46" s="10">
        <f t="shared" ref="AO46:AO47" si="286">CEILING(AL46/AM46/AN46,0.5)</f>
        <v>1</v>
      </c>
      <c r="AP46" s="18">
        <f t="shared" ref="AP46:AP47" si="287">ROUNDUP(SUM(P46,T46,X46,AB46,AF46,AJ46,AK46,AO46),0)</f>
        <v>17</v>
      </c>
      <c r="AQ46" s="199">
        <v>49.083600000000303</v>
      </c>
      <c r="AR46" s="13">
        <v>40</v>
      </c>
      <c r="AS46" s="9">
        <v>1</v>
      </c>
      <c r="AT46" s="10">
        <f t="shared" ref="AT46:AT50" si="288">CEILING(AQ46/AR46/AS46,0.5)</f>
        <v>1.5</v>
      </c>
      <c r="AU46" s="199">
        <v>53.991960000000333</v>
      </c>
      <c r="AV46" s="11">
        <v>130</v>
      </c>
      <c r="AW46" s="9">
        <v>1</v>
      </c>
      <c r="AX46" s="12">
        <f t="shared" ref="AX46:AX50" si="289">IF(AU46="","",ROUNDUP(AU46/AV46/AW46,0)+1)</f>
        <v>2</v>
      </c>
      <c r="AY46" s="19">
        <f t="shared" ref="AY46:AY47" si="290">IF(E46="보통",5,IF(E46="조강",2,""))</f>
        <v>5</v>
      </c>
      <c r="AZ46" s="199">
        <v>490.83600000000297</v>
      </c>
      <c r="BA46" s="25">
        <f t="shared" si="6"/>
        <v>220</v>
      </c>
      <c r="BB46" s="9">
        <v>1</v>
      </c>
      <c r="BC46" s="10">
        <f t="shared" ref="BC46:BC50" si="291">CEILING(AZ46/BA46/BB46,0.5)</f>
        <v>2.5</v>
      </c>
      <c r="BD46" s="199">
        <v>185.04517200000112</v>
      </c>
      <c r="BE46" s="13">
        <v>35</v>
      </c>
      <c r="BF46" s="9">
        <v>2</v>
      </c>
      <c r="BG46" s="12">
        <f t="shared" ref="BG46:BG50" si="292">IF(BD46="","",2)</f>
        <v>2</v>
      </c>
      <c r="BH46" s="199">
        <v>31.413504000000191</v>
      </c>
      <c r="BI46" s="14">
        <v>3.4</v>
      </c>
      <c r="BJ46" s="9">
        <v>2</v>
      </c>
      <c r="BK46" s="10">
        <f t="shared" ref="BK46:BK50" si="293">CEILING(BH46/BI46/BJ46,0.5)</f>
        <v>5</v>
      </c>
      <c r="BL46" s="199">
        <v>168.35674800000103</v>
      </c>
      <c r="BM46" s="11">
        <v>125</v>
      </c>
      <c r="BN46" s="9">
        <v>1</v>
      </c>
      <c r="BO46" s="12">
        <f t="shared" ref="BO46:BO50" si="294">IF(BL46="","",ROUNDUP(BL46/BM46/BN46,0)+1)</f>
        <v>3</v>
      </c>
      <c r="BP46" s="19">
        <f t="shared" ref="BP46:BP50" si="295">IF(E46="보통",7,IF(E46="조강",3,""))</f>
        <v>7</v>
      </c>
      <c r="BQ46" s="21">
        <f t="shared" si="267"/>
        <v>28</v>
      </c>
      <c r="BR46" s="199">
        <v>60.618246000000369</v>
      </c>
      <c r="BS46" s="11">
        <v>165</v>
      </c>
      <c r="BT46" s="9">
        <v>1</v>
      </c>
      <c r="BU46" s="10">
        <f t="shared" ref="BU46:BU50" si="296">CEILING(BR46/BS46/BT46,0.5)</f>
        <v>0.5</v>
      </c>
      <c r="BV46" s="199">
        <v>82.215030000000496</v>
      </c>
      <c r="BW46" s="11">
        <v>150</v>
      </c>
      <c r="BX46" s="9">
        <v>2</v>
      </c>
      <c r="BY46" s="10">
        <f t="shared" ref="BY46:BY50" si="297">CEILING(BV46/BW46/BX46,0.5)</f>
        <v>0.5</v>
      </c>
      <c r="BZ46" s="199">
        <v>500.65272000000306</v>
      </c>
      <c r="CA46" s="13">
        <v>320</v>
      </c>
      <c r="CB46" s="9">
        <v>2</v>
      </c>
      <c r="CC46" s="10">
        <f t="shared" ref="CC46:CC50" si="298">CEILING(BZ46/CA46/CB46,0.5)</f>
        <v>1</v>
      </c>
      <c r="CD46" s="199">
        <v>1501.9581600000092</v>
      </c>
      <c r="CE46" s="13">
        <v>8000</v>
      </c>
      <c r="CF46" s="9">
        <v>1</v>
      </c>
      <c r="CG46" s="10">
        <f t="shared" ref="CG46:CG50" si="299">CEILING(CD46/CE46/CF46,0.5)</f>
        <v>0.5</v>
      </c>
      <c r="CH46" s="199">
        <v>1001.3054400000061</v>
      </c>
      <c r="CI46" s="13">
        <v>300</v>
      </c>
      <c r="CJ46" s="9">
        <v>2</v>
      </c>
      <c r="CK46" s="10">
        <f t="shared" ref="CK46:CK50" si="300">CEILING(CH46/CI46/CJ46,0.5)</f>
        <v>2</v>
      </c>
      <c r="CL46" s="41">
        <f t="shared" ref="CL46:CL50" si="301">I46</f>
        <v>122.70900000000074</v>
      </c>
      <c r="CM46" s="15">
        <v>50</v>
      </c>
      <c r="CN46" s="9">
        <v>1</v>
      </c>
      <c r="CO46" s="10">
        <f t="shared" ref="CO46:CO50" si="302">CEILING(CL46/CM46/CN46,0.5)</f>
        <v>2.5</v>
      </c>
      <c r="CP46" s="20">
        <f t="shared" ref="CP46:CP50" si="303">ROUNDUP(SUM(BU46,BY46,CC46,CG46,CK46,CO46),0)</f>
        <v>7</v>
      </c>
      <c r="CQ46" s="5">
        <f t="shared" ref="CQ46:CQ50" si="304">AP46</f>
        <v>17</v>
      </c>
      <c r="CR46" s="5">
        <f t="shared" ref="CR46:CR50" si="305">BQ46</f>
        <v>28</v>
      </c>
      <c r="CS46" s="5">
        <f t="shared" ref="CS46:CS50" si="306">CP46</f>
        <v>7</v>
      </c>
      <c r="CT46" s="5">
        <f t="shared" ref="CT46:CT50" si="307">SUM(CQ46:CS46)</f>
        <v>52</v>
      </c>
      <c r="CY46" s="46"/>
      <c r="DF46" s="46"/>
    </row>
    <row r="47" spans="2:110" s="6" customFormat="1" ht="17.25" customHeight="1" thickBot="1">
      <c r="B47" s="56">
        <v>32</v>
      </c>
      <c r="C47" s="276" t="s">
        <v>131</v>
      </c>
      <c r="D47" s="56" t="s">
        <v>116</v>
      </c>
      <c r="E47" s="56" t="s">
        <v>18</v>
      </c>
      <c r="F47" s="243"/>
      <c r="G47" s="277">
        <v>8070.9219999999996</v>
      </c>
      <c r="H47" s="277">
        <v>8304.5380000000005</v>
      </c>
      <c r="I47" s="53">
        <f t="shared" si="280"/>
        <v>233.61600000000089</v>
      </c>
      <c r="J47" s="53">
        <f t="shared" si="250"/>
        <v>860.62700000000223</v>
      </c>
      <c r="K47" s="217" t="s">
        <v>132</v>
      </c>
      <c r="L47" s="324"/>
      <c r="M47" s="327"/>
      <c r="N47" s="330"/>
      <c r="O47" s="333"/>
      <c r="P47" s="104">
        <v>3</v>
      </c>
      <c r="Q47" s="283">
        <v>426.43632000000235</v>
      </c>
      <c r="R47" s="55">
        <v>53.9</v>
      </c>
      <c r="S47" s="51">
        <v>2</v>
      </c>
      <c r="T47" s="50">
        <f t="shared" si="281"/>
        <v>4</v>
      </c>
      <c r="U47" s="283">
        <v>1519.2671200000075</v>
      </c>
      <c r="V47" s="49">
        <v>190</v>
      </c>
      <c r="W47" s="51">
        <v>2</v>
      </c>
      <c r="X47" s="50">
        <f t="shared" si="282"/>
        <v>4</v>
      </c>
      <c r="Y47" s="283">
        <v>313.04544000000124</v>
      </c>
      <c r="Z47" s="49">
        <v>42</v>
      </c>
      <c r="AA47" s="51">
        <v>2</v>
      </c>
      <c r="AB47" s="102">
        <f t="shared" si="253"/>
        <v>5</v>
      </c>
      <c r="AC47" s="283">
        <v>186.8928000000007</v>
      </c>
      <c r="AD47" s="49">
        <v>40</v>
      </c>
      <c r="AE47" s="51">
        <v>2</v>
      </c>
      <c r="AF47" s="50">
        <f t="shared" si="283"/>
        <v>2.5</v>
      </c>
      <c r="AG47" s="283">
        <v>84.101760000000326</v>
      </c>
      <c r="AH47" s="49">
        <v>130</v>
      </c>
      <c r="AI47" s="51">
        <v>1</v>
      </c>
      <c r="AJ47" s="102">
        <f t="shared" si="284"/>
        <v>2</v>
      </c>
      <c r="AK47" s="104">
        <f t="shared" si="285"/>
        <v>2</v>
      </c>
      <c r="AL47" s="283">
        <v>308.09152000000205</v>
      </c>
      <c r="AM47" s="49">
        <v>225</v>
      </c>
      <c r="AN47" s="51">
        <v>1</v>
      </c>
      <c r="AO47" s="50">
        <f t="shared" si="286"/>
        <v>1.5</v>
      </c>
      <c r="AP47" s="101">
        <f t="shared" si="287"/>
        <v>24</v>
      </c>
      <c r="AQ47" s="283">
        <v>93.446400000000352</v>
      </c>
      <c r="AR47" s="100">
        <v>40</v>
      </c>
      <c r="AS47" s="51">
        <v>1</v>
      </c>
      <c r="AT47" s="50">
        <f t="shared" si="288"/>
        <v>2.5</v>
      </c>
      <c r="AU47" s="283">
        <v>102.79104000000039</v>
      </c>
      <c r="AV47" s="49">
        <v>130</v>
      </c>
      <c r="AW47" s="51">
        <v>1</v>
      </c>
      <c r="AX47" s="102">
        <f t="shared" si="289"/>
        <v>2</v>
      </c>
      <c r="AY47" s="104">
        <f t="shared" si="290"/>
        <v>5</v>
      </c>
      <c r="AZ47" s="283">
        <v>934.46400000000358</v>
      </c>
      <c r="BA47" s="103">
        <f t="shared" si="6"/>
        <v>220</v>
      </c>
      <c r="BB47" s="51">
        <v>1</v>
      </c>
      <c r="BC47" s="50">
        <f t="shared" si="291"/>
        <v>4.5</v>
      </c>
      <c r="BD47" s="283">
        <v>352.29292800000138</v>
      </c>
      <c r="BE47" s="100">
        <v>35</v>
      </c>
      <c r="BF47" s="51">
        <v>2</v>
      </c>
      <c r="BG47" s="102">
        <f t="shared" si="292"/>
        <v>2</v>
      </c>
      <c r="BH47" s="283">
        <v>59.805696000000232</v>
      </c>
      <c r="BI47" s="99">
        <v>3.4</v>
      </c>
      <c r="BJ47" s="51">
        <v>2</v>
      </c>
      <c r="BK47" s="50">
        <f t="shared" si="293"/>
        <v>9</v>
      </c>
      <c r="BL47" s="283">
        <v>320.52115200000128</v>
      </c>
      <c r="BM47" s="49">
        <v>125</v>
      </c>
      <c r="BN47" s="51">
        <v>1</v>
      </c>
      <c r="BO47" s="102">
        <f t="shared" si="294"/>
        <v>4</v>
      </c>
      <c r="BP47" s="104">
        <f t="shared" si="295"/>
        <v>7</v>
      </c>
      <c r="BQ47" s="98">
        <f t="shared" si="267"/>
        <v>36</v>
      </c>
      <c r="BR47" s="283">
        <v>144.83993600000105</v>
      </c>
      <c r="BS47" s="49">
        <v>165</v>
      </c>
      <c r="BT47" s="51">
        <v>1</v>
      </c>
      <c r="BU47" s="50">
        <f t="shared" si="296"/>
        <v>1</v>
      </c>
      <c r="BV47" s="283">
        <v>192.02660800000146</v>
      </c>
      <c r="BW47" s="49">
        <v>150</v>
      </c>
      <c r="BX47" s="51">
        <v>2</v>
      </c>
      <c r="BY47" s="50">
        <f t="shared" si="297"/>
        <v>1</v>
      </c>
      <c r="BZ47" s="283">
        <v>1161.9996800000088</v>
      </c>
      <c r="CA47" s="100">
        <v>320</v>
      </c>
      <c r="CB47" s="51">
        <v>2</v>
      </c>
      <c r="CC47" s="50">
        <f t="shared" si="298"/>
        <v>2</v>
      </c>
      <c r="CD47" s="283">
        <v>3485.9990400000261</v>
      </c>
      <c r="CE47" s="100">
        <v>8000</v>
      </c>
      <c r="CF47" s="51">
        <v>1</v>
      </c>
      <c r="CG47" s="50">
        <f t="shared" si="299"/>
        <v>0.5</v>
      </c>
      <c r="CH47" s="283">
        <v>2323.9993600000175</v>
      </c>
      <c r="CI47" s="100">
        <v>300</v>
      </c>
      <c r="CJ47" s="51">
        <v>2</v>
      </c>
      <c r="CK47" s="50">
        <f t="shared" si="300"/>
        <v>4</v>
      </c>
      <c r="CL47" s="97">
        <f t="shared" si="301"/>
        <v>233.61600000000089</v>
      </c>
      <c r="CM47" s="96">
        <v>50</v>
      </c>
      <c r="CN47" s="51">
        <v>1</v>
      </c>
      <c r="CO47" s="50">
        <f t="shared" si="302"/>
        <v>5</v>
      </c>
      <c r="CP47" s="95">
        <f t="shared" si="303"/>
        <v>14</v>
      </c>
      <c r="CQ47" s="4">
        <f t="shared" si="304"/>
        <v>24</v>
      </c>
      <c r="CR47" s="4">
        <f t="shared" si="305"/>
        <v>36</v>
      </c>
      <c r="CS47" s="4">
        <f t="shared" si="306"/>
        <v>14</v>
      </c>
      <c r="CT47" s="4">
        <f t="shared" si="307"/>
        <v>74</v>
      </c>
      <c r="CY47" s="46"/>
      <c r="DF47" s="46"/>
    </row>
    <row r="48" spans="2:110" s="6" customFormat="1" ht="17.25" customHeight="1">
      <c r="B48" s="133" t="s">
        <v>133</v>
      </c>
      <c r="C48" s="290" t="s">
        <v>134</v>
      </c>
      <c r="D48" s="291" t="s">
        <v>116</v>
      </c>
      <c r="E48" s="94" t="s">
        <v>18</v>
      </c>
      <c r="F48" s="245"/>
      <c r="G48" s="287">
        <v>8372.7800000000007</v>
      </c>
      <c r="H48" s="287">
        <v>8435.2800000000007</v>
      </c>
      <c r="I48" s="93">
        <f t="shared" si="280"/>
        <v>62.5</v>
      </c>
      <c r="J48" s="93">
        <f>I48</f>
        <v>62.5</v>
      </c>
      <c r="K48" s="215" t="s">
        <v>135</v>
      </c>
      <c r="L48" s="334" t="s">
        <v>137</v>
      </c>
      <c r="M48" s="337">
        <f>SUM(I48:I51)</f>
        <v>1017.0759999999991</v>
      </c>
      <c r="N48" s="340">
        <f>SUM(CQ48:CQ51,CR49:CS49)/18.4</f>
        <v>8.75</v>
      </c>
      <c r="O48" s="343">
        <v>21</v>
      </c>
      <c r="P48" s="91">
        <v>3</v>
      </c>
      <c r="Q48" s="288">
        <v>38.125</v>
      </c>
      <c r="R48" s="89">
        <v>53.9</v>
      </c>
      <c r="S48" s="83">
        <v>2</v>
      </c>
      <c r="T48" s="87">
        <f t="shared" si="281"/>
        <v>0.5</v>
      </c>
      <c r="U48" s="90"/>
      <c r="V48" s="86">
        <v>190</v>
      </c>
      <c r="W48" s="83">
        <v>2</v>
      </c>
      <c r="X48" s="87">
        <f t="shared" si="282"/>
        <v>0</v>
      </c>
      <c r="Y48" s="362" t="s">
        <v>49</v>
      </c>
      <c r="Z48" s="362"/>
      <c r="AA48" s="362"/>
      <c r="AB48" s="362"/>
      <c r="AC48" s="289">
        <v>125</v>
      </c>
      <c r="AD48" s="80">
        <v>20</v>
      </c>
      <c r="AE48" s="83">
        <v>2</v>
      </c>
      <c r="AF48" s="87">
        <f t="shared" si="283"/>
        <v>3.5</v>
      </c>
      <c r="AG48" s="90"/>
      <c r="AH48" s="86"/>
      <c r="AI48" s="83"/>
      <c r="AJ48" s="79"/>
      <c r="AK48" s="91"/>
      <c r="AL48" s="90"/>
      <c r="AM48" s="86">
        <v>225</v>
      </c>
      <c r="AN48" s="83">
        <v>1</v>
      </c>
      <c r="AO48" s="87">
        <f t="shared" ref="AO48" si="308">ROUND(AL48/AM48/AN48,0)</f>
        <v>0</v>
      </c>
      <c r="AP48" s="85">
        <f>ROUNDUP(SUM(T48,X48,AF48,AJ48,AK48,AO48),0)</f>
        <v>4</v>
      </c>
      <c r="AQ48" s="90"/>
      <c r="AR48" s="39">
        <v>40</v>
      </c>
      <c r="AS48" s="83">
        <v>1</v>
      </c>
      <c r="AT48" s="87">
        <f t="shared" si="288"/>
        <v>0</v>
      </c>
      <c r="AU48" s="90"/>
      <c r="AV48" s="86">
        <v>130</v>
      </c>
      <c r="AW48" s="83">
        <v>1</v>
      </c>
      <c r="AX48" s="79" t="str">
        <f t="shared" si="289"/>
        <v/>
      </c>
      <c r="AY48" s="91"/>
      <c r="AZ48" s="288">
        <v>250</v>
      </c>
      <c r="BA48" s="80">
        <f t="shared" si="6"/>
        <v>220</v>
      </c>
      <c r="BB48" s="83">
        <v>1</v>
      </c>
      <c r="BC48" s="87">
        <f t="shared" si="291"/>
        <v>1.5</v>
      </c>
      <c r="BD48" s="288">
        <v>94.25</v>
      </c>
      <c r="BE48" s="39">
        <v>35</v>
      </c>
      <c r="BF48" s="83">
        <v>2</v>
      </c>
      <c r="BG48" s="79">
        <f t="shared" si="292"/>
        <v>2</v>
      </c>
      <c r="BH48" s="288">
        <v>16</v>
      </c>
      <c r="BI48" s="48">
        <v>3.4</v>
      </c>
      <c r="BJ48" s="83">
        <v>2</v>
      </c>
      <c r="BK48" s="87">
        <f t="shared" si="293"/>
        <v>2.5</v>
      </c>
      <c r="BL48" s="288">
        <v>85.75</v>
      </c>
      <c r="BM48" s="86">
        <v>125</v>
      </c>
      <c r="BN48" s="83">
        <v>1</v>
      </c>
      <c r="BO48" s="79">
        <f t="shared" si="294"/>
        <v>2</v>
      </c>
      <c r="BP48" s="91">
        <f t="shared" si="295"/>
        <v>7</v>
      </c>
      <c r="BQ48" s="37">
        <f t="shared" si="267"/>
        <v>15</v>
      </c>
      <c r="BR48" s="90"/>
      <c r="BS48" s="86">
        <v>165</v>
      </c>
      <c r="BT48" s="83">
        <v>1</v>
      </c>
      <c r="BU48" s="87">
        <f t="shared" si="296"/>
        <v>0</v>
      </c>
      <c r="BV48" s="288">
        <v>11.4375</v>
      </c>
      <c r="BW48" s="86">
        <v>150</v>
      </c>
      <c r="BX48" s="83">
        <v>2</v>
      </c>
      <c r="BY48" s="87">
        <f t="shared" si="297"/>
        <v>0.5</v>
      </c>
      <c r="BZ48" s="288">
        <v>97.5</v>
      </c>
      <c r="CA48" s="39">
        <v>320</v>
      </c>
      <c r="CB48" s="83">
        <v>2</v>
      </c>
      <c r="CC48" s="87">
        <f t="shared" si="298"/>
        <v>0.5</v>
      </c>
      <c r="CD48" s="288">
        <v>292.5</v>
      </c>
      <c r="CE48" s="39">
        <v>8000</v>
      </c>
      <c r="CF48" s="83">
        <v>1</v>
      </c>
      <c r="CG48" s="87">
        <f t="shared" si="299"/>
        <v>0.5</v>
      </c>
      <c r="CH48" s="288">
        <v>195</v>
      </c>
      <c r="CI48" s="39">
        <v>300</v>
      </c>
      <c r="CJ48" s="83">
        <v>2</v>
      </c>
      <c r="CK48" s="87">
        <f t="shared" si="300"/>
        <v>0.5</v>
      </c>
      <c r="CL48" s="42">
        <f t="shared" si="301"/>
        <v>62.5</v>
      </c>
      <c r="CM48" s="43">
        <v>50</v>
      </c>
      <c r="CN48" s="83">
        <v>1</v>
      </c>
      <c r="CO48" s="87">
        <f t="shared" si="302"/>
        <v>1.5</v>
      </c>
      <c r="CP48" s="75">
        <f t="shared" si="303"/>
        <v>4</v>
      </c>
      <c r="CQ48" s="78">
        <f t="shared" si="304"/>
        <v>4</v>
      </c>
      <c r="CR48" s="78">
        <f t="shared" si="305"/>
        <v>15</v>
      </c>
      <c r="CS48" s="78">
        <f t="shared" si="306"/>
        <v>4</v>
      </c>
      <c r="CT48" s="78">
        <f t="shared" si="307"/>
        <v>23</v>
      </c>
      <c r="CY48" s="46"/>
      <c r="DF48" s="46"/>
    </row>
    <row r="49" spans="2:110" s="6" customFormat="1" ht="17.25" customHeight="1">
      <c r="B49" s="229">
        <v>33</v>
      </c>
      <c r="C49" s="275" t="s">
        <v>178</v>
      </c>
      <c r="D49" s="229" t="s">
        <v>116</v>
      </c>
      <c r="E49" s="229" t="s">
        <v>18</v>
      </c>
      <c r="F49" s="271"/>
      <c r="G49" s="273">
        <v>8435.2800000000007</v>
      </c>
      <c r="H49" s="273">
        <v>8833.6610000000001</v>
      </c>
      <c r="I49" s="82">
        <f t="shared" si="280"/>
        <v>398.3809999999994</v>
      </c>
      <c r="J49" s="82">
        <f>J48+I49</f>
        <v>460.8809999999994</v>
      </c>
      <c r="K49" s="213"/>
      <c r="L49" s="335"/>
      <c r="M49" s="338"/>
      <c r="N49" s="341"/>
      <c r="O49" s="344"/>
      <c r="P49" s="19">
        <v>3</v>
      </c>
      <c r="Q49" s="199">
        <v>601.55530999999905</v>
      </c>
      <c r="R49" s="8">
        <v>53.9</v>
      </c>
      <c r="S49" s="9">
        <v>2</v>
      </c>
      <c r="T49" s="10">
        <f t="shared" si="281"/>
        <v>6</v>
      </c>
      <c r="U49" s="199">
        <v>2199.0631199999966</v>
      </c>
      <c r="V49" s="11">
        <v>190</v>
      </c>
      <c r="W49" s="9">
        <v>2</v>
      </c>
      <c r="X49" s="10">
        <f t="shared" si="282"/>
        <v>6</v>
      </c>
      <c r="Y49" s="199">
        <v>533.83053999999925</v>
      </c>
      <c r="Z49" s="11">
        <v>42</v>
      </c>
      <c r="AA49" s="9">
        <v>2</v>
      </c>
      <c r="AB49" s="12">
        <f t="shared" ref="AB49:AB51" si="309">IF(Y49="","",CEILING(Y49/Z49/AA49,0.5)+1)</f>
        <v>7.5</v>
      </c>
      <c r="AC49" s="199">
        <v>318.70479999999952</v>
      </c>
      <c r="AD49" s="11">
        <v>40</v>
      </c>
      <c r="AE49" s="9">
        <v>2</v>
      </c>
      <c r="AF49" s="10">
        <f t="shared" si="283"/>
        <v>4</v>
      </c>
      <c r="AG49" s="199">
        <v>143.4171599999998</v>
      </c>
      <c r="AH49" s="11">
        <v>130</v>
      </c>
      <c r="AI49" s="9">
        <v>1</v>
      </c>
      <c r="AJ49" s="12">
        <f t="shared" ref="AJ49:AJ51" si="310">IF(AG49="","",ROUNDUP(AG49/AH49/AI49,0)+1)</f>
        <v>3</v>
      </c>
      <c r="AK49" s="19">
        <f t="shared" ref="AK49:AK51" si="311">IF(E49="보통",2,IF(E49="조강",1,""))</f>
        <v>2</v>
      </c>
      <c r="AL49" s="199">
        <v>454.15433999999931</v>
      </c>
      <c r="AM49" s="11">
        <v>225</v>
      </c>
      <c r="AN49" s="9">
        <v>1</v>
      </c>
      <c r="AO49" s="10">
        <f t="shared" ref="AO49:AO51" si="312">CEILING(AL49/AM49/AN49,0.5)</f>
        <v>2.5</v>
      </c>
      <c r="AP49" s="18">
        <f t="shared" ref="AP49:AP51" si="313">ROUNDUP(SUM(P49,T49,X49,AB49,AF49,AJ49,AK49,AO49),0)</f>
        <v>34</v>
      </c>
      <c r="AQ49" s="199">
        <v>159.35239999999976</v>
      </c>
      <c r="AR49" s="13">
        <v>40</v>
      </c>
      <c r="AS49" s="9">
        <v>1</v>
      </c>
      <c r="AT49" s="10">
        <f t="shared" si="288"/>
        <v>4</v>
      </c>
      <c r="AU49" s="199">
        <v>175.28763999999975</v>
      </c>
      <c r="AV49" s="11">
        <v>130</v>
      </c>
      <c r="AW49" s="9">
        <v>1</v>
      </c>
      <c r="AX49" s="12">
        <f t="shared" si="289"/>
        <v>3</v>
      </c>
      <c r="AY49" s="19">
        <f t="shared" ref="AY49:AY51" si="314">IF(E49="보통",5,IF(E49="조강",2,""))</f>
        <v>5</v>
      </c>
      <c r="AZ49" s="199">
        <v>1593.5239999999976</v>
      </c>
      <c r="BA49" s="25">
        <f t="shared" si="6"/>
        <v>220</v>
      </c>
      <c r="BB49" s="9">
        <v>1</v>
      </c>
      <c r="BC49" s="10">
        <f t="shared" si="291"/>
        <v>7.5</v>
      </c>
      <c r="BD49" s="199">
        <v>600.75854799999911</v>
      </c>
      <c r="BE49" s="13">
        <v>35</v>
      </c>
      <c r="BF49" s="9">
        <v>2</v>
      </c>
      <c r="BG49" s="12">
        <f t="shared" si="292"/>
        <v>2</v>
      </c>
      <c r="BH49" s="199">
        <v>101.98553599999985</v>
      </c>
      <c r="BI49" s="14">
        <v>3.4</v>
      </c>
      <c r="BJ49" s="9">
        <v>2</v>
      </c>
      <c r="BK49" s="10">
        <f t="shared" si="293"/>
        <v>15</v>
      </c>
      <c r="BL49" s="199">
        <v>546.57873199999926</v>
      </c>
      <c r="BM49" s="11">
        <v>125</v>
      </c>
      <c r="BN49" s="9">
        <v>1</v>
      </c>
      <c r="BO49" s="12">
        <f t="shared" si="294"/>
        <v>6</v>
      </c>
      <c r="BP49" s="19">
        <f t="shared" si="295"/>
        <v>7</v>
      </c>
      <c r="BQ49" s="21">
        <f t="shared" ref="BQ49:BQ54" si="315">ROUNDUP(SUM(AT49,AX49,AY49,BC49,BG49,BK49,BO49,BP49),0)</f>
        <v>50</v>
      </c>
      <c r="BR49" s="199">
        <v>196.8002139999997</v>
      </c>
      <c r="BS49" s="11">
        <v>165</v>
      </c>
      <c r="BT49" s="9">
        <v>1</v>
      </c>
      <c r="BU49" s="10">
        <f t="shared" si="296"/>
        <v>1.5</v>
      </c>
      <c r="BV49" s="199">
        <v>266.91526999999962</v>
      </c>
      <c r="BW49" s="11">
        <v>150</v>
      </c>
      <c r="BX49" s="9">
        <v>2</v>
      </c>
      <c r="BY49" s="10">
        <f t="shared" si="297"/>
        <v>1</v>
      </c>
      <c r="BZ49" s="199">
        <v>1625.3944799999977</v>
      </c>
      <c r="CA49" s="13">
        <v>320</v>
      </c>
      <c r="CB49" s="9">
        <v>2</v>
      </c>
      <c r="CC49" s="10">
        <f t="shared" si="298"/>
        <v>3</v>
      </c>
      <c r="CD49" s="199">
        <v>4876.1834399999934</v>
      </c>
      <c r="CE49" s="13">
        <v>8000</v>
      </c>
      <c r="CF49" s="9">
        <v>1</v>
      </c>
      <c r="CG49" s="10">
        <f t="shared" si="299"/>
        <v>1</v>
      </c>
      <c r="CH49" s="199">
        <v>3250.7889599999953</v>
      </c>
      <c r="CI49" s="13">
        <v>300</v>
      </c>
      <c r="CJ49" s="9">
        <v>2</v>
      </c>
      <c r="CK49" s="10">
        <f t="shared" si="300"/>
        <v>5.5</v>
      </c>
      <c r="CL49" s="41">
        <f t="shared" si="301"/>
        <v>398.3809999999994</v>
      </c>
      <c r="CM49" s="15">
        <v>50</v>
      </c>
      <c r="CN49" s="9">
        <v>1</v>
      </c>
      <c r="CO49" s="10">
        <f t="shared" si="302"/>
        <v>8</v>
      </c>
      <c r="CP49" s="20">
        <f t="shared" si="303"/>
        <v>20</v>
      </c>
      <c r="CQ49" s="5">
        <f t="shared" si="304"/>
        <v>34</v>
      </c>
      <c r="CR49" s="218">
        <f t="shared" si="305"/>
        <v>50</v>
      </c>
      <c r="CS49" s="218">
        <f t="shared" si="306"/>
        <v>20</v>
      </c>
      <c r="CT49" s="5">
        <f t="shared" si="307"/>
        <v>104</v>
      </c>
      <c r="CY49" s="46"/>
      <c r="DF49" s="46"/>
    </row>
    <row r="50" spans="2:110" s="6" customFormat="1" ht="17.25" customHeight="1">
      <c r="B50" s="229">
        <v>34</v>
      </c>
      <c r="C50" s="275" t="s">
        <v>136</v>
      </c>
      <c r="D50" s="229" t="s">
        <v>116</v>
      </c>
      <c r="E50" s="229" t="s">
        <v>18</v>
      </c>
      <c r="F50" s="271"/>
      <c r="G50" s="273">
        <v>8882.1630000000005</v>
      </c>
      <c r="H50" s="273">
        <v>9243.2080000000005</v>
      </c>
      <c r="I50" s="82">
        <f t="shared" si="280"/>
        <v>361.04500000000007</v>
      </c>
      <c r="J50" s="82">
        <f t="shared" ref="J50:J51" si="316">J49+I50</f>
        <v>821.92599999999948</v>
      </c>
      <c r="K50" s="213"/>
      <c r="L50" s="335"/>
      <c r="M50" s="338"/>
      <c r="N50" s="341"/>
      <c r="O50" s="344"/>
      <c r="P50" s="19">
        <v>3</v>
      </c>
      <c r="Q50" s="199">
        <v>545.17795000000012</v>
      </c>
      <c r="R50" s="8">
        <v>53.9</v>
      </c>
      <c r="S50" s="9">
        <v>2</v>
      </c>
      <c r="T50" s="10">
        <f t="shared" si="281"/>
        <v>5.5</v>
      </c>
      <c r="U50" s="199">
        <v>1992.9684000000007</v>
      </c>
      <c r="V50" s="11">
        <v>190</v>
      </c>
      <c r="W50" s="9">
        <v>2</v>
      </c>
      <c r="X50" s="10">
        <f t="shared" si="282"/>
        <v>5.5</v>
      </c>
      <c r="Y50" s="199">
        <v>483.80030000000011</v>
      </c>
      <c r="Z50" s="11">
        <v>42</v>
      </c>
      <c r="AA50" s="9">
        <v>2</v>
      </c>
      <c r="AB50" s="12">
        <f t="shared" si="309"/>
        <v>7</v>
      </c>
      <c r="AC50" s="199">
        <v>288.83600000000007</v>
      </c>
      <c r="AD50" s="11">
        <v>40</v>
      </c>
      <c r="AE50" s="9">
        <v>2</v>
      </c>
      <c r="AF50" s="10">
        <f t="shared" si="283"/>
        <v>4</v>
      </c>
      <c r="AG50" s="199">
        <v>129.97620000000003</v>
      </c>
      <c r="AH50" s="11">
        <v>130</v>
      </c>
      <c r="AI50" s="9">
        <v>1</v>
      </c>
      <c r="AJ50" s="12">
        <f t="shared" si="310"/>
        <v>2</v>
      </c>
      <c r="AK50" s="19">
        <f t="shared" si="311"/>
        <v>2</v>
      </c>
      <c r="AL50" s="199">
        <v>411.59130000000005</v>
      </c>
      <c r="AM50" s="11">
        <v>225</v>
      </c>
      <c r="AN50" s="9">
        <v>1</v>
      </c>
      <c r="AO50" s="10">
        <f t="shared" si="312"/>
        <v>2</v>
      </c>
      <c r="AP50" s="18">
        <f t="shared" si="313"/>
        <v>31</v>
      </c>
      <c r="AQ50" s="199">
        <v>144.41800000000003</v>
      </c>
      <c r="AR50" s="13">
        <v>40</v>
      </c>
      <c r="AS50" s="9">
        <v>1</v>
      </c>
      <c r="AT50" s="10">
        <f t="shared" si="288"/>
        <v>4</v>
      </c>
      <c r="AU50" s="199">
        <v>158.85980000000006</v>
      </c>
      <c r="AV50" s="11">
        <v>130</v>
      </c>
      <c r="AW50" s="9">
        <v>1</v>
      </c>
      <c r="AX50" s="12">
        <f t="shared" si="289"/>
        <v>3</v>
      </c>
      <c r="AY50" s="19">
        <f t="shared" si="314"/>
        <v>5</v>
      </c>
      <c r="AZ50" s="199">
        <v>1444.1800000000003</v>
      </c>
      <c r="BA50" s="25">
        <f t="shared" si="6"/>
        <v>220</v>
      </c>
      <c r="BB50" s="9">
        <v>1</v>
      </c>
      <c r="BC50" s="10">
        <f t="shared" si="291"/>
        <v>7</v>
      </c>
      <c r="BD50" s="199">
        <v>544.45586000000014</v>
      </c>
      <c r="BE50" s="13">
        <v>35</v>
      </c>
      <c r="BF50" s="9">
        <v>2</v>
      </c>
      <c r="BG50" s="12">
        <f t="shared" si="292"/>
        <v>2</v>
      </c>
      <c r="BH50" s="199">
        <v>92.427520000000015</v>
      </c>
      <c r="BI50" s="14">
        <v>3.4</v>
      </c>
      <c r="BJ50" s="9">
        <v>2</v>
      </c>
      <c r="BK50" s="10">
        <f t="shared" si="293"/>
        <v>14</v>
      </c>
      <c r="BL50" s="199">
        <v>495.35374000000013</v>
      </c>
      <c r="BM50" s="11">
        <v>125</v>
      </c>
      <c r="BN50" s="9">
        <v>1</v>
      </c>
      <c r="BO50" s="12">
        <f t="shared" si="294"/>
        <v>5</v>
      </c>
      <c r="BP50" s="19">
        <f t="shared" si="295"/>
        <v>7</v>
      </c>
      <c r="BQ50" s="21">
        <f t="shared" si="315"/>
        <v>47</v>
      </c>
      <c r="BR50" s="199">
        <v>178.35623000000004</v>
      </c>
      <c r="BS50" s="11">
        <v>165</v>
      </c>
      <c r="BT50" s="9">
        <v>1</v>
      </c>
      <c r="BU50" s="10">
        <f t="shared" si="296"/>
        <v>1.5</v>
      </c>
      <c r="BV50" s="199">
        <v>241.90015000000005</v>
      </c>
      <c r="BW50" s="11">
        <v>150</v>
      </c>
      <c r="BX50" s="9">
        <v>2</v>
      </c>
      <c r="BY50" s="10">
        <f t="shared" si="297"/>
        <v>1</v>
      </c>
      <c r="BZ50" s="199">
        <v>1473.0636000000004</v>
      </c>
      <c r="CA50" s="13">
        <v>320</v>
      </c>
      <c r="CB50" s="9">
        <v>2</v>
      </c>
      <c r="CC50" s="10">
        <f t="shared" si="298"/>
        <v>2.5</v>
      </c>
      <c r="CD50" s="199">
        <v>4419.1908000000012</v>
      </c>
      <c r="CE50" s="13">
        <v>8000</v>
      </c>
      <c r="CF50" s="9">
        <v>1</v>
      </c>
      <c r="CG50" s="10">
        <f t="shared" si="299"/>
        <v>1</v>
      </c>
      <c r="CH50" s="199">
        <v>2946.1272000000008</v>
      </c>
      <c r="CI50" s="13">
        <v>300</v>
      </c>
      <c r="CJ50" s="9">
        <v>2</v>
      </c>
      <c r="CK50" s="10">
        <f t="shared" si="300"/>
        <v>5</v>
      </c>
      <c r="CL50" s="41">
        <f t="shared" si="301"/>
        <v>361.04500000000007</v>
      </c>
      <c r="CM50" s="15">
        <v>50</v>
      </c>
      <c r="CN50" s="9">
        <v>1</v>
      </c>
      <c r="CO50" s="10">
        <f t="shared" si="302"/>
        <v>7.5</v>
      </c>
      <c r="CP50" s="20">
        <f t="shared" si="303"/>
        <v>19</v>
      </c>
      <c r="CQ50" s="5">
        <f t="shared" si="304"/>
        <v>31</v>
      </c>
      <c r="CR50" s="5">
        <f t="shared" si="305"/>
        <v>47</v>
      </c>
      <c r="CS50" s="5">
        <f t="shared" si="306"/>
        <v>19</v>
      </c>
      <c r="CT50" s="5">
        <f t="shared" si="307"/>
        <v>97</v>
      </c>
      <c r="CY50" s="46"/>
      <c r="DF50" s="46"/>
    </row>
    <row r="51" spans="2:110" s="6" customFormat="1" ht="17.25" customHeight="1" thickBot="1">
      <c r="B51" s="71">
        <v>35</v>
      </c>
      <c r="C51" s="70" t="s">
        <v>138</v>
      </c>
      <c r="D51" s="71" t="s">
        <v>116</v>
      </c>
      <c r="E51" s="71" t="s">
        <v>18</v>
      </c>
      <c r="F51" s="270"/>
      <c r="G51" s="274">
        <v>9295.66</v>
      </c>
      <c r="H51" s="274">
        <v>9490.81</v>
      </c>
      <c r="I51" s="105">
        <f t="shared" ref="I51:I54" si="317">H51-G51</f>
        <v>195.14999999999964</v>
      </c>
      <c r="J51" s="105">
        <f t="shared" si="316"/>
        <v>1017.0759999999991</v>
      </c>
      <c r="K51" s="214" t="s">
        <v>139</v>
      </c>
      <c r="L51" s="336"/>
      <c r="M51" s="339"/>
      <c r="N51" s="342"/>
      <c r="O51" s="345"/>
      <c r="P51" s="66">
        <v>3</v>
      </c>
      <c r="Q51" s="284">
        <v>361.57889999999952</v>
      </c>
      <c r="R51" s="65">
        <v>53.9</v>
      </c>
      <c r="S51" s="109">
        <v>2</v>
      </c>
      <c r="T51" s="110">
        <f t="shared" ref="T51:T54" si="318">CEILING(Q51/R51/S51,0.5)</f>
        <v>3.5</v>
      </c>
      <c r="U51" s="284">
        <v>1289.5299999999982</v>
      </c>
      <c r="V51" s="68">
        <v>190</v>
      </c>
      <c r="W51" s="109">
        <v>2</v>
      </c>
      <c r="X51" s="110">
        <f t="shared" ref="X51:X54" si="319">CEILING(U51/V51/W51,0.5)</f>
        <v>3.5</v>
      </c>
      <c r="Y51" s="284">
        <v>261.50099999999952</v>
      </c>
      <c r="Z51" s="68">
        <v>42</v>
      </c>
      <c r="AA51" s="109">
        <v>2</v>
      </c>
      <c r="AB51" s="67">
        <f t="shared" si="309"/>
        <v>4.5</v>
      </c>
      <c r="AC51" s="284">
        <v>156.11999999999972</v>
      </c>
      <c r="AD51" s="68">
        <v>40</v>
      </c>
      <c r="AE51" s="109">
        <v>2</v>
      </c>
      <c r="AF51" s="110">
        <f t="shared" ref="AF51:AF54" si="320">CEILING(AC51/AD51/AE51,0.5)</f>
        <v>2</v>
      </c>
      <c r="AG51" s="284">
        <v>70.253999999999877</v>
      </c>
      <c r="AH51" s="68">
        <v>130</v>
      </c>
      <c r="AI51" s="109">
        <v>1</v>
      </c>
      <c r="AJ51" s="67">
        <f t="shared" si="310"/>
        <v>2</v>
      </c>
      <c r="AK51" s="66">
        <f t="shared" si="311"/>
        <v>2</v>
      </c>
      <c r="AL51" s="284">
        <v>257.09019999999964</v>
      </c>
      <c r="AM51" s="68">
        <v>225</v>
      </c>
      <c r="AN51" s="109">
        <v>1</v>
      </c>
      <c r="AO51" s="110">
        <f t="shared" si="312"/>
        <v>1.5</v>
      </c>
      <c r="AP51" s="64">
        <f t="shared" si="313"/>
        <v>22</v>
      </c>
      <c r="AQ51" s="284">
        <v>78.05999999999986</v>
      </c>
      <c r="AR51" s="63">
        <v>40</v>
      </c>
      <c r="AS51" s="109">
        <v>1</v>
      </c>
      <c r="AT51" s="110">
        <f t="shared" ref="AT51:AT54" si="321">CEILING(AQ51/AR51/AS51,0.5)</f>
        <v>2</v>
      </c>
      <c r="AU51" s="284">
        <v>85.865999999999858</v>
      </c>
      <c r="AV51" s="68">
        <v>130</v>
      </c>
      <c r="AW51" s="109">
        <v>1</v>
      </c>
      <c r="AX51" s="67">
        <f t="shared" ref="AX51:AX54" si="322">IF(AU51="","",ROUNDUP(AU51/AV51/AW51,0)+1)</f>
        <v>2</v>
      </c>
      <c r="AY51" s="66">
        <f t="shared" si="314"/>
        <v>5</v>
      </c>
      <c r="AZ51" s="284">
        <v>780.59999999999854</v>
      </c>
      <c r="BA51" s="62">
        <f t="shared" si="6"/>
        <v>220</v>
      </c>
      <c r="BB51" s="109">
        <v>1</v>
      </c>
      <c r="BC51" s="110">
        <f t="shared" ref="BC51:BC54" si="323">CEILING(AZ51/BA51/BB51,0.5)</f>
        <v>4</v>
      </c>
      <c r="BD51" s="284">
        <v>294.28619999999944</v>
      </c>
      <c r="BE51" s="63">
        <v>35</v>
      </c>
      <c r="BF51" s="109">
        <v>2</v>
      </c>
      <c r="BG51" s="67">
        <f t="shared" ref="BG51:BG54" si="324">IF(BD51="","",2)</f>
        <v>2</v>
      </c>
      <c r="BH51" s="284">
        <v>49.958399999999912</v>
      </c>
      <c r="BI51" s="61">
        <v>3.4</v>
      </c>
      <c r="BJ51" s="109">
        <v>2</v>
      </c>
      <c r="BK51" s="110">
        <f t="shared" ref="BK51:BK54" si="325">CEILING(BH51/BI51/BJ51,0.5)</f>
        <v>7.5</v>
      </c>
      <c r="BL51" s="284">
        <v>267.74579999999952</v>
      </c>
      <c r="BM51" s="68">
        <v>125</v>
      </c>
      <c r="BN51" s="109">
        <v>1</v>
      </c>
      <c r="BO51" s="67">
        <f t="shared" ref="BO51:BO54" si="326">IF(BL51="","",ROUNDUP(BL51/BM51/BN51,0)+1)</f>
        <v>4</v>
      </c>
      <c r="BP51" s="66">
        <f t="shared" ref="BP51:BP54" si="327">IF(E51="보통",7,IF(E51="조강",3,""))</f>
        <v>7</v>
      </c>
      <c r="BQ51" s="106">
        <f t="shared" si="315"/>
        <v>34</v>
      </c>
      <c r="BR51" s="284">
        <v>121.66057999999984</v>
      </c>
      <c r="BS51" s="68">
        <v>165</v>
      </c>
      <c r="BT51" s="109">
        <v>1</v>
      </c>
      <c r="BU51" s="110">
        <f t="shared" ref="BU51:BU54" si="328">CEILING(BR51/BS51/BT51,0.5)</f>
        <v>1</v>
      </c>
      <c r="BV51" s="284">
        <v>160.17681999999979</v>
      </c>
      <c r="BW51" s="68">
        <v>150</v>
      </c>
      <c r="BX51" s="109">
        <v>2</v>
      </c>
      <c r="BY51" s="110">
        <f t="shared" ref="BY51:BY54" si="329">CEILING(BV51/BW51/BX51,0.5)</f>
        <v>1</v>
      </c>
      <c r="BZ51" s="284">
        <v>969.30799999999886</v>
      </c>
      <c r="CA51" s="63">
        <v>320</v>
      </c>
      <c r="CB51" s="109">
        <v>2</v>
      </c>
      <c r="CC51" s="110">
        <f t="shared" ref="CC51:CC54" si="330">CEILING(BZ51/CA51/CB51,0.5)</f>
        <v>2</v>
      </c>
      <c r="CD51" s="284">
        <v>2907.9239999999963</v>
      </c>
      <c r="CE51" s="63">
        <v>8000</v>
      </c>
      <c r="CF51" s="109">
        <v>1</v>
      </c>
      <c r="CG51" s="110">
        <f t="shared" ref="CG51:CG54" si="331">CEILING(CD51/CE51/CF51,0.5)</f>
        <v>0.5</v>
      </c>
      <c r="CH51" s="284">
        <v>1938.6159999999977</v>
      </c>
      <c r="CI51" s="63">
        <v>300</v>
      </c>
      <c r="CJ51" s="109">
        <v>2</v>
      </c>
      <c r="CK51" s="110">
        <f t="shared" ref="CK51:CK54" si="332">CEILING(CH51/CI51/CJ51,0.5)</f>
        <v>3.5</v>
      </c>
      <c r="CL51" s="60">
        <f t="shared" ref="CL51:CL54" si="333">I51</f>
        <v>195.14999999999964</v>
      </c>
      <c r="CM51" s="69">
        <v>50</v>
      </c>
      <c r="CN51" s="109">
        <v>1</v>
      </c>
      <c r="CO51" s="110">
        <f t="shared" ref="CO51:CO54" si="334">CEILING(CL51/CM51/CN51,0.5)</f>
        <v>4</v>
      </c>
      <c r="CP51" s="58">
        <f t="shared" ref="CP51:CP54" si="335">ROUNDUP(SUM(BU51,BY51,CC51,CG51,CK51,CO51),0)</f>
        <v>12</v>
      </c>
      <c r="CQ51" s="57">
        <f t="shared" ref="CQ51:CQ54" si="336">AP51</f>
        <v>22</v>
      </c>
      <c r="CR51" s="57">
        <f t="shared" ref="CR51:CR54" si="337">BQ51</f>
        <v>34</v>
      </c>
      <c r="CS51" s="57">
        <f t="shared" ref="CS51:CS54" si="338">CP51</f>
        <v>12</v>
      </c>
      <c r="CT51" s="57">
        <f t="shared" ref="CT51:CT54" si="339">SUM(CQ51:CS51)</f>
        <v>68</v>
      </c>
      <c r="CY51" s="46"/>
      <c r="DF51" s="46"/>
    </row>
    <row r="52" spans="2:110" s="6" customFormat="1" ht="17.25" customHeight="1">
      <c r="B52" s="247" t="s">
        <v>140</v>
      </c>
      <c r="C52" s="279" t="s">
        <v>141</v>
      </c>
      <c r="D52" s="248" t="s">
        <v>116</v>
      </c>
      <c r="E52" s="249" t="s">
        <v>18</v>
      </c>
      <c r="F52" s="250"/>
      <c r="G52" s="278">
        <v>9490.81</v>
      </c>
      <c r="H52" s="278">
        <v>9611.33</v>
      </c>
      <c r="I52" s="251">
        <f t="shared" si="317"/>
        <v>120.52000000000044</v>
      </c>
      <c r="J52" s="251">
        <f>I52</f>
        <v>120.52000000000044</v>
      </c>
      <c r="K52" s="252" t="s">
        <v>142</v>
      </c>
      <c r="L52" s="346" t="s">
        <v>146</v>
      </c>
      <c r="M52" s="349">
        <f>SUM(I52:I54)</f>
        <v>998.83500000000095</v>
      </c>
      <c r="N52" s="352">
        <f>SUM(CQ52:CQ54,CR54:CS54)/18.4</f>
        <v>10.32608695652174</v>
      </c>
      <c r="O52" s="355">
        <v>31</v>
      </c>
      <c r="P52" s="253">
        <v>3</v>
      </c>
      <c r="Q52" s="285">
        <v>73.517200000000258</v>
      </c>
      <c r="R52" s="254">
        <v>53.9</v>
      </c>
      <c r="S52" s="255">
        <v>2</v>
      </c>
      <c r="T52" s="256">
        <f t="shared" si="318"/>
        <v>1</v>
      </c>
      <c r="U52" s="257"/>
      <c r="V52" s="258">
        <v>190</v>
      </c>
      <c r="W52" s="255">
        <v>2</v>
      </c>
      <c r="X52" s="256">
        <f t="shared" si="319"/>
        <v>0</v>
      </c>
      <c r="Y52" s="391" t="s">
        <v>49</v>
      </c>
      <c r="Z52" s="391"/>
      <c r="AA52" s="391"/>
      <c r="AB52" s="391"/>
      <c r="AC52" s="259">
        <v>241.04000000000087</v>
      </c>
      <c r="AD52" s="260">
        <v>20</v>
      </c>
      <c r="AE52" s="255">
        <v>2</v>
      </c>
      <c r="AF52" s="256">
        <f t="shared" si="320"/>
        <v>6.5</v>
      </c>
      <c r="AG52" s="257"/>
      <c r="AH52" s="258"/>
      <c r="AI52" s="255"/>
      <c r="AJ52" s="261"/>
      <c r="AK52" s="253"/>
      <c r="AL52" s="257"/>
      <c r="AM52" s="258">
        <v>225</v>
      </c>
      <c r="AN52" s="255">
        <v>1</v>
      </c>
      <c r="AO52" s="256">
        <f t="shared" ref="AO52" si="340">ROUND(AL52/AM52/AN52,0)</f>
        <v>0</v>
      </c>
      <c r="AP52" s="262">
        <f>ROUNDUP(SUM(T52,X52,AF52,AJ52,AK52,AO52),0)</f>
        <v>8</v>
      </c>
      <c r="AQ52" s="257"/>
      <c r="AR52" s="263">
        <v>40</v>
      </c>
      <c r="AS52" s="255">
        <v>1</v>
      </c>
      <c r="AT52" s="256">
        <f t="shared" si="321"/>
        <v>0</v>
      </c>
      <c r="AU52" s="257"/>
      <c r="AV52" s="258">
        <v>130</v>
      </c>
      <c r="AW52" s="255">
        <v>1</v>
      </c>
      <c r="AX52" s="261" t="str">
        <f t="shared" si="322"/>
        <v/>
      </c>
      <c r="AY52" s="253"/>
      <c r="AZ52" s="285">
        <v>482.08000000000175</v>
      </c>
      <c r="BA52" s="260">
        <f t="shared" si="6"/>
        <v>220</v>
      </c>
      <c r="BB52" s="255">
        <v>1</v>
      </c>
      <c r="BC52" s="256">
        <f t="shared" si="323"/>
        <v>2.5</v>
      </c>
      <c r="BD52" s="285">
        <v>181.74416000000065</v>
      </c>
      <c r="BE52" s="263">
        <v>35</v>
      </c>
      <c r="BF52" s="255">
        <v>2</v>
      </c>
      <c r="BG52" s="261">
        <f t="shared" si="324"/>
        <v>2</v>
      </c>
      <c r="BH52" s="285">
        <v>30.853120000000111</v>
      </c>
      <c r="BI52" s="264">
        <v>3.4</v>
      </c>
      <c r="BJ52" s="255">
        <v>2</v>
      </c>
      <c r="BK52" s="256">
        <f t="shared" si="325"/>
        <v>5</v>
      </c>
      <c r="BL52" s="285">
        <v>165.3534400000006</v>
      </c>
      <c r="BM52" s="258">
        <v>125</v>
      </c>
      <c r="BN52" s="255">
        <v>1</v>
      </c>
      <c r="BO52" s="261">
        <f t="shared" si="326"/>
        <v>3</v>
      </c>
      <c r="BP52" s="253">
        <f t="shared" si="327"/>
        <v>7</v>
      </c>
      <c r="BQ52" s="265">
        <f t="shared" si="315"/>
        <v>20</v>
      </c>
      <c r="BR52" s="257"/>
      <c r="BS52" s="258">
        <v>165</v>
      </c>
      <c r="BT52" s="255">
        <v>1</v>
      </c>
      <c r="BU52" s="256">
        <f t="shared" si="328"/>
        <v>0</v>
      </c>
      <c r="BV52" s="285">
        <v>22.055160000000079</v>
      </c>
      <c r="BW52" s="258">
        <v>150</v>
      </c>
      <c r="BX52" s="255">
        <v>2</v>
      </c>
      <c r="BY52" s="256">
        <f t="shared" si="329"/>
        <v>0.5</v>
      </c>
      <c r="BZ52" s="285">
        <v>188.01120000000068</v>
      </c>
      <c r="CA52" s="263">
        <v>320</v>
      </c>
      <c r="CB52" s="255">
        <v>2</v>
      </c>
      <c r="CC52" s="256">
        <f t="shared" si="330"/>
        <v>0.5</v>
      </c>
      <c r="CD52" s="285">
        <v>564.03360000000202</v>
      </c>
      <c r="CE52" s="263">
        <v>8000</v>
      </c>
      <c r="CF52" s="255">
        <v>1</v>
      </c>
      <c r="CG52" s="256">
        <f t="shared" si="331"/>
        <v>0.5</v>
      </c>
      <c r="CH52" s="285">
        <v>376.02240000000137</v>
      </c>
      <c r="CI52" s="263">
        <v>300</v>
      </c>
      <c r="CJ52" s="255">
        <v>2</v>
      </c>
      <c r="CK52" s="256">
        <f t="shared" si="332"/>
        <v>1</v>
      </c>
      <c r="CL52" s="266">
        <f t="shared" si="333"/>
        <v>120.52000000000044</v>
      </c>
      <c r="CM52" s="267">
        <v>50</v>
      </c>
      <c r="CN52" s="255">
        <v>1</v>
      </c>
      <c r="CO52" s="256">
        <f t="shared" si="334"/>
        <v>2.5</v>
      </c>
      <c r="CP52" s="268">
        <f t="shared" si="335"/>
        <v>5</v>
      </c>
      <c r="CQ52" s="269">
        <f t="shared" si="336"/>
        <v>8</v>
      </c>
      <c r="CR52" s="269">
        <f t="shared" si="337"/>
        <v>20</v>
      </c>
      <c r="CS52" s="269">
        <f t="shared" si="338"/>
        <v>5</v>
      </c>
      <c r="CT52" s="269">
        <f t="shared" si="339"/>
        <v>33</v>
      </c>
      <c r="CY52" s="46"/>
      <c r="DF52" s="46"/>
    </row>
    <row r="53" spans="2:110" s="6" customFormat="1" ht="18" customHeight="1">
      <c r="B53" s="216">
        <v>36</v>
      </c>
      <c r="C53" s="232" t="s">
        <v>143</v>
      </c>
      <c r="D53" s="216" t="s">
        <v>116</v>
      </c>
      <c r="E53" s="216" t="s">
        <v>18</v>
      </c>
      <c r="F53" s="271"/>
      <c r="G53" s="230">
        <v>9611.33</v>
      </c>
      <c r="H53" s="230">
        <v>9826.4609999999993</v>
      </c>
      <c r="I53" s="82">
        <f t="shared" si="317"/>
        <v>215.1309999999994</v>
      </c>
      <c r="J53" s="82">
        <f>J52+I53</f>
        <v>335.65099999999984</v>
      </c>
      <c r="K53" s="213" t="s">
        <v>102</v>
      </c>
      <c r="L53" s="347"/>
      <c r="M53" s="350"/>
      <c r="N53" s="353"/>
      <c r="O53" s="356"/>
      <c r="P53" s="19">
        <v>3</v>
      </c>
      <c r="Q53" s="199">
        <v>324.84780999999913</v>
      </c>
      <c r="R53" s="8">
        <v>53.9</v>
      </c>
      <c r="S53" s="9">
        <v>2</v>
      </c>
      <c r="T53" s="10">
        <f t="shared" si="318"/>
        <v>3.5</v>
      </c>
      <c r="U53" s="199">
        <v>1187.5231199999967</v>
      </c>
      <c r="V53" s="11">
        <v>190</v>
      </c>
      <c r="W53" s="9">
        <v>2</v>
      </c>
      <c r="X53" s="10">
        <f t="shared" si="319"/>
        <v>3.5</v>
      </c>
      <c r="Y53" s="199">
        <v>288.27553999999924</v>
      </c>
      <c r="Z53" s="11">
        <v>42</v>
      </c>
      <c r="AA53" s="9">
        <v>2</v>
      </c>
      <c r="AB53" s="12">
        <f t="shared" ref="AB53:AB54" si="341">IF(Y53="","",CEILING(Y53/Z53/AA53,0.5)+1)</f>
        <v>4.5</v>
      </c>
      <c r="AC53" s="199">
        <v>172.10479999999953</v>
      </c>
      <c r="AD53" s="11">
        <v>40</v>
      </c>
      <c r="AE53" s="9">
        <v>2</v>
      </c>
      <c r="AF53" s="10">
        <f t="shared" si="320"/>
        <v>2.5</v>
      </c>
      <c r="AG53" s="199">
        <v>77.447159999999798</v>
      </c>
      <c r="AH53" s="11">
        <v>130</v>
      </c>
      <c r="AI53" s="9">
        <v>1</v>
      </c>
      <c r="AJ53" s="12">
        <f t="shared" ref="AJ53:AJ54" si="342">IF(AG53="","",ROUNDUP(AG53/AH53/AI53,0)+1)</f>
        <v>2</v>
      </c>
      <c r="AK53" s="19">
        <f t="shared" ref="AK53:AK54" si="343">IF(E53="보통",2,IF(E53="조강",1,""))</f>
        <v>2</v>
      </c>
      <c r="AL53" s="199">
        <v>245.24933999999931</v>
      </c>
      <c r="AM53" s="11">
        <v>225</v>
      </c>
      <c r="AN53" s="9">
        <v>1</v>
      </c>
      <c r="AO53" s="10">
        <f t="shared" ref="AO53:AO54" si="344">CEILING(AL53/AM53/AN53,0.5)</f>
        <v>1.5</v>
      </c>
      <c r="AP53" s="18">
        <f t="shared" ref="AP53:AP54" si="345">ROUNDUP(SUM(P53,T53,X53,AB53,AF53,AJ53,AK53,AO53),0)</f>
        <v>23</v>
      </c>
      <c r="AQ53" s="199">
        <v>86.052399999999764</v>
      </c>
      <c r="AR53" s="13">
        <v>40</v>
      </c>
      <c r="AS53" s="9">
        <v>1</v>
      </c>
      <c r="AT53" s="10">
        <f t="shared" si="321"/>
        <v>2.5</v>
      </c>
      <c r="AU53" s="199">
        <v>94.657639999999745</v>
      </c>
      <c r="AV53" s="11">
        <v>130</v>
      </c>
      <c r="AW53" s="9">
        <v>1</v>
      </c>
      <c r="AX53" s="12">
        <f t="shared" si="322"/>
        <v>2</v>
      </c>
      <c r="AY53" s="19">
        <f t="shared" ref="AY53:AY54" si="346">IF(E53="보통",5,IF(E53="조강",2,""))</f>
        <v>5</v>
      </c>
      <c r="AZ53" s="199">
        <v>860.52399999999761</v>
      </c>
      <c r="BA53" s="25">
        <f t="shared" si="6"/>
        <v>220</v>
      </c>
      <c r="BB53" s="9">
        <v>1</v>
      </c>
      <c r="BC53" s="10">
        <f t="shared" si="323"/>
        <v>4</v>
      </c>
      <c r="BD53" s="199">
        <v>324.4175479999991</v>
      </c>
      <c r="BE53" s="13">
        <v>35</v>
      </c>
      <c r="BF53" s="9">
        <v>2</v>
      </c>
      <c r="BG53" s="12">
        <f t="shared" si="324"/>
        <v>2</v>
      </c>
      <c r="BH53" s="199">
        <v>55.073535999999848</v>
      </c>
      <c r="BI53" s="14">
        <v>3.4</v>
      </c>
      <c r="BJ53" s="9">
        <v>2</v>
      </c>
      <c r="BK53" s="10">
        <f t="shared" si="325"/>
        <v>8.5</v>
      </c>
      <c r="BL53" s="199">
        <v>295.15973199999922</v>
      </c>
      <c r="BM53" s="11">
        <v>125</v>
      </c>
      <c r="BN53" s="9">
        <v>1</v>
      </c>
      <c r="BO53" s="12">
        <f t="shared" si="326"/>
        <v>4</v>
      </c>
      <c r="BP53" s="19">
        <f t="shared" si="327"/>
        <v>7</v>
      </c>
      <c r="BQ53" s="21">
        <f t="shared" si="315"/>
        <v>35</v>
      </c>
      <c r="BR53" s="199">
        <v>106.2747139999997</v>
      </c>
      <c r="BS53" s="11">
        <v>165</v>
      </c>
      <c r="BT53" s="9">
        <v>1</v>
      </c>
      <c r="BU53" s="10">
        <f t="shared" si="328"/>
        <v>1</v>
      </c>
      <c r="BV53" s="199">
        <v>144.13776999999962</v>
      </c>
      <c r="BW53" s="11">
        <v>150</v>
      </c>
      <c r="BX53" s="9">
        <v>2</v>
      </c>
      <c r="BY53" s="10">
        <f t="shared" si="329"/>
        <v>0.5</v>
      </c>
      <c r="BZ53" s="199">
        <v>877.73447999999757</v>
      </c>
      <c r="CA53" s="13">
        <v>320</v>
      </c>
      <c r="CB53" s="9">
        <v>2</v>
      </c>
      <c r="CC53" s="10">
        <f t="shared" si="330"/>
        <v>1.5</v>
      </c>
      <c r="CD53" s="199">
        <v>2633.203439999993</v>
      </c>
      <c r="CE53" s="13">
        <v>8000</v>
      </c>
      <c r="CF53" s="9">
        <v>1</v>
      </c>
      <c r="CG53" s="10">
        <f t="shared" si="331"/>
        <v>0.5</v>
      </c>
      <c r="CH53" s="199">
        <v>1755.4689599999951</v>
      </c>
      <c r="CI53" s="13">
        <v>300</v>
      </c>
      <c r="CJ53" s="9">
        <v>2</v>
      </c>
      <c r="CK53" s="10">
        <f t="shared" si="332"/>
        <v>3</v>
      </c>
      <c r="CL53" s="41">
        <f t="shared" si="333"/>
        <v>215.1309999999994</v>
      </c>
      <c r="CM53" s="15">
        <v>50</v>
      </c>
      <c r="CN53" s="9">
        <v>1</v>
      </c>
      <c r="CO53" s="10">
        <f t="shared" si="334"/>
        <v>4.5</v>
      </c>
      <c r="CP53" s="20">
        <f t="shared" si="335"/>
        <v>11</v>
      </c>
      <c r="CQ53" s="5">
        <f t="shared" si="336"/>
        <v>23</v>
      </c>
      <c r="CR53" s="5">
        <f t="shared" si="337"/>
        <v>35</v>
      </c>
      <c r="CS53" s="5">
        <f t="shared" si="338"/>
        <v>11</v>
      </c>
      <c r="CT53" s="5">
        <f t="shared" si="339"/>
        <v>69</v>
      </c>
      <c r="CY53" s="46"/>
      <c r="DF53" s="46"/>
    </row>
    <row r="54" spans="2:110" s="6" customFormat="1" ht="17.25" customHeight="1" thickBot="1">
      <c r="B54" s="71">
        <v>37</v>
      </c>
      <c r="C54" s="70" t="s">
        <v>144</v>
      </c>
      <c r="D54" s="71" t="s">
        <v>116</v>
      </c>
      <c r="E54" s="71" t="s">
        <v>18</v>
      </c>
      <c r="F54" s="270"/>
      <c r="G54" s="231">
        <v>9872.64</v>
      </c>
      <c r="H54" s="231">
        <v>10535.824000000001</v>
      </c>
      <c r="I54" s="105">
        <f t="shared" si="317"/>
        <v>663.18400000000111</v>
      </c>
      <c r="J54" s="105">
        <f>J53+I54</f>
        <v>998.83500000000095</v>
      </c>
      <c r="K54" s="214" t="s">
        <v>145</v>
      </c>
      <c r="L54" s="348"/>
      <c r="M54" s="351"/>
      <c r="N54" s="354"/>
      <c r="O54" s="357"/>
      <c r="P54" s="66">
        <v>3</v>
      </c>
      <c r="Q54" s="233">
        <v>1103.6838400000013</v>
      </c>
      <c r="R54" s="65">
        <v>53.9</v>
      </c>
      <c r="S54" s="109">
        <v>2</v>
      </c>
      <c r="T54" s="110">
        <f t="shared" si="318"/>
        <v>10.5</v>
      </c>
      <c r="U54" s="233">
        <v>3963.9681800000044</v>
      </c>
      <c r="V54" s="68">
        <v>190</v>
      </c>
      <c r="W54" s="109">
        <v>2</v>
      </c>
      <c r="X54" s="110">
        <f t="shared" si="319"/>
        <v>10.5</v>
      </c>
      <c r="Y54" s="233">
        <v>888.66656000000148</v>
      </c>
      <c r="Z54" s="68">
        <v>42</v>
      </c>
      <c r="AA54" s="109">
        <v>2</v>
      </c>
      <c r="AB54" s="67">
        <f t="shared" si="341"/>
        <v>12</v>
      </c>
      <c r="AC54" s="233">
        <v>530.54720000000088</v>
      </c>
      <c r="AD54" s="68">
        <v>40</v>
      </c>
      <c r="AE54" s="109">
        <v>2</v>
      </c>
      <c r="AF54" s="110">
        <f t="shared" si="320"/>
        <v>7</v>
      </c>
      <c r="AG54" s="233">
        <v>238.74624000000043</v>
      </c>
      <c r="AH54" s="68">
        <v>130</v>
      </c>
      <c r="AI54" s="109">
        <v>1</v>
      </c>
      <c r="AJ54" s="67">
        <f t="shared" si="342"/>
        <v>3</v>
      </c>
      <c r="AK54" s="66">
        <f t="shared" si="343"/>
        <v>2</v>
      </c>
      <c r="AL54" s="233">
        <v>827.98776000000066</v>
      </c>
      <c r="AM54" s="68">
        <v>225</v>
      </c>
      <c r="AN54" s="109">
        <v>1</v>
      </c>
      <c r="AO54" s="110">
        <f t="shared" si="344"/>
        <v>4</v>
      </c>
      <c r="AP54" s="64">
        <f t="shared" si="345"/>
        <v>52</v>
      </c>
      <c r="AQ54" s="233">
        <v>265.27360000000044</v>
      </c>
      <c r="AR54" s="63">
        <v>40</v>
      </c>
      <c r="AS54" s="109">
        <v>1</v>
      </c>
      <c r="AT54" s="110">
        <f t="shared" si="321"/>
        <v>7</v>
      </c>
      <c r="AU54" s="233">
        <v>291.80096000000049</v>
      </c>
      <c r="AV54" s="68">
        <v>130</v>
      </c>
      <c r="AW54" s="109">
        <v>1</v>
      </c>
      <c r="AX54" s="67">
        <f t="shared" si="322"/>
        <v>4</v>
      </c>
      <c r="AY54" s="66">
        <f t="shared" si="346"/>
        <v>5</v>
      </c>
      <c r="AZ54" s="233">
        <v>2652.7360000000044</v>
      </c>
      <c r="BA54" s="62">
        <f t="shared" si="6"/>
        <v>220</v>
      </c>
      <c r="BB54" s="109">
        <v>1</v>
      </c>
      <c r="BC54" s="110">
        <f t="shared" si="323"/>
        <v>12.5</v>
      </c>
      <c r="BD54" s="233">
        <v>1000.0814720000018</v>
      </c>
      <c r="BE54" s="63">
        <v>35</v>
      </c>
      <c r="BF54" s="109">
        <v>2</v>
      </c>
      <c r="BG54" s="67">
        <f t="shared" si="324"/>
        <v>2</v>
      </c>
      <c r="BH54" s="233">
        <v>169.77510400000028</v>
      </c>
      <c r="BI54" s="61">
        <v>3.4</v>
      </c>
      <c r="BJ54" s="109">
        <v>2</v>
      </c>
      <c r="BK54" s="110">
        <f t="shared" si="325"/>
        <v>25</v>
      </c>
      <c r="BL54" s="233">
        <v>909.88844800000163</v>
      </c>
      <c r="BM54" s="68">
        <v>125</v>
      </c>
      <c r="BN54" s="109">
        <v>1</v>
      </c>
      <c r="BO54" s="67">
        <f t="shared" si="326"/>
        <v>9</v>
      </c>
      <c r="BP54" s="66">
        <f t="shared" si="327"/>
        <v>7</v>
      </c>
      <c r="BQ54" s="106">
        <f t="shared" si="315"/>
        <v>72</v>
      </c>
      <c r="BR54" s="233">
        <v>374.68309600000021</v>
      </c>
      <c r="BS54" s="68">
        <v>165</v>
      </c>
      <c r="BT54" s="109">
        <v>1</v>
      </c>
      <c r="BU54" s="110">
        <f t="shared" si="328"/>
        <v>2.5</v>
      </c>
      <c r="BV54" s="233">
        <v>505.49758000000031</v>
      </c>
      <c r="BW54" s="68">
        <v>150</v>
      </c>
      <c r="BX54" s="109">
        <v>2</v>
      </c>
      <c r="BY54" s="110">
        <f t="shared" si="329"/>
        <v>2</v>
      </c>
      <c r="BZ54" s="233">
        <v>3065.5807200000017</v>
      </c>
      <c r="CA54" s="63">
        <v>320</v>
      </c>
      <c r="CB54" s="109">
        <v>2</v>
      </c>
      <c r="CC54" s="110">
        <f t="shared" si="330"/>
        <v>5</v>
      </c>
      <c r="CD54" s="233">
        <v>9196.7421600000052</v>
      </c>
      <c r="CE54" s="63">
        <v>8000</v>
      </c>
      <c r="CF54" s="109">
        <v>1</v>
      </c>
      <c r="CG54" s="110">
        <f t="shared" si="331"/>
        <v>1.5</v>
      </c>
      <c r="CH54" s="233">
        <v>6131.1614400000035</v>
      </c>
      <c r="CI54" s="63">
        <v>300</v>
      </c>
      <c r="CJ54" s="109">
        <v>2</v>
      </c>
      <c r="CK54" s="110">
        <f t="shared" si="332"/>
        <v>10.5</v>
      </c>
      <c r="CL54" s="60">
        <f t="shared" si="333"/>
        <v>663.18400000000111</v>
      </c>
      <c r="CM54" s="69">
        <v>50</v>
      </c>
      <c r="CN54" s="109">
        <v>1</v>
      </c>
      <c r="CO54" s="110">
        <f t="shared" si="334"/>
        <v>13.5</v>
      </c>
      <c r="CP54" s="58">
        <f t="shared" si="335"/>
        <v>35</v>
      </c>
      <c r="CQ54" s="57">
        <f t="shared" si="336"/>
        <v>52</v>
      </c>
      <c r="CR54" s="220">
        <f t="shared" si="337"/>
        <v>72</v>
      </c>
      <c r="CS54" s="220">
        <f t="shared" si="338"/>
        <v>35</v>
      </c>
      <c r="CT54" s="57">
        <f t="shared" si="339"/>
        <v>159</v>
      </c>
      <c r="CY54" s="46"/>
      <c r="DF54" s="46"/>
    </row>
    <row r="55" spans="2:110" s="6" customFormat="1" ht="18" customHeight="1">
      <c r="B55" s="94">
        <v>38</v>
      </c>
      <c r="C55" s="119" t="s">
        <v>147</v>
      </c>
      <c r="D55" s="94" t="s">
        <v>116</v>
      </c>
      <c r="E55" s="94" t="s">
        <v>18</v>
      </c>
      <c r="F55" s="245"/>
      <c r="G55" s="234">
        <v>10582.205</v>
      </c>
      <c r="H55" s="234">
        <v>10853.087</v>
      </c>
      <c r="I55" s="93">
        <f t="shared" ref="I55:I57" si="347">H55-G55</f>
        <v>270.88199999999961</v>
      </c>
      <c r="J55" s="93">
        <f>I55</f>
        <v>270.88199999999961</v>
      </c>
      <c r="K55" s="215" t="s">
        <v>102</v>
      </c>
      <c r="L55" s="306" t="s">
        <v>155</v>
      </c>
      <c r="M55" s="309">
        <f>SUM(I55:I58)</f>
        <v>966.05099999999948</v>
      </c>
      <c r="N55" s="312">
        <f>SUM(CQ55:CQ58,CR58:CS58)/18.4</f>
        <v>8.2065217391304355</v>
      </c>
      <c r="O55" s="315">
        <v>32</v>
      </c>
      <c r="P55" s="91">
        <v>3</v>
      </c>
      <c r="Q55" s="223">
        <v>409.03181999999941</v>
      </c>
      <c r="R55" s="89">
        <v>53.9</v>
      </c>
      <c r="S55" s="83">
        <v>2</v>
      </c>
      <c r="T55" s="87">
        <f t="shared" ref="T55:T57" si="348">CEILING(Q55/R55/S55,0.5)</f>
        <v>4</v>
      </c>
      <c r="U55" s="223">
        <v>1495.2686399999977</v>
      </c>
      <c r="V55" s="86">
        <v>190</v>
      </c>
      <c r="W55" s="83">
        <v>2</v>
      </c>
      <c r="X55" s="87">
        <f t="shared" ref="X55:X57" si="349">CEILING(U55/V55/W55,0.5)</f>
        <v>4</v>
      </c>
      <c r="Y55" s="223">
        <v>362.98187999999948</v>
      </c>
      <c r="Z55" s="86">
        <v>42</v>
      </c>
      <c r="AA55" s="83">
        <v>2</v>
      </c>
      <c r="AB55" s="79">
        <f t="shared" ref="AB55:AB56" si="350">IF(Y55="","",CEILING(Y55/Z55/AA55,0.5)+1)</f>
        <v>5.5</v>
      </c>
      <c r="AC55" s="223">
        <v>216.70559999999969</v>
      </c>
      <c r="AD55" s="86">
        <v>40</v>
      </c>
      <c r="AE55" s="83">
        <v>2</v>
      </c>
      <c r="AF55" s="87">
        <f t="shared" ref="AF55:AF57" si="351">CEILING(AC55/AD55/AE55,0.5)</f>
        <v>3</v>
      </c>
      <c r="AG55" s="223">
        <v>97.517519999999877</v>
      </c>
      <c r="AH55" s="86">
        <v>130</v>
      </c>
      <c r="AI55" s="83">
        <v>1</v>
      </c>
      <c r="AJ55" s="79">
        <f t="shared" ref="AJ55:AJ56" si="352">IF(AG55="","",ROUNDUP(AG55/AH55/AI55,0)+1)</f>
        <v>2</v>
      </c>
      <c r="AK55" s="91">
        <f t="shared" ref="AK55:AK56" si="353">IF(E55="보통",2,IF(E55="조강",1,""))</f>
        <v>2</v>
      </c>
      <c r="AL55" s="223">
        <v>308.80547999999953</v>
      </c>
      <c r="AM55" s="86">
        <v>225</v>
      </c>
      <c r="AN55" s="83">
        <v>1</v>
      </c>
      <c r="AO55" s="87">
        <f t="shared" ref="AO55:AO56" si="354">CEILING(AL55/AM55/AN55,0.5)</f>
        <v>1.5</v>
      </c>
      <c r="AP55" s="85">
        <f t="shared" ref="AP55:AP56" si="355">ROUNDUP(SUM(P55,T55,X55,AB55,AF55,AJ55,AK55,AO55),0)</f>
        <v>25</v>
      </c>
      <c r="AQ55" s="223">
        <v>108.35279999999985</v>
      </c>
      <c r="AR55" s="39">
        <v>40</v>
      </c>
      <c r="AS55" s="83">
        <v>1</v>
      </c>
      <c r="AT55" s="87">
        <f t="shared" ref="AT55:AT57" si="356">CEILING(AQ55/AR55/AS55,0.5)</f>
        <v>3</v>
      </c>
      <c r="AU55" s="223">
        <v>119.18807999999984</v>
      </c>
      <c r="AV55" s="86">
        <v>130</v>
      </c>
      <c r="AW55" s="83">
        <v>1</v>
      </c>
      <c r="AX55" s="79">
        <f t="shared" ref="AX55:AX57" si="357">IF(AU55="","",ROUNDUP(AU55/AV55/AW55,0)+1)</f>
        <v>2</v>
      </c>
      <c r="AY55" s="91">
        <f t="shared" ref="AY55:AY56" si="358">IF(E55="보통",5,IF(E55="조강",2,""))</f>
        <v>5</v>
      </c>
      <c r="AZ55" s="223">
        <v>1083.5279999999984</v>
      </c>
      <c r="BA55" s="80">
        <f t="shared" si="6"/>
        <v>220</v>
      </c>
      <c r="BB55" s="83">
        <v>1</v>
      </c>
      <c r="BC55" s="87">
        <f t="shared" ref="BC55:BC57" si="359">CEILING(AZ55/BA55/BB55,0.5)</f>
        <v>5</v>
      </c>
      <c r="BD55" s="223">
        <v>408.49005599999941</v>
      </c>
      <c r="BE55" s="39">
        <v>35</v>
      </c>
      <c r="BF55" s="83">
        <v>2</v>
      </c>
      <c r="BG55" s="79">
        <f t="shared" ref="BG55:BG57" si="360">IF(BD55="","",2)</f>
        <v>2</v>
      </c>
      <c r="BH55" s="223">
        <v>69.345791999999904</v>
      </c>
      <c r="BI55" s="48">
        <v>3.4</v>
      </c>
      <c r="BJ55" s="83">
        <v>2</v>
      </c>
      <c r="BK55" s="87">
        <f t="shared" ref="BK55:BK57" si="361">CEILING(BH55/BI55/BJ55,0.5)</f>
        <v>10.5</v>
      </c>
      <c r="BL55" s="223">
        <v>371.65010399999949</v>
      </c>
      <c r="BM55" s="86">
        <v>125</v>
      </c>
      <c r="BN55" s="83">
        <v>1</v>
      </c>
      <c r="BO55" s="79">
        <f t="shared" ref="BO55:BO57" si="362">IF(BL55="","",ROUNDUP(BL55/BM55/BN55,0)+1)</f>
        <v>4</v>
      </c>
      <c r="BP55" s="91">
        <f t="shared" ref="BP55:BP57" si="363">IF(E55="보통",7,IF(E55="조강",3,""))</f>
        <v>7</v>
      </c>
      <c r="BQ55" s="37">
        <f t="shared" ref="BQ55:BQ57" si="364">ROUNDUP(SUM(AT55,AX55,AY55,BC55,BG55,BK55,BO55,BP55),0)</f>
        <v>39</v>
      </c>
      <c r="BR55" s="223">
        <v>133.8157079999998</v>
      </c>
      <c r="BS55" s="86">
        <v>165</v>
      </c>
      <c r="BT55" s="83">
        <v>1</v>
      </c>
      <c r="BU55" s="87">
        <f t="shared" ref="BU55:BU57" si="365">CEILING(BR55/BS55/BT55,0.5)</f>
        <v>1</v>
      </c>
      <c r="BV55" s="223">
        <v>181.49093999999974</v>
      </c>
      <c r="BW55" s="86">
        <v>150</v>
      </c>
      <c r="BX55" s="83">
        <v>2</v>
      </c>
      <c r="BY55" s="87">
        <f t="shared" ref="BY55:BY57" si="366">CEILING(BV55/BW55/BX55,0.5)</f>
        <v>1</v>
      </c>
      <c r="BZ55" s="223">
        <v>1105.1985599999985</v>
      </c>
      <c r="CA55" s="39">
        <v>320</v>
      </c>
      <c r="CB55" s="83">
        <v>2</v>
      </c>
      <c r="CC55" s="87">
        <f t="shared" ref="CC55:CC57" si="367">CEILING(BZ55/CA55/CB55,0.5)</f>
        <v>2</v>
      </c>
      <c r="CD55" s="223">
        <v>3315.5956799999954</v>
      </c>
      <c r="CE55" s="39">
        <v>8000</v>
      </c>
      <c r="CF55" s="83">
        <v>1</v>
      </c>
      <c r="CG55" s="87">
        <f t="shared" ref="CG55:CG57" si="368">CEILING(CD55/CE55/CF55,0.5)</f>
        <v>0.5</v>
      </c>
      <c r="CH55" s="223">
        <v>2210.3971199999969</v>
      </c>
      <c r="CI55" s="39">
        <v>300</v>
      </c>
      <c r="CJ55" s="83">
        <v>2</v>
      </c>
      <c r="CK55" s="87">
        <f t="shared" ref="CK55:CK57" si="369">CEILING(CH55/CI55/CJ55,0.5)</f>
        <v>4</v>
      </c>
      <c r="CL55" s="42">
        <f t="shared" ref="CL55:CL57" si="370">I55</f>
        <v>270.88199999999961</v>
      </c>
      <c r="CM55" s="43">
        <v>50</v>
      </c>
      <c r="CN55" s="83">
        <v>1</v>
      </c>
      <c r="CO55" s="87">
        <f t="shared" ref="CO55:CO57" si="371">CEILING(CL55/CM55/CN55,0.5)</f>
        <v>5.5</v>
      </c>
      <c r="CP55" s="75">
        <f t="shared" ref="CP55:CP57" si="372">ROUNDUP(SUM(BU55,BY55,CC55,CG55,CK55,CO55),0)</f>
        <v>14</v>
      </c>
      <c r="CQ55" s="78">
        <f t="shared" ref="CQ55:CQ57" si="373">AP55</f>
        <v>25</v>
      </c>
      <c r="CR55" s="78">
        <f t="shared" ref="CR55:CR57" si="374">BQ55</f>
        <v>39</v>
      </c>
      <c r="CS55" s="78">
        <f t="shared" ref="CS55:CS57" si="375">CP55</f>
        <v>14</v>
      </c>
      <c r="CT55" s="78">
        <f t="shared" ref="CT55:CT57" si="376">SUM(CQ55:CS55)</f>
        <v>78</v>
      </c>
      <c r="CY55" s="46"/>
      <c r="DF55" s="46"/>
    </row>
    <row r="56" spans="2:110" s="6" customFormat="1" ht="17.25" customHeight="1">
      <c r="B56" s="216">
        <v>39</v>
      </c>
      <c r="C56" s="236" t="s">
        <v>148</v>
      </c>
      <c r="D56" s="216" t="s">
        <v>116</v>
      </c>
      <c r="E56" s="216" t="s">
        <v>18</v>
      </c>
      <c r="F56" s="271"/>
      <c r="G56" s="235">
        <v>10919.105</v>
      </c>
      <c r="H56" s="235">
        <v>11146.75</v>
      </c>
      <c r="I56" s="82">
        <f t="shared" si="347"/>
        <v>227.64500000000044</v>
      </c>
      <c r="J56" s="82">
        <f>J55+I56</f>
        <v>498.52700000000004</v>
      </c>
      <c r="K56" s="213" t="s">
        <v>149</v>
      </c>
      <c r="L56" s="307"/>
      <c r="M56" s="310"/>
      <c r="N56" s="313"/>
      <c r="O56" s="316"/>
      <c r="P56" s="19">
        <v>3</v>
      </c>
      <c r="Q56" s="33">
        <v>411.09635000000071</v>
      </c>
      <c r="R56" s="8">
        <v>53.9</v>
      </c>
      <c r="S56" s="9">
        <v>2</v>
      </c>
      <c r="T56" s="10">
        <f t="shared" si="348"/>
        <v>4</v>
      </c>
      <c r="U56" s="33">
        <v>1470.0586500000027</v>
      </c>
      <c r="V56" s="11">
        <v>190</v>
      </c>
      <c r="W56" s="9">
        <v>2</v>
      </c>
      <c r="X56" s="10">
        <f t="shared" si="349"/>
        <v>4</v>
      </c>
      <c r="Y56" s="33">
        <v>305.04430000000059</v>
      </c>
      <c r="Z56" s="11">
        <v>42</v>
      </c>
      <c r="AA56" s="9">
        <v>2</v>
      </c>
      <c r="AB56" s="12">
        <f t="shared" si="350"/>
        <v>5</v>
      </c>
      <c r="AC56" s="33">
        <v>182.11600000000035</v>
      </c>
      <c r="AD56" s="11">
        <v>40</v>
      </c>
      <c r="AE56" s="9">
        <v>2</v>
      </c>
      <c r="AF56" s="10">
        <f t="shared" si="351"/>
        <v>2.5</v>
      </c>
      <c r="AG56" s="33">
        <v>81.952200000000175</v>
      </c>
      <c r="AH56" s="11">
        <v>130</v>
      </c>
      <c r="AI56" s="9">
        <v>1</v>
      </c>
      <c r="AJ56" s="12">
        <f t="shared" si="352"/>
        <v>2</v>
      </c>
      <c r="AK56" s="19">
        <f t="shared" si="353"/>
        <v>2</v>
      </c>
      <c r="AL56" s="33">
        <v>294.60950000000054</v>
      </c>
      <c r="AM56" s="11">
        <v>225</v>
      </c>
      <c r="AN56" s="9">
        <v>1</v>
      </c>
      <c r="AO56" s="10">
        <f t="shared" si="354"/>
        <v>1.5</v>
      </c>
      <c r="AP56" s="18">
        <f t="shared" si="355"/>
        <v>24</v>
      </c>
      <c r="AQ56" s="33">
        <v>91.058000000000177</v>
      </c>
      <c r="AR56" s="13">
        <v>40</v>
      </c>
      <c r="AS56" s="9">
        <v>1</v>
      </c>
      <c r="AT56" s="10">
        <f t="shared" si="356"/>
        <v>2.5</v>
      </c>
      <c r="AU56" s="33">
        <v>100.16380000000021</v>
      </c>
      <c r="AV56" s="11">
        <v>130</v>
      </c>
      <c r="AW56" s="9">
        <v>1</v>
      </c>
      <c r="AX56" s="12">
        <f t="shared" si="357"/>
        <v>2</v>
      </c>
      <c r="AY56" s="19">
        <f t="shared" si="358"/>
        <v>5</v>
      </c>
      <c r="AZ56" s="33">
        <v>910.58000000000175</v>
      </c>
      <c r="BA56" s="25">
        <f t="shared" si="6"/>
        <v>220</v>
      </c>
      <c r="BB56" s="9">
        <v>1</v>
      </c>
      <c r="BC56" s="10">
        <f t="shared" si="359"/>
        <v>4.5</v>
      </c>
      <c r="BD56" s="33">
        <v>343.28866000000062</v>
      </c>
      <c r="BE56" s="13">
        <v>35</v>
      </c>
      <c r="BF56" s="9">
        <v>2</v>
      </c>
      <c r="BG56" s="12">
        <f t="shared" si="360"/>
        <v>2</v>
      </c>
      <c r="BH56" s="33">
        <v>58.27712000000011</v>
      </c>
      <c r="BI56" s="14">
        <v>3.4</v>
      </c>
      <c r="BJ56" s="9">
        <v>2</v>
      </c>
      <c r="BK56" s="10">
        <f t="shared" si="361"/>
        <v>9</v>
      </c>
      <c r="BL56" s="33">
        <v>312.32894000000061</v>
      </c>
      <c r="BM56" s="11">
        <v>125</v>
      </c>
      <c r="BN56" s="9">
        <v>1</v>
      </c>
      <c r="BO56" s="12">
        <f t="shared" si="362"/>
        <v>4</v>
      </c>
      <c r="BP56" s="19">
        <f t="shared" si="363"/>
        <v>7</v>
      </c>
      <c r="BQ56" s="21">
        <f t="shared" si="364"/>
        <v>36</v>
      </c>
      <c r="BR56" s="33">
        <v>137.99061000000023</v>
      </c>
      <c r="BS56" s="11">
        <v>165</v>
      </c>
      <c r="BT56" s="9">
        <v>1</v>
      </c>
      <c r="BU56" s="10">
        <f t="shared" si="365"/>
        <v>1</v>
      </c>
      <c r="BV56" s="33">
        <v>182.35222000000033</v>
      </c>
      <c r="BW56" s="11">
        <v>150</v>
      </c>
      <c r="BX56" s="9">
        <v>2</v>
      </c>
      <c r="BY56" s="10">
        <f t="shared" si="366"/>
        <v>1</v>
      </c>
      <c r="BZ56" s="33">
        <v>1104.2626000000021</v>
      </c>
      <c r="CA56" s="13">
        <v>320</v>
      </c>
      <c r="CB56" s="9">
        <v>2</v>
      </c>
      <c r="CC56" s="10">
        <f t="shared" si="367"/>
        <v>2</v>
      </c>
      <c r="CD56" s="33">
        <v>3312.7878000000064</v>
      </c>
      <c r="CE56" s="13">
        <v>8000</v>
      </c>
      <c r="CF56" s="9">
        <v>1</v>
      </c>
      <c r="CG56" s="10">
        <f t="shared" si="368"/>
        <v>0.5</v>
      </c>
      <c r="CH56" s="33">
        <v>2208.5252000000041</v>
      </c>
      <c r="CI56" s="13">
        <v>300</v>
      </c>
      <c r="CJ56" s="9">
        <v>2</v>
      </c>
      <c r="CK56" s="10">
        <f t="shared" si="369"/>
        <v>4</v>
      </c>
      <c r="CL56" s="41">
        <f t="shared" si="370"/>
        <v>227.64500000000044</v>
      </c>
      <c r="CM56" s="15">
        <v>50</v>
      </c>
      <c r="CN56" s="9">
        <v>1</v>
      </c>
      <c r="CO56" s="10">
        <f t="shared" si="371"/>
        <v>5</v>
      </c>
      <c r="CP56" s="20">
        <f t="shared" si="372"/>
        <v>14</v>
      </c>
      <c r="CQ56" s="5">
        <f t="shared" si="373"/>
        <v>24</v>
      </c>
      <c r="CR56" s="5">
        <f t="shared" si="374"/>
        <v>36</v>
      </c>
      <c r="CS56" s="5">
        <f t="shared" si="375"/>
        <v>14</v>
      </c>
      <c r="CT56" s="5">
        <f t="shared" si="376"/>
        <v>74</v>
      </c>
      <c r="CY56" s="46"/>
      <c r="DF56" s="46"/>
    </row>
    <row r="57" spans="2:110" s="6" customFormat="1" ht="17.25" customHeight="1">
      <c r="B57" s="131" t="s">
        <v>150</v>
      </c>
      <c r="C57" s="190" t="s">
        <v>151</v>
      </c>
      <c r="D57" s="153" t="s">
        <v>116</v>
      </c>
      <c r="E57" s="216" t="s">
        <v>18</v>
      </c>
      <c r="F57" s="271"/>
      <c r="G57" s="239">
        <v>11146.75</v>
      </c>
      <c r="H57" s="239">
        <v>11308.02</v>
      </c>
      <c r="I57" s="82">
        <f t="shared" si="347"/>
        <v>161.27000000000044</v>
      </c>
      <c r="J57" s="82">
        <f>J56+I57</f>
        <v>659.79700000000048</v>
      </c>
      <c r="K57" s="213" t="s">
        <v>152</v>
      </c>
      <c r="L57" s="307"/>
      <c r="M57" s="310"/>
      <c r="N57" s="313"/>
      <c r="O57" s="316"/>
      <c r="P57" s="19">
        <v>3</v>
      </c>
      <c r="Q57" s="159">
        <v>98.37470000000026</v>
      </c>
      <c r="R57" s="8">
        <v>53.9</v>
      </c>
      <c r="S57" s="9">
        <v>2</v>
      </c>
      <c r="T57" s="10">
        <f t="shared" si="348"/>
        <v>1</v>
      </c>
      <c r="U57" s="33"/>
      <c r="V57" s="11">
        <v>190</v>
      </c>
      <c r="W57" s="9">
        <v>2</v>
      </c>
      <c r="X57" s="10">
        <f t="shared" si="349"/>
        <v>0</v>
      </c>
      <c r="Y57" s="305" t="s">
        <v>49</v>
      </c>
      <c r="Z57" s="305"/>
      <c r="AA57" s="305"/>
      <c r="AB57" s="305"/>
      <c r="AC57" s="241">
        <v>322.54000000000087</v>
      </c>
      <c r="AD57" s="25">
        <v>20</v>
      </c>
      <c r="AE57" s="9">
        <v>2</v>
      </c>
      <c r="AF57" s="10">
        <f t="shared" si="351"/>
        <v>8.5</v>
      </c>
      <c r="AG57" s="33"/>
      <c r="AH57" s="11"/>
      <c r="AI57" s="9"/>
      <c r="AJ57" s="12"/>
      <c r="AK57" s="19"/>
      <c r="AL57" s="33"/>
      <c r="AM57" s="11">
        <v>225</v>
      </c>
      <c r="AN57" s="9">
        <v>1</v>
      </c>
      <c r="AO57" s="10">
        <f t="shared" ref="AO57" si="377">ROUND(AL57/AM57/AN57,0)</f>
        <v>0</v>
      </c>
      <c r="AP57" s="18">
        <f>ROUNDUP(SUM(T57,X57,AF57,AJ57,AK57,AO57),0)</f>
        <v>10</v>
      </c>
      <c r="AQ57" s="33"/>
      <c r="AR57" s="13">
        <v>40</v>
      </c>
      <c r="AS57" s="9">
        <v>1</v>
      </c>
      <c r="AT57" s="10">
        <f t="shared" si="356"/>
        <v>0</v>
      </c>
      <c r="AU57" s="33"/>
      <c r="AV57" s="11">
        <v>130</v>
      </c>
      <c r="AW57" s="9">
        <v>1</v>
      </c>
      <c r="AX57" s="12" t="str">
        <f t="shared" si="357"/>
        <v/>
      </c>
      <c r="AY57" s="19"/>
      <c r="AZ57" s="159">
        <v>645.08000000000175</v>
      </c>
      <c r="BA57" s="25">
        <f t="shared" si="6"/>
        <v>220</v>
      </c>
      <c r="BB57" s="9">
        <v>1</v>
      </c>
      <c r="BC57" s="10">
        <f t="shared" si="359"/>
        <v>3</v>
      </c>
      <c r="BD57" s="159">
        <v>243.19516000000067</v>
      </c>
      <c r="BE57" s="13">
        <v>35</v>
      </c>
      <c r="BF57" s="9">
        <v>2</v>
      </c>
      <c r="BG57" s="12">
        <f t="shared" si="360"/>
        <v>2</v>
      </c>
      <c r="BH57" s="159">
        <v>41.285120000000113</v>
      </c>
      <c r="BI57" s="14">
        <v>3.4</v>
      </c>
      <c r="BJ57" s="9">
        <v>2</v>
      </c>
      <c r="BK57" s="10">
        <f t="shared" si="361"/>
        <v>6.5</v>
      </c>
      <c r="BL57" s="159">
        <v>221.26244000000062</v>
      </c>
      <c r="BM57" s="11">
        <v>125</v>
      </c>
      <c r="BN57" s="9">
        <v>1</v>
      </c>
      <c r="BO57" s="12">
        <f t="shared" si="362"/>
        <v>3</v>
      </c>
      <c r="BP57" s="19">
        <f t="shared" si="363"/>
        <v>7</v>
      </c>
      <c r="BQ57" s="21">
        <f t="shared" si="364"/>
        <v>22</v>
      </c>
      <c r="BR57" s="33"/>
      <c r="BS57" s="11">
        <v>165</v>
      </c>
      <c r="BT57" s="9">
        <v>1</v>
      </c>
      <c r="BU57" s="10">
        <f t="shared" si="365"/>
        <v>0</v>
      </c>
      <c r="BV57" s="159">
        <v>29.512410000000081</v>
      </c>
      <c r="BW57" s="11">
        <v>150</v>
      </c>
      <c r="BX57" s="9">
        <v>2</v>
      </c>
      <c r="BY57" s="10">
        <f t="shared" si="366"/>
        <v>0.5</v>
      </c>
      <c r="BZ57" s="159">
        <v>251.58120000000068</v>
      </c>
      <c r="CA57" s="13">
        <v>320</v>
      </c>
      <c r="CB57" s="9">
        <v>2</v>
      </c>
      <c r="CC57" s="10">
        <f t="shared" si="367"/>
        <v>0.5</v>
      </c>
      <c r="CD57" s="159">
        <v>754.74360000000206</v>
      </c>
      <c r="CE57" s="13">
        <v>8000</v>
      </c>
      <c r="CF57" s="9">
        <v>1</v>
      </c>
      <c r="CG57" s="10">
        <f t="shared" si="368"/>
        <v>0.5</v>
      </c>
      <c r="CH57" s="159">
        <v>503.16240000000136</v>
      </c>
      <c r="CI57" s="13">
        <v>300</v>
      </c>
      <c r="CJ57" s="9">
        <v>2</v>
      </c>
      <c r="CK57" s="10">
        <f t="shared" si="369"/>
        <v>1</v>
      </c>
      <c r="CL57" s="41">
        <f t="shared" si="370"/>
        <v>161.27000000000044</v>
      </c>
      <c r="CM57" s="15">
        <v>50</v>
      </c>
      <c r="CN57" s="9">
        <v>1</v>
      </c>
      <c r="CO57" s="10">
        <f t="shared" si="371"/>
        <v>3.5</v>
      </c>
      <c r="CP57" s="20">
        <f t="shared" si="372"/>
        <v>6</v>
      </c>
      <c r="CQ57" s="5">
        <f t="shared" si="373"/>
        <v>10</v>
      </c>
      <c r="CR57" s="5">
        <f t="shared" si="374"/>
        <v>22</v>
      </c>
      <c r="CS57" s="5">
        <f t="shared" si="375"/>
        <v>6</v>
      </c>
      <c r="CT57" s="5">
        <f t="shared" si="376"/>
        <v>38</v>
      </c>
      <c r="CY57" s="46"/>
      <c r="DF57" s="46"/>
    </row>
    <row r="58" spans="2:110" s="6" customFormat="1" ht="17.25" customHeight="1" thickBot="1">
      <c r="B58" s="56">
        <v>40</v>
      </c>
      <c r="C58" s="237" t="s">
        <v>153</v>
      </c>
      <c r="D58" s="56" t="s">
        <v>116</v>
      </c>
      <c r="E58" s="56" t="s">
        <v>18</v>
      </c>
      <c r="F58" s="243"/>
      <c r="G58" s="238">
        <v>11308.02</v>
      </c>
      <c r="H58" s="238">
        <v>11614.273999999999</v>
      </c>
      <c r="I58" s="53">
        <f t="shared" ref="I58:I59" si="378">H58-G58</f>
        <v>306.253999999999</v>
      </c>
      <c r="J58" s="53">
        <f>J57+I58</f>
        <v>966.05099999999948</v>
      </c>
      <c r="K58" s="217" t="s">
        <v>154</v>
      </c>
      <c r="L58" s="318"/>
      <c r="M58" s="319"/>
      <c r="N58" s="320"/>
      <c r="O58" s="321"/>
      <c r="P58" s="104">
        <v>3</v>
      </c>
      <c r="Q58" s="240">
        <v>565.93081999999822</v>
      </c>
      <c r="R58" s="55">
        <v>53.9</v>
      </c>
      <c r="S58" s="51">
        <v>2</v>
      </c>
      <c r="T58" s="50">
        <f t="shared" ref="T58:T59" si="379">CEILING(Q58/R58/S58,0.5)</f>
        <v>5.5</v>
      </c>
      <c r="U58" s="240">
        <v>1999.9504799999941</v>
      </c>
      <c r="V58" s="49">
        <v>190</v>
      </c>
      <c r="W58" s="51">
        <v>2</v>
      </c>
      <c r="X58" s="50">
        <f t="shared" ref="X58:X59" si="380">CEILING(U58/V58/W58,0.5)</f>
        <v>5.5</v>
      </c>
      <c r="Y58" s="240">
        <v>410.38035999999869</v>
      </c>
      <c r="Z58" s="49">
        <v>42</v>
      </c>
      <c r="AA58" s="51">
        <v>2</v>
      </c>
      <c r="AB58" s="102">
        <f t="shared" ref="AB58:AB59" si="381">IF(Y58="","",CEILING(Y58/Z58/AA58,0.5)+1)</f>
        <v>6</v>
      </c>
      <c r="AC58" s="240">
        <v>245.0031999999992</v>
      </c>
      <c r="AD58" s="49">
        <v>40</v>
      </c>
      <c r="AE58" s="51">
        <v>2</v>
      </c>
      <c r="AF58" s="50">
        <f t="shared" ref="AF58:AF59" si="382">CEILING(AC58/AD58/AE58,0.5)</f>
        <v>3.5</v>
      </c>
      <c r="AG58" s="240">
        <v>110.25143999999965</v>
      </c>
      <c r="AH58" s="49">
        <v>130</v>
      </c>
      <c r="AI58" s="51">
        <v>1</v>
      </c>
      <c r="AJ58" s="102">
        <f t="shared" ref="AJ58:AJ59" si="383">IF(AG58="","",ROUNDUP(AG58/AH58/AI58,0)+1)</f>
        <v>2</v>
      </c>
      <c r="AK58" s="104">
        <f t="shared" ref="AK58:AK59" si="384">IF(E58="보통",2,IF(E58="조강",1,""))</f>
        <v>2</v>
      </c>
      <c r="AL58" s="240">
        <v>417.6649999999986</v>
      </c>
      <c r="AM58" s="49">
        <v>225</v>
      </c>
      <c r="AN58" s="51">
        <v>1</v>
      </c>
      <c r="AO58" s="50">
        <f t="shared" ref="AO58:AO59" si="385">CEILING(AL58/AM58/AN58,0.5)</f>
        <v>2</v>
      </c>
      <c r="AP58" s="101">
        <f t="shared" ref="AP58:AP59" si="386">ROUNDUP(SUM(P58,T58,X58,AB58,AF58,AJ58,AK58,AO58),0)</f>
        <v>30</v>
      </c>
      <c r="AQ58" s="240">
        <v>122.5015999999996</v>
      </c>
      <c r="AR58" s="100">
        <v>40</v>
      </c>
      <c r="AS58" s="51">
        <v>1</v>
      </c>
      <c r="AT58" s="50">
        <f t="shared" ref="AT58:AT59" si="387">CEILING(AQ58/AR58/AS58,0.5)</f>
        <v>3.5</v>
      </c>
      <c r="AU58" s="240">
        <v>134.75175999999956</v>
      </c>
      <c r="AV58" s="49">
        <v>130</v>
      </c>
      <c r="AW58" s="51">
        <v>1</v>
      </c>
      <c r="AX58" s="102">
        <f t="shared" ref="AX58:AX59" si="388">IF(AU58="","",ROUNDUP(AU58/AV58/AW58,0)+1)</f>
        <v>3</v>
      </c>
      <c r="AY58" s="104">
        <f t="shared" ref="AY58:AY59" si="389">IF(E58="보통",5,IF(E58="조강",2,""))</f>
        <v>5</v>
      </c>
      <c r="AZ58" s="240">
        <v>1225.015999999996</v>
      </c>
      <c r="BA58" s="103">
        <f t="shared" si="6"/>
        <v>220</v>
      </c>
      <c r="BB58" s="51">
        <v>1</v>
      </c>
      <c r="BC58" s="50">
        <f t="shared" ref="BC58:BC59" si="390">CEILING(AZ58/BA58/BB58,0.5)</f>
        <v>6</v>
      </c>
      <c r="BD58" s="240">
        <v>461.83103199999852</v>
      </c>
      <c r="BE58" s="100">
        <v>35</v>
      </c>
      <c r="BF58" s="51">
        <v>2</v>
      </c>
      <c r="BG58" s="102">
        <f t="shared" ref="BG58:BG59" si="391">IF(BD58="","",2)</f>
        <v>2</v>
      </c>
      <c r="BH58" s="240">
        <v>78.401023999999737</v>
      </c>
      <c r="BI58" s="99">
        <v>3.4</v>
      </c>
      <c r="BJ58" s="51">
        <v>2</v>
      </c>
      <c r="BK58" s="50">
        <f t="shared" ref="BK58:BK59" si="392">CEILING(BH58/BI58/BJ58,0.5)</f>
        <v>12</v>
      </c>
      <c r="BL58" s="240">
        <v>420.1804879999986</v>
      </c>
      <c r="BM58" s="49">
        <v>125</v>
      </c>
      <c r="BN58" s="51">
        <v>1</v>
      </c>
      <c r="BO58" s="102">
        <f t="shared" ref="BO58:BO59" si="393">IF(BL58="","",ROUNDUP(BL58/BM58/BN58,0)+1)</f>
        <v>5</v>
      </c>
      <c r="BP58" s="104">
        <f t="shared" ref="BP58:BP59" si="394">IF(E58="보통",7,IF(E58="조강",3,""))</f>
        <v>7</v>
      </c>
      <c r="BQ58" s="98">
        <f t="shared" ref="BQ58:BQ59" si="395">ROUNDUP(SUM(AT58,AX58,AY58,BC58,BG58,BK58,BO58,BP58),0)</f>
        <v>44</v>
      </c>
      <c r="BR58" s="240">
        <v>196.41008799999938</v>
      </c>
      <c r="BS58" s="49">
        <v>165</v>
      </c>
      <c r="BT58" s="51">
        <v>1</v>
      </c>
      <c r="BU58" s="50">
        <f t="shared" ref="BU58:BU59" si="396">CEILING(BR58/BS58/BT58,0.5)</f>
        <v>1.5</v>
      </c>
      <c r="BV58" s="240">
        <v>263.44530399999911</v>
      </c>
      <c r="BW58" s="49">
        <v>150</v>
      </c>
      <c r="BX58" s="51">
        <v>2</v>
      </c>
      <c r="BY58" s="50">
        <f t="shared" ref="BY58:BY59" si="397">CEILING(BV58/BW58/BX58,0.5)</f>
        <v>1</v>
      </c>
      <c r="BZ58" s="240">
        <v>1592.1935199999948</v>
      </c>
      <c r="CA58" s="100">
        <v>320</v>
      </c>
      <c r="CB58" s="51">
        <v>2</v>
      </c>
      <c r="CC58" s="50">
        <f t="shared" ref="CC58:CC59" si="398">CEILING(BZ58/CA58/CB58,0.5)</f>
        <v>2.5</v>
      </c>
      <c r="CD58" s="240">
        <v>4776.580559999984</v>
      </c>
      <c r="CE58" s="100">
        <v>8000</v>
      </c>
      <c r="CF58" s="51">
        <v>1</v>
      </c>
      <c r="CG58" s="50">
        <f t="shared" ref="CG58:CG59" si="399">CEILING(CD58/CE58/CF58,0.5)</f>
        <v>1</v>
      </c>
      <c r="CH58" s="240">
        <v>3184.3870399999896</v>
      </c>
      <c r="CI58" s="100">
        <v>300</v>
      </c>
      <c r="CJ58" s="51">
        <v>2</v>
      </c>
      <c r="CK58" s="50">
        <f t="shared" ref="CK58:CK59" si="400">CEILING(CH58/CI58/CJ58,0.5)</f>
        <v>5.5</v>
      </c>
      <c r="CL58" s="97">
        <f t="shared" ref="CL58:CL59" si="401">I58</f>
        <v>306.253999999999</v>
      </c>
      <c r="CM58" s="96">
        <v>50</v>
      </c>
      <c r="CN58" s="51">
        <v>1</v>
      </c>
      <c r="CO58" s="50">
        <f t="shared" ref="CO58:CO59" si="402">CEILING(CL58/CM58/CN58,0.5)</f>
        <v>6.5</v>
      </c>
      <c r="CP58" s="95">
        <f t="shared" ref="CP58:CP59" si="403">ROUNDUP(SUM(BU58,BY58,CC58,CG58,CK58,CO58),0)</f>
        <v>18</v>
      </c>
      <c r="CQ58" s="4">
        <f t="shared" ref="CQ58:CQ59" si="404">AP58</f>
        <v>30</v>
      </c>
      <c r="CR58" s="222">
        <f t="shared" ref="CR58:CR59" si="405">BQ58</f>
        <v>44</v>
      </c>
      <c r="CS58" s="222">
        <f t="shared" ref="CS58:CS59" si="406">CP58</f>
        <v>18</v>
      </c>
      <c r="CT58" s="4">
        <f t="shared" ref="CT58:CT59" si="407">SUM(CQ58:CS58)</f>
        <v>92</v>
      </c>
      <c r="CY58" s="46"/>
      <c r="DF58" s="46"/>
    </row>
    <row r="59" spans="2:110" s="6" customFormat="1" ht="18" customHeight="1">
      <c r="B59" s="94">
        <v>41</v>
      </c>
      <c r="C59" s="119" t="s">
        <v>161</v>
      </c>
      <c r="D59" s="94" t="s">
        <v>116</v>
      </c>
      <c r="E59" s="94" t="s">
        <v>18</v>
      </c>
      <c r="F59" s="245"/>
      <c r="G59" s="272">
        <v>11668.084999999999</v>
      </c>
      <c r="H59" s="272">
        <v>11885.094999999999</v>
      </c>
      <c r="I59" s="93">
        <f t="shared" si="378"/>
        <v>217.01000000000022</v>
      </c>
      <c r="J59" s="93">
        <f>I59</f>
        <v>217.01000000000022</v>
      </c>
      <c r="K59" s="215" t="s">
        <v>102</v>
      </c>
      <c r="L59" s="306" t="s">
        <v>166</v>
      </c>
      <c r="M59" s="309">
        <f>SUM(I59:I62)</f>
        <v>1002.882999999998</v>
      </c>
      <c r="N59" s="312">
        <f>SUM(CQ59:CQ62,CR60:CS60)/18.4</f>
        <v>8.4239130434782616</v>
      </c>
      <c r="O59" s="315">
        <v>33</v>
      </c>
      <c r="P59" s="91">
        <v>3</v>
      </c>
      <c r="Q59" s="223">
        <v>327.68510000000032</v>
      </c>
      <c r="R59" s="89">
        <v>53.9</v>
      </c>
      <c r="S59" s="83">
        <v>2</v>
      </c>
      <c r="T59" s="87">
        <f t="shared" si="379"/>
        <v>3.5</v>
      </c>
      <c r="U59" s="223">
        <v>1197.8952000000013</v>
      </c>
      <c r="V59" s="86">
        <v>190</v>
      </c>
      <c r="W59" s="83">
        <v>2</v>
      </c>
      <c r="X59" s="87">
        <f t="shared" si="380"/>
        <v>3.5</v>
      </c>
      <c r="Y59" s="223">
        <v>290.7934000000003</v>
      </c>
      <c r="Z59" s="86">
        <v>42</v>
      </c>
      <c r="AA59" s="83">
        <v>2</v>
      </c>
      <c r="AB59" s="79">
        <f t="shared" si="381"/>
        <v>4.5</v>
      </c>
      <c r="AC59" s="223">
        <v>173.60800000000017</v>
      </c>
      <c r="AD59" s="86">
        <v>40</v>
      </c>
      <c r="AE59" s="83">
        <v>2</v>
      </c>
      <c r="AF59" s="87">
        <f t="shared" si="382"/>
        <v>2.5</v>
      </c>
      <c r="AG59" s="223">
        <v>78.123600000000081</v>
      </c>
      <c r="AH59" s="86">
        <v>130</v>
      </c>
      <c r="AI59" s="83">
        <v>1</v>
      </c>
      <c r="AJ59" s="79">
        <f t="shared" si="383"/>
        <v>2</v>
      </c>
      <c r="AK59" s="91">
        <f t="shared" si="384"/>
        <v>2</v>
      </c>
      <c r="AL59" s="223">
        <v>247.39140000000023</v>
      </c>
      <c r="AM59" s="86">
        <v>225</v>
      </c>
      <c r="AN59" s="83">
        <v>1</v>
      </c>
      <c r="AO59" s="87">
        <f t="shared" si="385"/>
        <v>1.5</v>
      </c>
      <c r="AP59" s="85">
        <f t="shared" si="386"/>
        <v>23</v>
      </c>
      <c r="AQ59" s="223">
        <v>86.804000000000087</v>
      </c>
      <c r="AR59" s="39">
        <v>40</v>
      </c>
      <c r="AS59" s="83">
        <v>1</v>
      </c>
      <c r="AT59" s="87">
        <f t="shared" si="387"/>
        <v>2.5</v>
      </c>
      <c r="AU59" s="223">
        <v>95.484400000000107</v>
      </c>
      <c r="AV59" s="86">
        <v>130</v>
      </c>
      <c r="AW59" s="83">
        <v>1</v>
      </c>
      <c r="AX59" s="79">
        <f t="shared" si="388"/>
        <v>2</v>
      </c>
      <c r="AY59" s="91">
        <f t="shared" si="389"/>
        <v>5</v>
      </c>
      <c r="AZ59" s="223">
        <v>868.04000000000087</v>
      </c>
      <c r="BA59" s="80">
        <f t="shared" si="6"/>
        <v>220</v>
      </c>
      <c r="BB59" s="83">
        <v>1</v>
      </c>
      <c r="BC59" s="87">
        <f t="shared" si="390"/>
        <v>4</v>
      </c>
      <c r="BD59" s="223">
        <v>327.25108000000034</v>
      </c>
      <c r="BE59" s="39">
        <v>35</v>
      </c>
      <c r="BF59" s="83">
        <v>2</v>
      </c>
      <c r="BG59" s="79">
        <f t="shared" si="391"/>
        <v>2</v>
      </c>
      <c r="BH59" s="223">
        <v>55.554560000000059</v>
      </c>
      <c r="BI59" s="48">
        <v>3.4</v>
      </c>
      <c r="BJ59" s="83">
        <v>2</v>
      </c>
      <c r="BK59" s="87">
        <f t="shared" si="392"/>
        <v>8.5</v>
      </c>
      <c r="BL59" s="223">
        <v>297.73772000000031</v>
      </c>
      <c r="BM59" s="86">
        <v>125</v>
      </c>
      <c r="BN59" s="83">
        <v>1</v>
      </c>
      <c r="BO59" s="79">
        <f t="shared" si="393"/>
        <v>4</v>
      </c>
      <c r="BP59" s="91">
        <f t="shared" si="394"/>
        <v>7</v>
      </c>
      <c r="BQ59" s="37">
        <f t="shared" si="395"/>
        <v>35</v>
      </c>
      <c r="BR59" s="223">
        <v>107.20294000000011</v>
      </c>
      <c r="BS59" s="86">
        <v>165</v>
      </c>
      <c r="BT59" s="83">
        <v>1</v>
      </c>
      <c r="BU59" s="87">
        <f t="shared" si="396"/>
        <v>1</v>
      </c>
      <c r="BV59" s="223">
        <v>145.39670000000015</v>
      </c>
      <c r="BW59" s="86">
        <v>150</v>
      </c>
      <c r="BX59" s="83">
        <v>2</v>
      </c>
      <c r="BY59" s="87">
        <f t="shared" si="397"/>
        <v>0.5</v>
      </c>
      <c r="BZ59" s="223">
        <v>885.40080000000091</v>
      </c>
      <c r="CA59" s="39">
        <v>320</v>
      </c>
      <c r="CB59" s="83">
        <v>2</v>
      </c>
      <c r="CC59" s="87">
        <f t="shared" si="398"/>
        <v>1.5</v>
      </c>
      <c r="CD59" s="223">
        <v>2656.2024000000029</v>
      </c>
      <c r="CE59" s="39">
        <v>8000</v>
      </c>
      <c r="CF59" s="83">
        <v>1</v>
      </c>
      <c r="CG59" s="87">
        <f t="shared" si="399"/>
        <v>0.5</v>
      </c>
      <c r="CH59" s="223">
        <v>1770.8016000000018</v>
      </c>
      <c r="CI59" s="39">
        <v>300</v>
      </c>
      <c r="CJ59" s="83">
        <v>2</v>
      </c>
      <c r="CK59" s="87">
        <f t="shared" si="400"/>
        <v>3</v>
      </c>
      <c r="CL59" s="42">
        <f t="shared" si="401"/>
        <v>217.01000000000022</v>
      </c>
      <c r="CM59" s="43">
        <v>50</v>
      </c>
      <c r="CN59" s="83">
        <v>1</v>
      </c>
      <c r="CO59" s="87">
        <f t="shared" si="402"/>
        <v>4.5</v>
      </c>
      <c r="CP59" s="75">
        <f t="shared" si="403"/>
        <v>11</v>
      </c>
      <c r="CQ59" s="78">
        <f t="shared" si="404"/>
        <v>23</v>
      </c>
      <c r="CR59" s="78">
        <f t="shared" si="405"/>
        <v>35</v>
      </c>
      <c r="CS59" s="78">
        <f t="shared" si="406"/>
        <v>11</v>
      </c>
      <c r="CT59" s="78">
        <f t="shared" si="407"/>
        <v>69</v>
      </c>
      <c r="CY59" s="46"/>
      <c r="DF59" s="46"/>
    </row>
    <row r="60" spans="2:110" s="6" customFormat="1" ht="18" customHeight="1">
      <c r="B60" s="229">
        <v>42</v>
      </c>
      <c r="C60" s="275" t="s">
        <v>162</v>
      </c>
      <c r="D60" s="229" t="s">
        <v>116</v>
      </c>
      <c r="E60" s="229" t="s">
        <v>18</v>
      </c>
      <c r="F60" s="271"/>
      <c r="G60" s="273">
        <v>11920.751</v>
      </c>
      <c r="H60" s="273">
        <v>12212.407999999999</v>
      </c>
      <c r="I60" s="82">
        <f t="shared" ref="I60" si="408">H60-G60</f>
        <v>291.65699999999924</v>
      </c>
      <c r="J60" s="82">
        <f>J59+I60</f>
        <v>508.66699999999946</v>
      </c>
      <c r="K60" s="213" t="s">
        <v>102</v>
      </c>
      <c r="L60" s="307"/>
      <c r="M60" s="310"/>
      <c r="N60" s="313"/>
      <c r="O60" s="316"/>
      <c r="P60" s="19">
        <v>3</v>
      </c>
      <c r="Q60" s="199">
        <v>440.40206999999884</v>
      </c>
      <c r="R60" s="8">
        <v>53.9</v>
      </c>
      <c r="S60" s="9">
        <v>2</v>
      </c>
      <c r="T60" s="10">
        <f t="shared" ref="T60" si="409">CEILING(Q60/R60/S60,0.5)</f>
        <v>4.5</v>
      </c>
      <c r="U60" s="199">
        <v>1609.946639999996</v>
      </c>
      <c r="V60" s="11">
        <v>190</v>
      </c>
      <c r="W60" s="9">
        <v>2</v>
      </c>
      <c r="X60" s="10">
        <f t="shared" ref="X60" si="410">CEILING(U60/V60/W60,0.5)</f>
        <v>4.5</v>
      </c>
      <c r="Y60" s="199">
        <v>390.82037999999903</v>
      </c>
      <c r="Z60" s="11">
        <v>42</v>
      </c>
      <c r="AA60" s="9">
        <v>2</v>
      </c>
      <c r="AB60" s="12">
        <f t="shared" ref="AB60" si="411">IF(Y60="","",CEILING(Y60/Z60/AA60,0.5)+1)</f>
        <v>6</v>
      </c>
      <c r="AC60" s="199">
        <v>233.32559999999941</v>
      </c>
      <c r="AD60" s="11">
        <v>40</v>
      </c>
      <c r="AE60" s="9">
        <v>2</v>
      </c>
      <c r="AF60" s="10">
        <f t="shared" ref="AF60" si="412">CEILING(AC60/AD60/AE60,0.5)</f>
        <v>3</v>
      </c>
      <c r="AG60" s="199">
        <v>104.99651999999973</v>
      </c>
      <c r="AH60" s="11">
        <v>130</v>
      </c>
      <c r="AI60" s="9">
        <v>1</v>
      </c>
      <c r="AJ60" s="12">
        <f t="shared" ref="AJ60" si="413">IF(AG60="","",ROUNDUP(AG60/AH60/AI60,0)+1)</f>
        <v>2</v>
      </c>
      <c r="AK60" s="19">
        <f t="shared" ref="AK60" si="414">IF(E60="보통",2,IF(E60="조강",1,""))</f>
        <v>2</v>
      </c>
      <c r="AL60" s="199">
        <v>332.48897999999912</v>
      </c>
      <c r="AM60" s="11">
        <v>225</v>
      </c>
      <c r="AN60" s="9">
        <v>1</v>
      </c>
      <c r="AO60" s="10">
        <f t="shared" ref="AO60" si="415">CEILING(AL60/AM60/AN60,0.5)</f>
        <v>1.5</v>
      </c>
      <c r="AP60" s="18">
        <f t="shared" ref="AP60" si="416">ROUNDUP(SUM(P60,T60,X60,AB60,AF60,AJ60,AK60,AO60),0)</f>
        <v>27</v>
      </c>
      <c r="AQ60" s="199">
        <v>116.66279999999971</v>
      </c>
      <c r="AR60" s="13">
        <v>40</v>
      </c>
      <c r="AS60" s="9">
        <v>1</v>
      </c>
      <c r="AT60" s="10">
        <f t="shared" ref="AT60" si="417">CEILING(AQ60/AR60/AS60,0.5)</f>
        <v>3</v>
      </c>
      <c r="AU60" s="199">
        <v>128.32907999999969</v>
      </c>
      <c r="AV60" s="11">
        <v>130</v>
      </c>
      <c r="AW60" s="9">
        <v>1</v>
      </c>
      <c r="AX60" s="12">
        <f t="shared" ref="AX60" si="418">IF(AU60="","",ROUNDUP(AU60/AV60/AW60,0)+1)</f>
        <v>2</v>
      </c>
      <c r="AY60" s="19">
        <f t="shared" ref="AY60" si="419">IF(E60="보통",5,IF(E60="조강",2,""))</f>
        <v>5</v>
      </c>
      <c r="AZ60" s="199">
        <v>1166.627999999997</v>
      </c>
      <c r="BA60" s="25">
        <f t="shared" si="6"/>
        <v>220</v>
      </c>
      <c r="BB60" s="9">
        <v>1</v>
      </c>
      <c r="BC60" s="10">
        <f t="shared" ref="BC60" si="420">CEILING(AZ60/BA60/BB60,0.5)</f>
        <v>5.5</v>
      </c>
      <c r="BD60" s="199">
        <v>439.81875599999887</v>
      </c>
      <c r="BE60" s="13">
        <v>35</v>
      </c>
      <c r="BF60" s="9">
        <v>2</v>
      </c>
      <c r="BG60" s="12">
        <f t="shared" ref="BG60" si="421">IF(BD60="","",2)</f>
        <v>2</v>
      </c>
      <c r="BH60" s="199">
        <v>74.664191999999801</v>
      </c>
      <c r="BI60" s="14">
        <v>3.4</v>
      </c>
      <c r="BJ60" s="9">
        <v>2</v>
      </c>
      <c r="BK60" s="10">
        <f t="shared" ref="BK60" si="422">CEILING(BH60/BI60/BJ60,0.5)</f>
        <v>11</v>
      </c>
      <c r="BL60" s="199">
        <v>400.153403999999</v>
      </c>
      <c r="BM60" s="11">
        <v>125</v>
      </c>
      <c r="BN60" s="9">
        <v>1</v>
      </c>
      <c r="BO60" s="12">
        <f t="shared" ref="BO60" si="423">IF(BL60="","",ROUNDUP(BL60/BM60/BN60,0)+1)</f>
        <v>5</v>
      </c>
      <c r="BP60" s="19">
        <f t="shared" ref="BP60" si="424">IF(E60="보통",7,IF(E60="조강",3,""))</f>
        <v>7</v>
      </c>
      <c r="BQ60" s="21">
        <f t="shared" ref="BQ60" si="425">ROUNDUP(SUM(AT60,AX60,AY60,BC60,BG60,BK60,BO60,BP60),0)</f>
        <v>41</v>
      </c>
      <c r="BR60" s="199">
        <v>144.07855799999962</v>
      </c>
      <c r="BS60" s="11">
        <v>165</v>
      </c>
      <c r="BT60" s="9">
        <v>1</v>
      </c>
      <c r="BU60" s="10">
        <f t="shared" ref="BU60" si="426">CEILING(BR60/BS60/BT60,0.5)</f>
        <v>1</v>
      </c>
      <c r="BV60" s="199">
        <v>195.41018999999952</v>
      </c>
      <c r="BW60" s="11">
        <v>150</v>
      </c>
      <c r="BX60" s="9">
        <v>2</v>
      </c>
      <c r="BY60" s="10">
        <f t="shared" ref="BY60" si="427">CEILING(BV60/BW60/BX60,0.5)</f>
        <v>1</v>
      </c>
      <c r="BZ60" s="199">
        <v>1189.960559999997</v>
      </c>
      <c r="CA60" s="13">
        <v>320</v>
      </c>
      <c r="CB60" s="9">
        <v>2</v>
      </c>
      <c r="CC60" s="10">
        <f t="shared" ref="CC60" si="428">CEILING(BZ60/CA60/CB60,0.5)</f>
        <v>2</v>
      </c>
      <c r="CD60" s="199">
        <v>3569.8816799999913</v>
      </c>
      <c r="CE60" s="13">
        <v>8000</v>
      </c>
      <c r="CF60" s="9">
        <v>1</v>
      </c>
      <c r="CG60" s="10">
        <f t="shared" ref="CG60" si="429">CEILING(CD60/CE60/CF60,0.5)</f>
        <v>0.5</v>
      </c>
      <c r="CH60" s="199">
        <v>2379.9211199999941</v>
      </c>
      <c r="CI60" s="13">
        <v>300</v>
      </c>
      <c r="CJ60" s="9">
        <v>2</v>
      </c>
      <c r="CK60" s="10">
        <f t="shared" ref="CK60" si="430">CEILING(CH60/CI60/CJ60,0.5)</f>
        <v>4</v>
      </c>
      <c r="CL60" s="41">
        <f t="shared" ref="CL60" si="431">I60</f>
        <v>291.65699999999924</v>
      </c>
      <c r="CM60" s="15">
        <v>50</v>
      </c>
      <c r="CN60" s="9">
        <v>1</v>
      </c>
      <c r="CO60" s="10">
        <f t="shared" ref="CO60" si="432">CEILING(CL60/CM60/CN60,0.5)</f>
        <v>6</v>
      </c>
      <c r="CP60" s="20">
        <f t="shared" ref="CP60" si="433">ROUNDUP(SUM(BU60,BY60,CC60,CG60,CK60,CO60),0)</f>
        <v>15</v>
      </c>
      <c r="CQ60" s="5">
        <f t="shared" ref="CQ60" si="434">AP60</f>
        <v>27</v>
      </c>
      <c r="CR60" s="218">
        <f>BQ60</f>
        <v>41</v>
      </c>
      <c r="CS60" s="218">
        <f t="shared" ref="CS60" si="435">CP60</f>
        <v>15</v>
      </c>
      <c r="CT60" s="5">
        <f t="shared" ref="CT60" si="436">SUM(CQ60:CS60)</f>
        <v>83</v>
      </c>
      <c r="CY60" s="46"/>
      <c r="DF60" s="46"/>
    </row>
    <row r="61" spans="2:110" s="6" customFormat="1" ht="18" customHeight="1">
      <c r="B61" s="229">
        <v>43</v>
      </c>
      <c r="C61" s="275" t="s">
        <v>163</v>
      </c>
      <c r="D61" s="229" t="s">
        <v>116</v>
      </c>
      <c r="E61" s="229" t="s">
        <v>18</v>
      </c>
      <c r="F61" s="271"/>
      <c r="G61" s="273">
        <v>12254.748</v>
      </c>
      <c r="H61" s="273">
        <v>12503.953</v>
      </c>
      <c r="I61" s="82">
        <f t="shared" ref="I61:I65" si="437">H61-G61</f>
        <v>249.20499999999993</v>
      </c>
      <c r="J61" s="82">
        <f>J60+I61</f>
        <v>757.87199999999939</v>
      </c>
      <c r="K61" s="213" t="s">
        <v>102</v>
      </c>
      <c r="L61" s="307"/>
      <c r="M61" s="310"/>
      <c r="N61" s="313"/>
      <c r="O61" s="316"/>
      <c r="P61" s="19">
        <v>3</v>
      </c>
      <c r="Q61" s="33">
        <v>383.27130999999923</v>
      </c>
      <c r="R61" s="8">
        <v>53.9</v>
      </c>
      <c r="S61" s="9">
        <v>2</v>
      </c>
      <c r="T61" s="10">
        <f t="shared" ref="T61:T65" si="438">CEILING(Q61/R61/S61,0.5)</f>
        <v>4</v>
      </c>
      <c r="U61" s="33">
        <v>1393.5251499999979</v>
      </c>
      <c r="V61" s="11">
        <v>190</v>
      </c>
      <c r="W61" s="9">
        <v>2</v>
      </c>
      <c r="X61" s="10">
        <f t="shared" ref="X61:X65" si="439">CEILING(U61/V61/W61,0.5)</f>
        <v>4</v>
      </c>
      <c r="Y61" s="33">
        <v>333.93469999999991</v>
      </c>
      <c r="Z61" s="11">
        <v>42</v>
      </c>
      <c r="AA61" s="9">
        <v>2</v>
      </c>
      <c r="AB61" s="12">
        <f t="shared" ref="AB61:AB63" si="440">IF(Y61="","",CEILING(Y61/Z61/AA61,0.5)+1)</f>
        <v>5</v>
      </c>
      <c r="AC61" s="33">
        <v>199.36399999999995</v>
      </c>
      <c r="AD61" s="11">
        <v>40</v>
      </c>
      <c r="AE61" s="9">
        <v>2</v>
      </c>
      <c r="AF61" s="10">
        <f t="shared" ref="AF61:AF65" si="441">CEILING(AC61/AD61/AE61,0.5)</f>
        <v>2.5</v>
      </c>
      <c r="AG61" s="33">
        <v>89.713799999999978</v>
      </c>
      <c r="AH61" s="11">
        <v>130</v>
      </c>
      <c r="AI61" s="9">
        <v>1</v>
      </c>
      <c r="AJ61" s="12">
        <f t="shared" ref="AJ61:AJ63" si="442">IF(AG61="","",ROUNDUP(AG61/AH61/AI61,0)+1)</f>
        <v>2</v>
      </c>
      <c r="AK61" s="19">
        <f t="shared" ref="AK61:AK63" si="443">IF(E61="보통",2,IF(E61="조강",1,""))</f>
        <v>2</v>
      </c>
      <c r="AL61" s="33">
        <v>291.45277999999922</v>
      </c>
      <c r="AM61" s="11">
        <v>225</v>
      </c>
      <c r="AN61" s="9">
        <v>1</v>
      </c>
      <c r="AO61" s="10">
        <f t="shared" ref="AO61:AO63" si="444">CEILING(AL61/AM61/AN61,0.5)</f>
        <v>1.5</v>
      </c>
      <c r="AP61" s="18">
        <f t="shared" ref="AP61:AP63" si="445">ROUNDUP(SUM(P61,T61,X61,AB61,AF61,AJ61,AK61,AO61),0)</f>
        <v>24</v>
      </c>
      <c r="AQ61" s="33">
        <v>99.681999999999974</v>
      </c>
      <c r="AR61" s="13">
        <v>40</v>
      </c>
      <c r="AS61" s="9">
        <v>1</v>
      </c>
      <c r="AT61" s="10">
        <f t="shared" ref="AT61:AT65" si="446">CEILING(AQ61/AR61/AS61,0.5)</f>
        <v>2.5</v>
      </c>
      <c r="AU61" s="33">
        <v>109.65019999999998</v>
      </c>
      <c r="AV61" s="11">
        <v>130</v>
      </c>
      <c r="AW61" s="9">
        <v>1</v>
      </c>
      <c r="AX61" s="12">
        <f t="shared" ref="AX61:AX65" si="447">IF(AU61="","",ROUNDUP(AU61/AV61/AW61,0)+1)</f>
        <v>2</v>
      </c>
      <c r="AY61" s="19">
        <f t="shared" ref="AY61:AY63" si="448">IF(E61="보통",5,IF(E61="조강",2,""))</f>
        <v>5</v>
      </c>
      <c r="AZ61" s="33">
        <v>996.81999999999971</v>
      </c>
      <c r="BA61" s="25">
        <f t="shared" si="6"/>
        <v>220</v>
      </c>
      <c r="BB61" s="9">
        <v>1</v>
      </c>
      <c r="BC61" s="10">
        <f t="shared" ref="BC61:BC65" si="449">CEILING(AZ61/BA61/BB61,0.5)</f>
        <v>5</v>
      </c>
      <c r="BD61" s="33">
        <v>375.80113999999992</v>
      </c>
      <c r="BE61" s="13">
        <v>35</v>
      </c>
      <c r="BF61" s="9">
        <v>2</v>
      </c>
      <c r="BG61" s="12">
        <f t="shared" ref="BG61:BG65" si="450">IF(BD61="","",2)</f>
        <v>2</v>
      </c>
      <c r="BH61" s="33">
        <v>63.796479999999981</v>
      </c>
      <c r="BI61" s="14">
        <v>3.4</v>
      </c>
      <c r="BJ61" s="9">
        <v>2</v>
      </c>
      <c r="BK61" s="10">
        <f t="shared" ref="BK61:BK65" si="451">CEILING(BH61/BI61/BJ61,0.5)</f>
        <v>9.5</v>
      </c>
      <c r="BL61" s="33">
        <v>341.90925999999996</v>
      </c>
      <c r="BM61" s="11">
        <v>125</v>
      </c>
      <c r="BN61" s="9">
        <v>1</v>
      </c>
      <c r="BO61" s="12">
        <f t="shared" ref="BO61:BO65" si="452">IF(BL61="","",ROUNDUP(BL61/BM61/BN61,0)+1)</f>
        <v>4</v>
      </c>
      <c r="BP61" s="19">
        <f t="shared" ref="BP61:BP65" si="453">IF(E61="보통",7,IF(E61="조강",3,""))</f>
        <v>7</v>
      </c>
      <c r="BQ61" s="21">
        <f t="shared" ref="BQ61:BQ65" si="454">ROUNDUP(SUM(AT61,AX61,AY61,BC61,BG61,BK61,BO61,BP61),0)</f>
        <v>37</v>
      </c>
      <c r="BR61" s="33">
        <v>127.40652199999955</v>
      </c>
      <c r="BS61" s="11">
        <v>165</v>
      </c>
      <c r="BT61" s="9">
        <v>1</v>
      </c>
      <c r="BU61" s="10">
        <f t="shared" ref="BU61:BU65" si="455">CEILING(BR61/BS61/BT61,0.5)</f>
        <v>1</v>
      </c>
      <c r="BV61" s="33">
        <v>173.22256799999934</v>
      </c>
      <c r="BW61" s="11">
        <v>150</v>
      </c>
      <c r="BX61" s="9">
        <v>2</v>
      </c>
      <c r="BY61" s="10">
        <f t="shared" ref="BY61:BY65" si="456">CEILING(BV61/BW61/BX61,0.5)</f>
        <v>1</v>
      </c>
      <c r="BZ61" s="33">
        <v>1053.5517999999963</v>
      </c>
      <c r="CA61" s="13">
        <v>320</v>
      </c>
      <c r="CB61" s="9">
        <v>2</v>
      </c>
      <c r="CC61" s="10">
        <f t="shared" ref="CC61:CC65" si="457">CEILING(BZ61/CA61/CB61,0.5)</f>
        <v>2</v>
      </c>
      <c r="CD61" s="33">
        <v>3160.6553999999887</v>
      </c>
      <c r="CE61" s="13">
        <v>8000</v>
      </c>
      <c r="CF61" s="9">
        <v>1</v>
      </c>
      <c r="CG61" s="10">
        <f t="shared" ref="CG61:CG65" si="458">CEILING(CD61/CE61/CF61,0.5)</f>
        <v>0.5</v>
      </c>
      <c r="CH61" s="33">
        <v>2107.1035999999926</v>
      </c>
      <c r="CI61" s="13">
        <v>300</v>
      </c>
      <c r="CJ61" s="9">
        <v>2</v>
      </c>
      <c r="CK61" s="10">
        <f t="shared" ref="CK61:CK65" si="459">CEILING(CH61/CI61/CJ61,0.5)</f>
        <v>4</v>
      </c>
      <c r="CL61" s="41">
        <f t="shared" ref="CL61:CL65" si="460">I61</f>
        <v>249.20499999999993</v>
      </c>
      <c r="CM61" s="15">
        <v>50</v>
      </c>
      <c r="CN61" s="9">
        <v>1</v>
      </c>
      <c r="CO61" s="10">
        <f t="shared" ref="CO61:CO65" si="461">CEILING(CL61/CM61/CN61,0.5)</f>
        <v>5</v>
      </c>
      <c r="CP61" s="20">
        <f t="shared" ref="CP61:CP65" si="462">ROUNDUP(SUM(BU61,BY61,CC61,CG61,CK61,CO61),0)</f>
        <v>14</v>
      </c>
      <c r="CQ61" s="5">
        <f t="shared" ref="CQ61:CQ65" si="463">AP61</f>
        <v>24</v>
      </c>
      <c r="CR61" s="5">
        <f>BQ61</f>
        <v>37</v>
      </c>
      <c r="CS61" s="5">
        <f t="shared" ref="CS61:CS65" si="464">CP61</f>
        <v>14</v>
      </c>
      <c r="CT61" s="5">
        <f t="shared" ref="CT61:CT65" si="465">SUM(CQ61:CS61)</f>
        <v>75</v>
      </c>
      <c r="CY61" s="46"/>
      <c r="DF61" s="46"/>
    </row>
    <row r="62" spans="2:110" s="6" customFormat="1" ht="17.25" customHeight="1" thickBot="1">
      <c r="B62" s="56">
        <v>44</v>
      </c>
      <c r="C62" s="296" t="s">
        <v>164</v>
      </c>
      <c r="D62" s="56" t="s">
        <v>116</v>
      </c>
      <c r="E62" s="56" t="s">
        <v>18</v>
      </c>
      <c r="F62" s="243"/>
      <c r="G62" s="297">
        <v>12547.94</v>
      </c>
      <c r="H62" s="297">
        <v>12792.950999999999</v>
      </c>
      <c r="I62" s="53">
        <f t="shared" si="437"/>
        <v>245.0109999999986</v>
      </c>
      <c r="J62" s="53">
        <f>J61+I62</f>
        <v>1002.882999999998</v>
      </c>
      <c r="K62" s="217" t="s">
        <v>165</v>
      </c>
      <c r="L62" s="318"/>
      <c r="M62" s="319"/>
      <c r="N62" s="320"/>
      <c r="O62" s="321"/>
      <c r="P62" s="104">
        <v>3</v>
      </c>
      <c r="Q62" s="299">
        <v>435.55140999999799</v>
      </c>
      <c r="R62" s="55">
        <v>53.9</v>
      </c>
      <c r="S62" s="51">
        <v>2</v>
      </c>
      <c r="T62" s="50">
        <f t="shared" si="438"/>
        <v>4.5</v>
      </c>
      <c r="U62" s="299">
        <v>1561.3772199999926</v>
      </c>
      <c r="V62" s="49">
        <v>190</v>
      </c>
      <c r="W62" s="51">
        <v>2</v>
      </c>
      <c r="X62" s="50">
        <f t="shared" si="439"/>
        <v>4.5</v>
      </c>
      <c r="Y62" s="299">
        <v>328.3147399999981</v>
      </c>
      <c r="Z62" s="49">
        <v>42</v>
      </c>
      <c r="AA62" s="51">
        <v>2</v>
      </c>
      <c r="AB62" s="102">
        <f t="shared" si="440"/>
        <v>5</v>
      </c>
      <c r="AC62" s="299">
        <v>196.0087999999989</v>
      </c>
      <c r="AD62" s="49">
        <v>40</v>
      </c>
      <c r="AE62" s="51">
        <v>2</v>
      </c>
      <c r="AF62" s="50">
        <f t="shared" si="441"/>
        <v>2.5</v>
      </c>
      <c r="AG62" s="299">
        <v>88.203959999999512</v>
      </c>
      <c r="AH62" s="49">
        <v>130</v>
      </c>
      <c r="AI62" s="51">
        <v>1</v>
      </c>
      <c r="AJ62" s="102">
        <f t="shared" si="442"/>
        <v>2</v>
      </c>
      <c r="AK62" s="104">
        <f t="shared" si="443"/>
        <v>2</v>
      </c>
      <c r="AL62" s="299">
        <v>312.5409399999985</v>
      </c>
      <c r="AM62" s="49">
        <v>225</v>
      </c>
      <c r="AN62" s="51">
        <v>1</v>
      </c>
      <c r="AO62" s="50">
        <f t="shared" si="444"/>
        <v>1.5</v>
      </c>
      <c r="AP62" s="101">
        <f t="shared" si="445"/>
        <v>25</v>
      </c>
      <c r="AQ62" s="299">
        <v>98.00439999999945</v>
      </c>
      <c r="AR62" s="100">
        <v>40</v>
      </c>
      <c r="AS62" s="51">
        <v>1</v>
      </c>
      <c r="AT62" s="50">
        <f t="shared" si="446"/>
        <v>2.5</v>
      </c>
      <c r="AU62" s="299">
        <v>107.8048399999994</v>
      </c>
      <c r="AV62" s="49">
        <v>130</v>
      </c>
      <c r="AW62" s="51">
        <v>1</v>
      </c>
      <c r="AX62" s="102">
        <f t="shared" si="447"/>
        <v>2</v>
      </c>
      <c r="AY62" s="104">
        <f t="shared" si="448"/>
        <v>5</v>
      </c>
      <c r="AZ62" s="299">
        <v>980.04399999999441</v>
      </c>
      <c r="BA62" s="103">
        <f t="shared" si="6"/>
        <v>220</v>
      </c>
      <c r="BB62" s="51">
        <v>1</v>
      </c>
      <c r="BC62" s="50">
        <f t="shared" si="449"/>
        <v>4.5</v>
      </c>
      <c r="BD62" s="299">
        <v>369.47658799999789</v>
      </c>
      <c r="BE62" s="100">
        <v>35</v>
      </c>
      <c r="BF62" s="51">
        <v>2</v>
      </c>
      <c r="BG62" s="102">
        <f t="shared" si="450"/>
        <v>2</v>
      </c>
      <c r="BH62" s="299">
        <v>62.722815999999639</v>
      </c>
      <c r="BI62" s="99">
        <v>3.4</v>
      </c>
      <c r="BJ62" s="51">
        <v>2</v>
      </c>
      <c r="BK62" s="50">
        <f t="shared" si="451"/>
        <v>9.5</v>
      </c>
      <c r="BL62" s="299">
        <v>336.15509199999809</v>
      </c>
      <c r="BM62" s="49">
        <v>125</v>
      </c>
      <c r="BN62" s="51">
        <v>1</v>
      </c>
      <c r="BO62" s="102">
        <f t="shared" si="452"/>
        <v>4</v>
      </c>
      <c r="BP62" s="104">
        <f t="shared" si="453"/>
        <v>7</v>
      </c>
      <c r="BQ62" s="98">
        <f t="shared" si="454"/>
        <v>37</v>
      </c>
      <c r="BR62" s="299">
        <v>145.47939399999939</v>
      </c>
      <c r="BS62" s="49">
        <v>165</v>
      </c>
      <c r="BT62" s="51">
        <v>1</v>
      </c>
      <c r="BU62" s="50">
        <f t="shared" si="455"/>
        <v>1</v>
      </c>
      <c r="BV62" s="299">
        <v>192.40150999999918</v>
      </c>
      <c r="BW62" s="49">
        <v>150</v>
      </c>
      <c r="BX62" s="51">
        <v>2</v>
      </c>
      <c r="BY62" s="50">
        <f t="shared" si="456"/>
        <v>1</v>
      </c>
      <c r="BZ62" s="299">
        <v>1165.7868799999947</v>
      </c>
      <c r="CA62" s="100">
        <v>320</v>
      </c>
      <c r="CB62" s="51">
        <v>2</v>
      </c>
      <c r="CC62" s="50">
        <f t="shared" si="457"/>
        <v>2</v>
      </c>
      <c r="CD62" s="299">
        <v>3497.3606399999844</v>
      </c>
      <c r="CE62" s="100">
        <v>8000</v>
      </c>
      <c r="CF62" s="51">
        <v>1</v>
      </c>
      <c r="CG62" s="50">
        <f t="shared" si="458"/>
        <v>0.5</v>
      </c>
      <c r="CH62" s="299">
        <v>2331.5737599999893</v>
      </c>
      <c r="CI62" s="100">
        <v>300</v>
      </c>
      <c r="CJ62" s="51">
        <v>2</v>
      </c>
      <c r="CK62" s="50">
        <f t="shared" si="459"/>
        <v>4</v>
      </c>
      <c r="CL62" s="97">
        <f t="shared" si="460"/>
        <v>245.0109999999986</v>
      </c>
      <c r="CM62" s="96">
        <v>50</v>
      </c>
      <c r="CN62" s="51">
        <v>1</v>
      </c>
      <c r="CO62" s="50">
        <f t="shared" si="461"/>
        <v>5</v>
      </c>
      <c r="CP62" s="95">
        <f t="shared" si="462"/>
        <v>14</v>
      </c>
      <c r="CQ62" s="4">
        <f t="shared" si="463"/>
        <v>25</v>
      </c>
      <c r="CR62" s="4">
        <f t="shared" ref="CR62:CR64" si="466">BQ62</f>
        <v>37</v>
      </c>
      <c r="CS62" s="4">
        <f t="shared" si="464"/>
        <v>14</v>
      </c>
      <c r="CT62" s="4">
        <f t="shared" si="465"/>
        <v>76</v>
      </c>
      <c r="CY62" s="46"/>
      <c r="DF62" s="46"/>
    </row>
    <row r="63" spans="2:110" s="6" customFormat="1" ht="18" customHeight="1">
      <c r="B63" s="94">
        <v>45</v>
      </c>
      <c r="C63" s="119" t="s">
        <v>168</v>
      </c>
      <c r="D63" s="94" t="s">
        <v>116</v>
      </c>
      <c r="E63" s="94" t="s">
        <v>18</v>
      </c>
      <c r="F63" s="245"/>
      <c r="G63" s="292">
        <v>12834.008</v>
      </c>
      <c r="H63" s="292">
        <v>12940.05</v>
      </c>
      <c r="I63" s="93">
        <f t="shared" si="437"/>
        <v>106.04199999999946</v>
      </c>
      <c r="J63" s="93">
        <f>I63</f>
        <v>106.04199999999946</v>
      </c>
      <c r="K63" s="215" t="s">
        <v>102</v>
      </c>
      <c r="L63" s="306" t="s">
        <v>175</v>
      </c>
      <c r="M63" s="309">
        <f>SUM(I63:I66)</f>
        <v>823.04800000000068</v>
      </c>
      <c r="N63" s="312">
        <f>SUM(CQ63:CQ66,CR66:CS66)/18.4</f>
        <v>7.7717391304347831</v>
      </c>
      <c r="O63" s="315">
        <v>34</v>
      </c>
      <c r="P63" s="91">
        <v>3</v>
      </c>
      <c r="Q63" s="223">
        <v>160.12341999999919</v>
      </c>
      <c r="R63" s="89">
        <v>53.9</v>
      </c>
      <c r="S63" s="83">
        <v>2</v>
      </c>
      <c r="T63" s="87">
        <f t="shared" si="438"/>
        <v>1.5</v>
      </c>
      <c r="U63" s="223">
        <v>585.35183999999697</v>
      </c>
      <c r="V63" s="86">
        <v>190</v>
      </c>
      <c r="W63" s="83">
        <v>2</v>
      </c>
      <c r="X63" s="87">
        <f t="shared" si="439"/>
        <v>2</v>
      </c>
      <c r="Y63" s="223">
        <v>142.0962799999993</v>
      </c>
      <c r="Z63" s="86">
        <v>42</v>
      </c>
      <c r="AA63" s="83">
        <v>2</v>
      </c>
      <c r="AB63" s="79">
        <f t="shared" si="440"/>
        <v>3</v>
      </c>
      <c r="AC63" s="223">
        <v>84.833599999999578</v>
      </c>
      <c r="AD63" s="86">
        <v>40</v>
      </c>
      <c r="AE63" s="83">
        <v>2</v>
      </c>
      <c r="AF63" s="87">
        <f t="shared" si="441"/>
        <v>1.5</v>
      </c>
      <c r="AG63" s="223">
        <v>38.175119999999808</v>
      </c>
      <c r="AH63" s="86">
        <v>130</v>
      </c>
      <c r="AI63" s="83">
        <v>1</v>
      </c>
      <c r="AJ63" s="79">
        <f t="shared" si="442"/>
        <v>2</v>
      </c>
      <c r="AK63" s="91">
        <f t="shared" si="443"/>
        <v>2</v>
      </c>
      <c r="AL63" s="223">
        <v>120.88787999999937</v>
      </c>
      <c r="AM63" s="86">
        <v>225</v>
      </c>
      <c r="AN63" s="83">
        <v>1</v>
      </c>
      <c r="AO63" s="87">
        <f t="shared" si="444"/>
        <v>1</v>
      </c>
      <c r="AP63" s="85">
        <f t="shared" si="445"/>
        <v>16</v>
      </c>
      <c r="AQ63" s="223">
        <v>42.416799999999789</v>
      </c>
      <c r="AR63" s="39">
        <v>40</v>
      </c>
      <c r="AS63" s="83">
        <v>1</v>
      </c>
      <c r="AT63" s="87">
        <f t="shared" si="446"/>
        <v>1.5</v>
      </c>
      <c r="AU63" s="223">
        <v>46.65847999999977</v>
      </c>
      <c r="AV63" s="86">
        <v>130</v>
      </c>
      <c r="AW63" s="83">
        <v>1</v>
      </c>
      <c r="AX63" s="79">
        <f t="shared" si="447"/>
        <v>2</v>
      </c>
      <c r="AY63" s="91">
        <f t="shared" si="448"/>
        <v>5</v>
      </c>
      <c r="AZ63" s="223">
        <v>424.16799999999785</v>
      </c>
      <c r="BA63" s="80">
        <f t="shared" si="6"/>
        <v>220</v>
      </c>
      <c r="BB63" s="83">
        <v>1</v>
      </c>
      <c r="BC63" s="87">
        <f t="shared" si="449"/>
        <v>2</v>
      </c>
      <c r="BD63" s="223">
        <v>159.91133599999918</v>
      </c>
      <c r="BE63" s="39">
        <v>35</v>
      </c>
      <c r="BF63" s="83">
        <v>2</v>
      </c>
      <c r="BG63" s="79">
        <f t="shared" si="450"/>
        <v>2</v>
      </c>
      <c r="BH63" s="223">
        <v>27.146751999999864</v>
      </c>
      <c r="BI63" s="48">
        <v>3.4</v>
      </c>
      <c r="BJ63" s="83">
        <v>2</v>
      </c>
      <c r="BK63" s="87">
        <f t="shared" si="451"/>
        <v>4</v>
      </c>
      <c r="BL63" s="223">
        <v>145.48962399999928</v>
      </c>
      <c r="BM63" s="86">
        <v>125</v>
      </c>
      <c r="BN63" s="83">
        <v>1</v>
      </c>
      <c r="BO63" s="79">
        <f t="shared" si="452"/>
        <v>3</v>
      </c>
      <c r="BP63" s="91">
        <f t="shared" si="453"/>
        <v>7</v>
      </c>
      <c r="BQ63" s="37">
        <f t="shared" si="454"/>
        <v>27</v>
      </c>
      <c r="BR63" s="223">
        <v>52.384747999999732</v>
      </c>
      <c r="BS63" s="86">
        <v>165</v>
      </c>
      <c r="BT63" s="83">
        <v>1</v>
      </c>
      <c r="BU63" s="87">
        <f t="shared" si="455"/>
        <v>0.5</v>
      </c>
      <c r="BV63" s="223">
        <v>71.048139999999648</v>
      </c>
      <c r="BW63" s="86">
        <v>150</v>
      </c>
      <c r="BX63" s="83">
        <v>2</v>
      </c>
      <c r="BY63" s="87">
        <f t="shared" si="456"/>
        <v>0.5</v>
      </c>
      <c r="BZ63" s="223">
        <v>432.65135999999779</v>
      </c>
      <c r="CA63" s="39">
        <v>320</v>
      </c>
      <c r="CB63" s="83">
        <v>2</v>
      </c>
      <c r="CC63" s="87">
        <f t="shared" si="457"/>
        <v>1</v>
      </c>
      <c r="CD63" s="223">
        <v>1297.9540799999934</v>
      </c>
      <c r="CE63" s="39">
        <v>8000</v>
      </c>
      <c r="CF63" s="83">
        <v>1</v>
      </c>
      <c r="CG63" s="87">
        <f t="shared" si="458"/>
        <v>0.5</v>
      </c>
      <c r="CH63" s="223">
        <v>865.30271999999559</v>
      </c>
      <c r="CI63" s="39">
        <v>300</v>
      </c>
      <c r="CJ63" s="83">
        <v>2</v>
      </c>
      <c r="CK63" s="87">
        <f t="shared" si="459"/>
        <v>1.5</v>
      </c>
      <c r="CL63" s="42">
        <f t="shared" si="460"/>
        <v>106.04199999999946</v>
      </c>
      <c r="CM63" s="43">
        <v>50</v>
      </c>
      <c r="CN63" s="83">
        <v>1</v>
      </c>
      <c r="CO63" s="87">
        <f t="shared" si="461"/>
        <v>2.5</v>
      </c>
      <c r="CP63" s="75">
        <f t="shared" si="462"/>
        <v>7</v>
      </c>
      <c r="CQ63" s="78">
        <f t="shared" si="463"/>
        <v>16</v>
      </c>
      <c r="CR63" s="78">
        <f t="shared" si="466"/>
        <v>27</v>
      </c>
      <c r="CS63" s="78">
        <f t="shared" si="464"/>
        <v>7</v>
      </c>
      <c r="CT63" s="78">
        <f t="shared" si="465"/>
        <v>50</v>
      </c>
      <c r="CY63" s="46"/>
      <c r="DF63" s="46"/>
    </row>
    <row r="64" spans="2:110" s="6" customFormat="1" ht="17.25" customHeight="1">
      <c r="B64" s="131" t="s">
        <v>169</v>
      </c>
      <c r="C64" s="190" t="s">
        <v>170</v>
      </c>
      <c r="D64" s="153" t="s">
        <v>116</v>
      </c>
      <c r="E64" s="229" t="s">
        <v>18</v>
      </c>
      <c r="F64" s="271"/>
      <c r="G64" s="298">
        <v>12940.05</v>
      </c>
      <c r="H64" s="298">
        <v>13115.07</v>
      </c>
      <c r="I64" s="82">
        <f t="shared" si="437"/>
        <v>175.02000000000044</v>
      </c>
      <c r="J64" s="82">
        <f>J63+I64</f>
        <v>281.0619999999999</v>
      </c>
      <c r="K64" s="213" t="s">
        <v>171</v>
      </c>
      <c r="L64" s="307"/>
      <c r="M64" s="310"/>
      <c r="N64" s="313"/>
      <c r="O64" s="316"/>
      <c r="P64" s="19">
        <v>3</v>
      </c>
      <c r="Q64" s="159">
        <v>106.76220000000026</v>
      </c>
      <c r="R64" s="8">
        <v>53.9</v>
      </c>
      <c r="S64" s="9">
        <v>2</v>
      </c>
      <c r="T64" s="10">
        <f t="shared" si="438"/>
        <v>1</v>
      </c>
      <c r="U64" s="33"/>
      <c r="V64" s="11">
        <v>190</v>
      </c>
      <c r="W64" s="9">
        <v>2</v>
      </c>
      <c r="X64" s="10">
        <f t="shared" si="439"/>
        <v>0</v>
      </c>
      <c r="Y64" s="305" t="s">
        <v>49</v>
      </c>
      <c r="Z64" s="305"/>
      <c r="AA64" s="305"/>
      <c r="AB64" s="305"/>
      <c r="AC64" s="301">
        <v>350.04000000000087</v>
      </c>
      <c r="AD64" s="25">
        <v>20</v>
      </c>
      <c r="AE64" s="9">
        <v>2</v>
      </c>
      <c r="AF64" s="10">
        <f t="shared" si="441"/>
        <v>9</v>
      </c>
      <c r="AG64" s="33"/>
      <c r="AH64" s="11"/>
      <c r="AI64" s="9"/>
      <c r="AJ64" s="12"/>
      <c r="AK64" s="19"/>
      <c r="AL64" s="33"/>
      <c r="AM64" s="11">
        <v>225</v>
      </c>
      <c r="AN64" s="9">
        <v>1</v>
      </c>
      <c r="AO64" s="10">
        <f t="shared" ref="AO64" si="467">ROUND(AL64/AM64/AN64,0)</f>
        <v>0</v>
      </c>
      <c r="AP64" s="18">
        <f>ROUNDUP(SUM(T64,X64,AF64,AJ64,AK64,AO64),0)</f>
        <v>10</v>
      </c>
      <c r="AQ64" s="33"/>
      <c r="AR64" s="13">
        <v>40</v>
      </c>
      <c r="AS64" s="9">
        <v>1</v>
      </c>
      <c r="AT64" s="10">
        <f t="shared" si="446"/>
        <v>0</v>
      </c>
      <c r="AU64" s="33"/>
      <c r="AV64" s="11">
        <v>130</v>
      </c>
      <c r="AW64" s="9">
        <v>1</v>
      </c>
      <c r="AX64" s="12" t="str">
        <f t="shared" si="447"/>
        <v/>
      </c>
      <c r="AY64" s="19"/>
      <c r="AZ64" s="159">
        <v>700.08000000000175</v>
      </c>
      <c r="BA64" s="25">
        <f t="shared" si="6"/>
        <v>220</v>
      </c>
      <c r="BB64" s="9">
        <v>1</v>
      </c>
      <c r="BC64" s="10">
        <f t="shared" si="449"/>
        <v>3.5</v>
      </c>
      <c r="BD64" s="159">
        <v>263.93016000000068</v>
      </c>
      <c r="BE64" s="13">
        <v>35</v>
      </c>
      <c r="BF64" s="9">
        <v>2</v>
      </c>
      <c r="BG64" s="12">
        <f t="shared" si="450"/>
        <v>2</v>
      </c>
      <c r="BH64" s="159">
        <v>44.805120000000116</v>
      </c>
      <c r="BI64" s="14">
        <v>3.4</v>
      </c>
      <c r="BJ64" s="9">
        <v>2</v>
      </c>
      <c r="BK64" s="10">
        <f t="shared" si="451"/>
        <v>7</v>
      </c>
      <c r="BL64" s="159">
        <v>240.1274400000006</v>
      </c>
      <c r="BM64" s="11">
        <v>125</v>
      </c>
      <c r="BN64" s="9">
        <v>1</v>
      </c>
      <c r="BO64" s="12">
        <f t="shared" si="452"/>
        <v>3</v>
      </c>
      <c r="BP64" s="19">
        <f t="shared" si="453"/>
        <v>7</v>
      </c>
      <c r="BQ64" s="21">
        <f t="shared" si="454"/>
        <v>23</v>
      </c>
      <c r="BR64" s="33"/>
      <c r="BS64" s="11">
        <v>165</v>
      </c>
      <c r="BT64" s="9">
        <v>1</v>
      </c>
      <c r="BU64" s="10">
        <f t="shared" si="455"/>
        <v>0</v>
      </c>
      <c r="BV64" s="159">
        <v>32.02866000000008</v>
      </c>
      <c r="BW64" s="11">
        <v>150</v>
      </c>
      <c r="BX64" s="9">
        <v>2</v>
      </c>
      <c r="BY64" s="10">
        <f t="shared" si="456"/>
        <v>0.5</v>
      </c>
      <c r="BZ64" s="159">
        <v>273.03120000000069</v>
      </c>
      <c r="CA64" s="13">
        <v>320</v>
      </c>
      <c r="CB64" s="9">
        <v>2</v>
      </c>
      <c r="CC64" s="10">
        <f t="shared" si="457"/>
        <v>0.5</v>
      </c>
      <c r="CD64" s="159">
        <v>819.09360000000208</v>
      </c>
      <c r="CE64" s="13">
        <v>8000</v>
      </c>
      <c r="CF64" s="9">
        <v>1</v>
      </c>
      <c r="CG64" s="10">
        <f t="shared" si="458"/>
        <v>0.5</v>
      </c>
      <c r="CH64" s="159">
        <v>546.06240000000139</v>
      </c>
      <c r="CI64" s="13">
        <v>300</v>
      </c>
      <c r="CJ64" s="9">
        <v>2</v>
      </c>
      <c r="CK64" s="10">
        <f t="shared" si="459"/>
        <v>1</v>
      </c>
      <c r="CL64" s="41">
        <f t="shared" si="460"/>
        <v>175.02000000000044</v>
      </c>
      <c r="CM64" s="15">
        <v>50</v>
      </c>
      <c r="CN64" s="9">
        <v>1</v>
      </c>
      <c r="CO64" s="10">
        <f t="shared" si="461"/>
        <v>4</v>
      </c>
      <c r="CP64" s="20">
        <f t="shared" si="462"/>
        <v>7</v>
      </c>
      <c r="CQ64" s="5">
        <f t="shared" si="463"/>
        <v>10</v>
      </c>
      <c r="CR64" s="5">
        <f t="shared" si="466"/>
        <v>23</v>
      </c>
      <c r="CS64" s="5">
        <f t="shared" si="464"/>
        <v>7</v>
      </c>
      <c r="CT64" s="5">
        <f t="shared" si="465"/>
        <v>40</v>
      </c>
      <c r="CY64" s="46"/>
      <c r="DF64" s="46"/>
    </row>
    <row r="65" spans="2:112" s="6" customFormat="1" ht="18" customHeight="1">
      <c r="B65" s="229">
        <v>46</v>
      </c>
      <c r="C65" s="295" t="s">
        <v>172</v>
      </c>
      <c r="D65" s="229" t="s">
        <v>116</v>
      </c>
      <c r="E65" s="229" t="s">
        <v>18</v>
      </c>
      <c r="F65" s="271"/>
      <c r="G65" s="293">
        <v>13115.07</v>
      </c>
      <c r="H65" s="293">
        <v>13303.124</v>
      </c>
      <c r="I65" s="82">
        <f t="shared" si="437"/>
        <v>188.05400000000009</v>
      </c>
      <c r="J65" s="82">
        <f>J64+I65</f>
        <v>469.11599999999999</v>
      </c>
      <c r="K65" s="213"/>
      <c r="L65" s="307"/>
      <c r="M65" s="310"/>
      <c r="N65" s="313"/>
      <c r="O65" s="316"/>
      <c r="P65" s="19">
        <v>3</v>
      </c>
      <c r="Q65" s="199">
        <v>283.96154000000013</v>
      </c>
      <c r="R65" s="8">
        <v>53.9</v>
      </c>
      <c r="S65" s="9">
        <v>2</v>
      </c>
      <c r="T65" s="10">
        <f t="shared" si="438"/>
        <v>3</v>
      </c>
      <c r="U65" s="199">
        <v>1038.0580800000005</v>
      </c>
      <c r="V65" s="11">
        <v>190</v>
      </c>
      <c r="W65" s="9">
        <v>2</v>
      </c>
      <c r="X65" s="10">
        <f t="shared" si="439"/>
        <v>3</v>
      </c>
      <c r="Y65" s="199">
        <v>251.99236000000013</v>
      </c>
      <c r="Z65" s="11">
        <v>42</v>
      </c>
      <c r="AA65" s="9">
        <v>2</v>
      </c>
      <c r="AB65" s="12">
        <f t="shared" ref="AB65" si="468">IF(Y65="","",CEILING(Y65/Z65/AA65,0.5)+1)</f>
        <v>4</v>
      </c>
      <c r="AC65" s="199">
        <v>150.44320000000008</v>
      </c>
      <c r="AD65" s="11">
        <v>40</v>
      </c>
      <c r="AE65" s="9">
        <v>2</v>
      </c>
      <c r="AF65" s="10">
        <f t="shared" si="441"/>
        <v>2</v>
      </c>
      <c r="AG65" s="199">
        <v>67.699440000000038</v>
      </c>
      <c r="AH65" s="11">
        <v>130</v>
      </c>
      <c r="AI65" s="9">
        <v>1</v>
      </c>
      <c r="AJ65" s="12">
        <f t="shared" ref="AJ65" si="469">IF(AG65="","",ROUNDUP(AG65/AH65/AI65,0)+1)</f>
        <v>2</v>
      </c>
      <c r="AK65" s="19">
        <f t="shared" ref="AK65" si="470">IF(E65="보통",2,IF(E65="조강",1,""))</f>
        <v>2</v>
      </c>
      <c r="AL65" s="199">
        <v>214.38156000000009</v>
      </c>
      <c r="AM65" s="11">
        <v>225</v>
      </c>
      <c r="AN65" s="9">
        <v>1</v>
      </c>
      <c r="AO65" s="10">
        <f t="shared" ref="AO65" si="471">CEILING(AL65/AM65/AN65,0.5)</f>
        <v>1</v>
      </c>
      <c r="AP65" s="18">
        <f t="shared" ref="AP65" si="472">ROUNDUP(SUM(P65,T65,X65,AB65,AF65,AJ65,AK65,AO65),0)</f>
        <v>20</v>
      </c>
      <c r="AQ65" s="199">
        <v>75.221600000000038</v>
      </c>
      <c r="AR65" s="13">
        <v>40</v>
      </c>
      <c r="AS65" s="9">
        <v>1</v>
      </c>
      <c r="AT65" s="10">
        <f t="shared" si="446"/>
        <v>2</v>
      </c>
      <c r="AU65" s="199">
        <v>82.743760000000051</v>
      </c>
      <c r="AV65" s="11">
        <v>130</v>
      </c>
      <c r="AW65" s="9">
        <v>1</v>
      </c>
      <c r="AX65" s="12">
        <f t="shared" si="447"/>
        <v>2</v>
      </c>
      <c r="AY65" s="19">
        <f t="shared" ref="AY65" si="473">IF(E65="보통",5,IF(E65="조강",2,""))</f>
        <v>5</v>
      </c>
      <c r="AZ65" s="199">
        <v>752.21600000000035</v>
      </c>
      <c r="BA65" s="25">
        <f t="shared" si="6"/>
        <v>220</v>
      </c>
      <c r="BB65" s="9">
        <v>1</v>
      </c>
      <c r="BC65" s="10">
        <f t="shared" si="449"/>
        <v>3.5</v>
      </c>
      <c r="BD65" s="199">
        <v>283.58543200000014</v>
      </c>
      <c r="BE65" s="13">
        <v>35</v>
      </c>
      <c r="BF65" s="9">
        <v>2</v>
      </c>
      <c r="BG65" s="12">
        <f t="shared" si="450"/>
        <v>2</v>
      </c>
      <c r="BH65" s="199">
        <v>48.141824000000021</v>
      </c>
      <c r="BI65" s="14">
        <v>3.4</v>
      </c>
      <c r="BJ65" s="9">
        <v>2</v>
      </c>
      <c r="BK65" s="10">
        <f t="shared" si="451"/>
        <v>7.5</v>
      </c>
      <c r="BL65" s="199">
        <v>258.01008800000017</v>
      </c>
      <c r="BM65" s="11">
        <v>125</v>
      </c>
      <c r="BN65" s="9">
        <v>1</v>
      </c>
      <c r="BO65" s="12">
        <f t="shared" si="452"/>
        <v>4</v>
      </c>
      <c r="BP65" s="19">
        <f t="shared" si="453"/>
        <v>7</v>
      </c>
      <c r="BQ65" s="21">
        <f t="shared" si="454"/>
        <v>33</v>
      </c>
      <c r="BR65" s="199">
        <v>92.898676000000037</v>
      </c>
      <c r="BS65" s="11">
        <v>165</v>
      </c>
      <c r="BT65" s="9">
        <v>1</v>
      </c>
      <c r="BU65" s="10">
        <f t="shared" si="455"/>
        <v>1</v>
      </c>
      <c r="BV65" s="199">
        <v>125.99618000000007</v>
      </c>
      <c r="BW65" s="11">
        <v>150</v>
      </c>
      <c r="BX65" s="9">
        <v>2</v>
      </c>
      <c r="BY65" s="10">
        <f t="shared" si="456"/>
        <v>0.5</v>
      </c>
      <c r="BZ65" s="199">
        <v>767.26032000000032</v>
      </c>
      <c r="CA65" s="13">
        <v>320</v>
      </c>
      <c r="CB65" s="9">
        <v>2</v>
      </c>
      <c r="CC65" s="10">
        <f t="shared" si="457"/>
        <v>1.5</v>
      </c>
      <c r="CD65" s="199">
        <v>2301.780960000001</v>
      </c>
      <c r="CE65" s="13">
        <v>8000</v>
      </c>
      <c r="CF65" s="9">
        <v>1</v>
      </c>
      <c r="CG65" s="10">
        <f t="shared" si="458"/>
        <v>0.5</v>
      </c>
      <c r="CH65" s="199">
        <v>1534.5206400000006</v>
      </c>
      <c r="CI65" s="13">
        <v>300</v>
      </c>
      <c r="CJ65" s="9">
        <v>2</v>
      </c>
      <c r="CK65" s="10">
        <f t="shared" si="459"/>
        <v>3</v>
      </c>
      <c r="CL65" s="41">
        <f t="shared" si="460"/>
        <v>188.05400000000009</v>
      </c>
      <c r="CM65" s="15">
        <v>50</v>
      </c>
      <c r="CN65" s="9">
        <v>1</v>
      </c>
      <c r="CO65" s="10">
        <f t="shared" si="461"/>
        <v>4</v>
      </c>
      <c r="CP65" s="20">
        <f t="shared" si="462"/>
        <v>11</v>
      </c>
      <c r="CQ65" s="5">
        <f t="shared" si="463"/>
        <v>20</v>
      </c>
      <c r="CR65" s="5">
        <f>BQ65</f>
        <v>33</v>
      </c>
      <c r="CS65" s="5">
        <f t="shared" si="464"/>
        <v>11</v>
      </c>
      <c r="CT65" s="5">
        <f t="shared" si="465"/>
        <v>64</v>
      </c>
      <c r="CY65" s="46"/>
      <c r="DF65" s="46"/>
    </row>
    <row r="66" spans="2:112" s="6" customFormat="1" ht="18" customHeight="1" thickBot="1">
      <c r="B66" s="71">
        <v>47</v>
      </c>
      <c r="C66" s="70" t="s">
        <v>173</v>
      </c>
      <c r="D66" s="71"/>
      <c r="E66" s="71" t="s">
        <v>18</v>
      </c>
      <c r="F66" s="270">
        <v>80</v>
      </c>
      <c r="G66" s="294">
        <v>13357.045</v>
      </c>
      <c r="H66" s="294">
        <v>13710.977000000001</v>
      </c>
      <c r="I66" s="105">
        <f t="shared" ref="I66" si="474">H66-G66</f>
        <v>353.9320000000007</v>
      </c>
      <c r="J66" s="105">
        <f>J65+I66</f>
        <v>823.04800000000068</v>
      </c>
      <c r="K66" s="214" t="s">
        <v>174</v>
      </c>
      <c r="L66" s="308"/>
      <c r="M66" s="311"/>
      <c r="N66" s="314"/>
      <c r="O66" s="317"/>
      <c r="P66" s="66">
        <v>3</v>
      </c>
      <c r="Q66" s="300">
        <v>597.72316000000171</v>
      </c>
      <c r="R66" s="65">
        <v>53.9</v>
      </c>
      <c r="S66" s="109">
        <v>2</v>
      </c>
      <c r="T66" s="110">
        <f t="shared" ref="T66" si="475">CEILING(Q66/R66/S66,0.5)</f>
        <v>6</v>
      </c>
      <c r="U66" s="300">
        <v>2156.7140900000054</v>
      </c>
      <c r="V66" s="68">
        <v>190</v>
      </c>
      <c r="W66" s="109">
        <v>2</v>
      </c>
      <c r="X66" s="110">
        <f t="shared" ref="X66" si="476">CEILING(U66/V66/W66,0.5)</f>
        <v>6</v>
      </c>
      <c r="Y66" s="300">
        <v>474.26888000000099</v>
      </c>
      <c r="Z66" s="68">
        <v>42</v>
      </c>
      <c r="AA66" s="109">
        <v>2</v>
      </c>
      <c r="AB66" s="67">
        <f t="shared" ref="AB66" si="477">IF(Y66="","",CEILING(Y66/Z66/AA66,0.5)+1)</f>
        <v>7</v>
      </c>
      <c r="AC66" s="300">
        <v>283.14560000000057</v>
      </c>
      <c r="AD66" s="68">
        <v>40</v>
      </c>
      <c r="AE66" s="109">
        <v>2</v>
      </c>
      <c r="AF66" s="110">
        <f t="shared" ref="AF66" si="478">CEILING(AC66/AD66/AE66,0.5)</f>
        <v>4</v>
      </c>
      <c r="AG66" s="300">
        <v>127.41552000000026</v>
      </c>
      <c r="AH66" s="68">
        <v>130</v>
      </c>
      <c r="AI66" s="109">
        <v>1</v>
      </c>
      <c r="AJ66" s="67">
        <f t="shared" ref="AJ66" si="479">IF(AG66="","",ROUNDUP(AG66/AH66/AI66,0)+1)</f>
        <v>2</v>
      </c>
      <c r="AK66" s="66">
        <f t="shared" ref="AK66" si="480">IF(E66="보통",2,IF(E66="조강",1,""))</f>
        <v>2</v>
      </c>
      <c r="AL66" s="300">
        <v>434.28420000000142</v>
      </c>
      <c r="AM66" s="68">
        <v>225</v>
      </c>
      <c r="AN66" s="109">
        <v>1</v>
      </c>
      <c r="AO66" s="110">
        <f t="shared" ref="AO66" si="481">CEILING(AL66/AM66/AN66,0.5)</f>
        <v>2</v>
      </c>
      <c r="AP66" s="64">
        <f t="shared" ref="AP66" si="482">ROUNDUP(SUM(P66,T66,X66,AB66,AF66,AJ66,AK66,AO66),0)</f>
        <v>32</v>
      </c>
      <c r="AQ66" s="300">
        <v>141.57280000000029</v>
      </c>
      <c r="AR66" s="63">
        <v>40</v>
      </c>
      <c r="AS66" s="109">
        <v>1</v>
      </c>
      <c r="AT66" s="110">
        <f t="shared" ref="AT66" si="483">CEILING(AQ66/AR66/AS66,0.5)</f>
        <v>4</v>
      </c>
      <c r="AU66" s="300">
        <v>155.7300800000003</v>
      </c>
      <c r="AV66" s="68">
        <v>130</v>
      </c>
      <c r="AW66" s="109">
        <v>1</v>
      </c>
      <c r="AX66" s="67">
        <f t="shared" ref="AX66" si="484">IF(AU66="","",ROUNDUP(AU66/AV66/AW66,0)+1)</f>
        <v>3</v>
      </c>
      <c r="AY66" s="66">
        <f t="shared" ref="AY66" si="485">IF(E66="보통",5,IF(E66="조강",2,""))</f>
        <v>5</v>
      </c>
      <c r="AZ66" s="300">
        <v>1415.7280000000028</v>
      </c>
      <c r="BA66" s="62">
        <f t="shared" si="6"/>
        <v>220</v>
      </c>
      <c r="BB66" s="109">
        <v>1</v>
      </c>
      <c r="BC66" s="110">
        <f t="shared" ref="BC66" si="486">CEILING(AZ66/BA66/BB66,0.5)</f>
        <v>6.5</v>
      </c>
      <c r="BD66" s="300">
        <v>533.72945600000116</v>
      </c>
      <c r="BE66" s="63">
        <v>35</v>
      </c>
      <c r="BF66" s="109">
        <v>2</v>
      </c>
      <c r="BG66" s="67">
        <f t="shared" ref="BG66" si="487">IF(BD66="","",2)</f>
        <v>2</v>
      </c>
      <c r="BH66" s="300">
        <v>90.606592000000177</v>
      </c>
      <c r="BI66" s="61">
        <v>3.4</v>
      </c>
      <c r="BJ66" s="109">
        <v>2</v>
      </c>
      <c r="BK66" s="110">
        <f t="shared" ref="BK66" si="488">CEILING(BH66/BI66/BJ66,0.5)</f>
        <v>13.5</v>
      </c>
      <c r="BL66" s="300">
        <v>485.59470400000095</v>
      </c>
      <c r="BM66" s="68">
        <v>125</v>
      </c>
      <c r="BN66" s="109">
        <v>1</v>
      </c>
      <c r="BO66" s="67">
        <f t="shared" ref="BO66" si="489">IF(BL66="","",ROUNDUP(BL66/BM66/BN66,0)+1)</f>
        <v>5</v>
      </c>
      <c r="BP66" s="66">
        <f t="shared" ref="BP66" si="490">IF(E66="보통",7,IF(E66="조강",3,""))</f>
        <v>7</v>
      </c>
      <c r="BQ66" s="106">
        <f t="shared" ref="BQ66" si="491">ROUNDUP(SUM(AT66,AX66,AY66,BC66,BG66,BK66,BO66,BP66),0)</f>
        <v>46</v>
      </c>
      <c r="BR66" s="300">
        <v>197.86867600000073</v>
      </c>
      <c r="BS66" s="68">
        <v>165</v>
      </c>
      <c r="BT66" s="109">
        <v>1</v>
      </c>
      <c r="BU66" s="110">
        <f t="shared" ref="BU66" si="492">CEILING(BR66/BS66/BT66,0.5)</f>
        <v>1.5</v>
      </c>
      <c r="BV66" s="300">
        <v>263.31590200000102</v>
      </c>
      <c r="BW66" s="68">
        <v>150</v>
      </c>
      <c r="BX66" s="109">
        <v>2</v>
      </c>
      <c r="BY66" s="110">
        <f t="shared" ref="BY66" si="493">CEILING(BV66/BW66/BX66,0.5)</f>
        <v>1</v>
      </c>
      <c r="BZ66" s="300">
        <v>1598.0511600000061</v>
      </c>
      <c r="CA66" s="63">
        <v>320</v>
      </c>
      <c r="CB66" s="109">
        <v>2</v>
      </c>
      <c r="CC66" s="110">
        <f t="shared" ref="CC66" si="494">CEILING(BZ66/CA66/CB66,0.5)</f>
        <v>2.5</v>
      </c>
      <c r="CD66" s="300">
        <v>4794.1534800000181</v>
      </c>
      <c r="CE66" s="63">
        <v>8000</v>
      </c>
      <c r="CF66" s="109">
        <v>1</v>
      </c>
      <c r="CG66" s="110">
        <f t="shared" ref="CG66" si="495">CEILING(CD66/CE66/CF66,0.5)</f>
        <v>1</v>
      </c>
      <c r="CH66" s="300">
        <v>3196.1023200000122</v>
      </c>
      <c r="CI66" s="63">
        <v>300</v>
      </c>
      <c r="CJ66" s="109">
        <v>2</v>
      </c>
      <c r="CK66" s="110">
        <f t="shared" ref="CK66" si="496">CEILING(CH66/CI66/CJ66,0.5)</f>
        <v>5.5</v>
      </c>
      <c r="CL66" s="60">
        <f t="shared" ref="CL66" si="497">I66</f>
        <v>353.9320000000007</v>
      </c>
      <c r="CM66" s="69">
        <v>50</v>
      </c>
      <c r="CN66" s="109">
        <v>1</v>
      </c>
      <c r="CO66" s="110">
        <f t="shared" ref="CO66" si="498">CEILING(CL66/CM66/CN66,0.5)</f>
        <v>7.5</v>
      </c>
      <c r="CP66" s="58">
        <f t="shared" ref="CP66" si="499">ROUNDUP(SUM(BU66,BY66,CC66,CG66,CK66,CO66),0)</f>
        <v>19</v>
      </c>
      <c r="CQ66" s="57">
        <f t="shared" ref="CQ66" si="500">AP66</f>
        <v>32</v>
      </c>
      <c r="CR66" s="220">
        <f>BQ66</f>
        <v>46</v>
      </c>
      <c r="CS66" s="220">
        <f t="shared" ref="CS66" si="501">CP66</f>
        <v>19</v>
      </c>
      <c r="CT66" s="57">
        <f t="shared" ref="CT66" si="502">SUM(CQ66:CS66)</f>
        <v>97</v>
      </c>
      <c r="CY66" s="46"/>
      <c r="DF66" s="46"/>
    </row>
    <row r="67" spans="2:112" s="22" customFormat="1" ht="24.95" customHeight="1">
      <c r="B67" s="23"/>
      <c r="C67" s="2"/>
      <c r="D67" s="2"/>
      <c r="E67" s="3"/>
      <c r="F67" s="3"/>
      <c r="I67" s="76"/>
      <c r="J67" s="76"/>
      <c r="K67" s="24"/>
      <c r="L67" s="28"/>
      <c r="M67" s="28"/>
      <c r="N67" s="28"/>
      <c r="O67" s="219"/>
      <c r="AH67" s="1"/>
      <c r="CY67" s="23"/>
      <c r="DE67" s="88"/>
      <c r="DF67" s="23"/>
      <c r="DG67" s="88"/>
      <c r="DH67" s="88"/>
    </row>
    <row r="68" spans="2:112" s="22" customFormat="1" ht="24.95" customHeight="1">
      <c r="B68" s="23"/>
      <c r="C68" s="2"/>
      <c r="D68" s="2"/>
      <c r="E68" s="3"/>
      <c r="F68" s="3"/>
      <c r="I68" s="76"/>
      <c r="J68" s="76"/>
      <c r="K68" s="24"/>
      <c r="L68" s="28"/>
      <c r="M68" s="28"/>
      <c r="N68" s="28"/>
      <c r="O68" s="219"/>
      <c r="AH68" s="1"/>
      <c r="CY68" s="23"/>
      <c r="DE68" s="88"/>
      <c r="DF68" s="23"/>
      <c r="DG68" s="88"/>
      <c r="DH68" s="88"/>
    </row>
    <row r="69" spans="2:112" s="22" customFormat="1" ht="24.95" customHeight="1">
      <c r="B69" s="23"/>
      <c r="C69" s="2"/>
      <c r="D69" s="2"/>
      <c r="E69" s="3"/>
      <c r="F69" s="3"/>
      <c r="I69" s="76"/>
      <c r="J69" s="76"/>
      <c r="K69" s="24"/>
      <c r="L69" s="28"/>
      <c r="M69" s="28"/>
      <c r="N69" s="28"/>
      <c r="O69" s="219"/>
      <c r="AH69" s="1"/>
      <c r="CY69" s="23"/>
      <c r="DE69" s="88"/>
      <c r="DF69" s="23"/>
      <c r="DG69" s="88"/>
      <c r="DH69" s="88"/>
    </row>
    <row r="70" spans="2:112" s="22" customFormat="1" ht="24.95" customHeight="1">
      <c r="B70" s="23"/>
      <c r="C70" s="2"/>
      <c r="D70" s="2"/>
      <c r="E70" s="3"/>
      <c r="F70" s="3"/>
      <c r="I70" s="76"/>
      <c r="J70" s="76"/>
      <c r="K70" s="24"/>
      <c r="L70" s="28"/>
      <c r="M70" s="28"/>
      <c r="N70" s="28"/>
      <c r="O70" s="219"/>
      <c r="AH70" s="1"/>
      <c r="CY70" s="23"/>
      <c r="DE70" s="88"/>
      <c r="DF70" s="23"/>
      <c r="DG70" s="88"/>
      <c r="DH70" s="88"/>
    </row>
    <row r="71" spans="2:112" s="22" customFormat="1" ht="24.95" customHeight="1">
      <c r="B71" s="23"/>
      <c r="C71" s="2"/>
      <c r="D71" s="2"/>
      <c r="E71" s="3"/>
      <c r="F71" s="3"/>
      <c r="I71" s="76"/>
      <c r="J71" s="76"/>
      <c r="K71" s="24"/>
      <c r="L71" s="28"/>
      <c r="M71" s="28"/>
      <c r="N71" s="28"/>
      <c r="O71" s="219"/>
      <c r="AH71" s="1"/>
      <c r="CY71" s="23"/>
      <c r="DE71" s="88"/>
      <c r="DF71" s="23"/>
      <c r="DG71" s="88"/>
      <c r="DH71" s="88"/>
    </row>
    <row r="72" spans="2:112" s="22" customFormat="1" ht="24.95" customHeight="1">
      <c r="B72" s="23"/>
      <c r="C72" s="2"/>
      <c r="D72" s="2"/>
      <c r="E72" s="3"/>
      <c r="F72" s="3"/>
      <c r="I72" s="76"/>
      <c r="J72" s="76"/>
      <c r="K72" s="24"/>
      <c r="L72" s="28"/>
      <c r="M72" s="28"/>
      <c r="N72" s="28"/>
      <c r="O72" s="219"/>
      <c r="AH72" s="1"/>
      <c r="CY72" s="23"/>
      <c r="DE72" s="88"/>
      <c r="DF72" s="23"/>
      <c r="DG72" s="88"/>
      <c r="DH72" s="88"/>
    </row>
    <row r="73" spans="2:112" s="22" customFormat="1" ht="24.95" customHeight="1">
      <c r="B73" s="23"/>
      <c r="C73" s="2"/>
      <c r="D73" s="2"/>
      <c r="E73" s="3"/>
      <c r="F73" s="3"/>
      <c r="I73" s="76"/>
      <c r="J73" s="76"/>
      <c r="K73" s="24"/>
      <c r="L73" s="28"/>
      <c r="M73" s="28"/>
      <c r="N73" s="28"/>
      <c r="O73" s="219"/>
      <c r="AH73" s="1"/>
      <c r="CY73" s="23"/>
      <c r="DE73" s="88"/>
      <c r="DF73" s="23"/>
      <c r="DG73" s="88"/>
      <c r="DH73" s="88"/>
    </row>
    <row r="74" spans="2:112" s="22" customFormat="1" ht="24.95" customHeight="1">
      <c r="B74" s="23"/>
      <c r="C74" s="2"/>
      <c r="D74" s="2"/>
      <c r="E74" s="3"/>
      <c r="F74" s="3"/>
      <c r="I74" s="76"/>
      <c r="J74" s="76"/>
      <c r="K74" s="24"/>
      <c r="L74" s="28"/>
      <c r="M74" s="28"/>
      <c r="N74" s="28"/>
      <c r="O74" s="219"/>
      <c r="AH74" s="1"/>
      <c r="CY74" s="23"/>
      <c r="DE74" s="88"/>
      <c r="DF74" s="23"/>
      <c r="DG74" s="88"/>
      <c r="DH74" s="88"/>
    </row>
    <row r="75" spans="2:112" s="22" customFormat="1" ht="24.95" customHeight="1">
      <c r="B75" s="23"/>
      <c r="C75" s="2"/>
      <c r="D75" s="2"/>
      <c r="E75" s="3"/>
      <c r="F75" s="3"/>
      <c r="I75" s="76"/>
      <c r="J75" s="76"/>
      <c r="K75" s="24"/>
      <c r="L75" s="28"/>
      <c r="M75" s="28"/>
      <c r="N75" s="28"/>
      <c r="O75" s="219"/>
      <c r="AH75" s="1"/>
      <c r="CY75" s="23"/>
      <c r="DE75" s="88"/>
      <c r="DF75" s="23"/>
      <c r="DG75" s="88"/>
      <c r="DH75" s="88"/>
    </row>
    <row r="76" spans="2:112" s="22" customFormat="1" ht="24.95" customHeight="1">
      <c r="B76" s="23"/>
      <c r="C76" s="2"/>
      <c r="D76" s="2"/>
      <c r="E76" s="3"/>
      <c r="F76" s="3"/>
      <c r="I76" s="76"/>
      <c r="J76" s="76"/>
      <c r="K76" s="24"/>
      <c r="L76" s="28"/>
      <c r="M76" s="28"/>
      <c r="N76" s="28"/>
      <c r="O76" s="219"/>
      <c r="AH76" s="1"/>
      <c r="CY76" s="23"/>
      <c r="DE76" s="88"/>
      <c r="DF76" s="23"/>
      <c r="DG76" s="88"/>
      <c r="DH76" s="88"/>
    </row>
    <row r="77" spans="2:112" s="22" customFormat="1" ht="24.95" customHeight="1">
      <c r="B77" s="23"/>
      <c r="C77" s="2"/>
      <c r="D77" s="2"/>
      <c r="E77" s="3"/>
      <c r="F77" s="3"/>
      <c r="I77" s="76"/>
      <c r="J77" s="76"/>
      <c r="K77" s="24"/>
      <c r="L77" s="28"/>
      <c r="M77" s="28"/>
      <c r="N77" s="28"/>
      <c r="O77" s="219"/>
      <c r="AH77" s="1"/>
      <c r="CY77" s="23"/>
      <c r="DE77" s="88"/>
      <c r="DF77" s="23"/>
      <c r="DG77" s="88"/>
      <c r="DH77" s="88"/>
    </row>
    <row r="78" spans="2:112" s="22" customFormat="1" ht="24.95" customHeight="1">
      <c r="B78" s="23"/>
      <c r="C78" s="2"/>
      <c r="D78" s="2"/>
      <c r="E78" s="3"/>
      <c r="F78" s="3"/>
      <c r="I78" s="76"/>
      <c r="J78" s="76"/>
      <c r="K78" s="24"/>
      <c r="L78" s="28"/>
      <c r="M78" s="28"/>
      <c r="N78" s="28"/>
      <c r="O78" s="219"/>
      <c r="AH78" s="1"/>
      <c r="CY78" s="23"/>
      <c r="DE78" s="88"/>
      <c r="DF78" s="23"/>
      <c r="DG78" s="88"/>
      <c r="DH78" s="88"/>
    </row>
    <row r="79" spans="2:112" s="22" customFormat="1" ht="24.95" customHeight="1">
      <c r="B79" s="23"/>
      <c r="C79" s="2"/>
      <c r="D79" s="2"/>
      <c r="E79" s="3"/>
      <c r="F79" s="3"/>
      <c r="I79" s="76"/>
      <c r="J79" s="76"/>
      <c r="K79" s="24"/>
      <c r="L79" s="28"/>
      <c r="M79" s="28"/>
      <c r="N79" s="28"/>
      <c r="O79" s="219"/>
      <c r="AH79" s="1"/>
      <c r="CY79" s="23"/>
      <c r="DE79" s="88"/>
      <c r="DF79" s="23"/>
      <c r="DG79" s="88"/>
      <c r="DH79" s="88"/>
    </row>
    <row r="80" spans="2:112" s="22" customFormat="1" ht="24.95" customHeight="1">
      <c r="B80" s="23"/>
      <c r="C80" s="2"/>
      <c r="D80" s="2"/>
      <c r="E80" s="3"/>
      <c r="F80" s="3"/>
      <c r="I80" s="76"/>
      <c r="J80" s="76"/>
      <c r="K80" s="24"/>
      <c r="L80" s="28"/>
      <c r="M80" s="28"/>
      <c r="N80" s="28"/>
      <c r="O80" s="219"/>
      <c r="AH80" s="1"/>
      <c r="CY80" s="23"/>
      <c r="DE80" s="88"/>
      <c r="DF80" s="23"/>
      <c r="DG80" s="88"/>
      <c r="DH80" s="88"/>
    </row>
    <row r="81" spans="2:112" s="22" customFormat="1" ht="24.95" customHeight="1">
      <c r="B81" s="23"/>
      <c r="C81" s="2"/>
      <c r="D81" s="2"/>
      <c r="E81" s="3"/>
      <c r="F81" s="3"/>
      <c r="I81" s="76"/>
      <c r="J81" s="76"/>
      <c r="K81" s="24"/>
      <c r="L81" s="28"/>
      <c r="M81" s="28"/>
      <c r="N81" s="28"/>
      <c r="O81" s="219"/>
      <c r="AH81" s="1"/>
      <c r="CY81" s="23"/>
      <c r="DE81" s="88"/>
      <c r="DF81" s="23"/>
      <c r="DG81" s="88"/>
      <c r="DH81" s="88"/>
    </row>
    <row r="82" spans="2:112" s="22" customFormat="1" ht="24.95" customHeight="1">
      <c r="B82" s="23"/>
      <c r="C82" s="2"/>
      <c r="D82" s="2"/>
      <c r="E82" s="3"/>
      <c r="F82" s="3"/>
      <c r="I82" s="76"/>
      <c r="J82" s="76"/>
      <c r="K82" s="24"/>
      <c r="L82" s="28"/>
      <c r="M82" s="28"/>
      <c r="N82" s="28"/>
      <c r="O82" s="219"/>
      <c r="AH82" s="1"/>
      <c r="CY82" s="23"/>
      <c r="DE82" s="88"/>
      <c r="DF82" s="23"/>
      <c r="DG82" s="88"/>
      <c r="DH82" s="88"/>
    </row>
    <row r="83" spans="2:112" s="22" customFormat="1" ht="24.95" customHeight="1">
      <c r="B83" s="23"/>
      <c r="C83" s="2"/>
      <c r="D83" s="2"/>
      <c r="E83" s="3"/>
      <c r="F83" s="3"/>
      <c r="I83" s="76"/>
      <c r="J83" s="76"/>
      <c r="K83" s="24"/>
      <c r="L83" s="28"/>
      <c r="M83" s="28"/>
      <c r="N83" s="28"/>
      <c r="O83" s="219"/>
      <c r="AH83" s="1"/>
      <c r="CY83" s="23"/>
      <c r="DE83" s="88"/>
      <c r="DF83" s="23"/>
      <c r="DG83" s="88"/>
      <c r="DH83" s="88"/>
    </row>
    <row r="84" spans="2:112" s="22" customFormat="1" ht="24.95" customHeight="1">
      <c r="B84" s="23"/>
      <c r="C84" s="2"/>
      <c r="D84" s="2"/>
      <c r="E84" s="3"/>
      <c r="F84" s="3"/>
      <c r="I84" s="76"/>
      <c r="J84" s="76"/>
      <c r="K84" s="24"/>
      <c r="L84" s="28"/>
      <c r="M84" s="28"/>
      <c r="N84" s="28"/>
      <c r="O84" s="219"/>
      <c r="AH84" s="1"/>
      <c r="CY84" s="23"/>
      <c r="DE84" s="88"/>
      <c r="DF84" s="23"/>
      <c r="DG84" s="88"/>
      <c r="DH84" s="88"/>
    </row>
    <row r="85" spans="2:112" s="22" customFormat="1" ht="24.95" customHeight="1">
      <c r="B85" s="23"/>
      <c r="C85" s="2"/>
      <c r="D85" s="2"/>
      <c r="E85" s="3"/>
      <c r="F85" s="3"/>
      <c r="I85" s="76"/>
      <c r="J85" s="76"/>
      <c r="K85" s="24"/>
      <c r="L85" s="28"/>
      <c r="M85" s="28"/>
      <c r="N85" s="28"/>
      <c r="O85" s="219"/>
      <c r="AH85" s="1"/>
      <c r="CY85" s="23"/>
      <c r="DE85" s="88"/>
      <c r="DF85" s="23"/>
      <c r="DG85" s="88"/>
      <c r="DH85" s="88"/>
    </row>
    <row r="86" spans="2:112" s="22" customFormat="1" ht="24.95" customHeight="1">
      <c r="B86" s="23"/>
      <c r="C86" s="2"/>
      <c r="D86" s="2"/>
      <c r="E86" s="3"/>
      <c r="F86" s="3"/>
      <c r="I86" s="76"/>
      <c r="J86" s="76"/>
      <c r="K86" s="24"/>
      <c r="L86" s="28"/>
      <c r="M86" s="28"/>
      <c r="N86" s="28"/>
      <c r="O86" s="219"/>
      <c r="AH86" s="1"/>
      <c r="CY86" s="23"/>
      <c r="DE86" s="88"/>
      <c r="DF86" s="23"/>
      <c r="DG86" s="88"/>
      <c r="DH86" s="88"/>
    </row>
    <row r="87" spans="2:112" s="22" customFormat="1" ht="24.95" customHeight="1">
      <c r="B87" s="23"/>
      <c r="C87" s="2"/>
      <c r="D87" s="2"/>
      <c r="E87" s="3"/>
      <c r="F87" s="3"/>
      <c r="I87" s="76"/>
      <c r="J87" s="76"/>
      <c r="K87" s="24"/>
      <c r="L87" s="28"/>
      <c r="M87" s="28"/>
      <c r="N87" s="28"/>
      <c r="O87" s="219"/>
      <c r="AH87" s="1"/>
      <c r="CY87" s="23"/>
      <c r="DE87" s="88"/>
      <c r="DF87" s="23"/>
      <c r="DG87" s="88"/>
      <c r="DH87" s="88"/>
    </row>
    <row r="88" spans="2:112" ht="24.95" customHeight="1">
      <c r="C88" s="2"/>
      <c r="D88" s="2"/>
      <c r="E88" s="3"/>
      <c r="F88" s="3"/>
      <c r="AH88" s="1"/>
    </row>
    <row r="89" spans="2:112" ht="24.95" customHeight="1">
      <c r="C89" s="2"/>
      <c r="D89" s="2"/>
      <c r="E89" s="3"/>
      <c r="F89" s="3"/>
      <c r="AH89" s="1"/>
    </row>
    <row r="90" spans="2:112" ht="24.95" customHeight="1">
      <c r="C90" s="2"/>
      <c r="D90" s="2"/>
      <c r="E90" s="3"/>
      <c r="F90" s="3"/>
      <c r="AH90" s="1"/>
    </row>
    <row r="91" spans="2:112" ht="24.95" customHeight="1">
      <c r="C91" s="2"/>
      <c r="D91" s="2"/>
      <c r="E91" s="3"/>
      <c r="F91" s="3"/>
      <c r="AH91" s="1"/>
    </row>
    <row r="92" spans="2:112" ht="24.95" customHeight="1">
      <c r="C92" s="2"/>
      <c r="D92" s="2"/>
      <c r="E92" s="3"/>
      <c r="F92" s="3"/>
      <c r="AH92" s="1"/>
    </row>
    <row r="93" spans="2:112" ht="24.95" customHeight="1">
      <c r="C93" s="2"/>
      <c r="D93" s="2"/>
      <c r="E93" s="3"/>
      <c r="F93" s="3"/>
      <c r="AH93" s="1"/>
    </row>
    <row r="94" spans="2:112" ht="24.95" customHeight="1">
      <c r="C94" s="2"/>
      <c r="D94" s="2"/>
      <c r="E94" s="3"/>
      <c r="F94" s="3"/>
      <c r="AH94" s="1"/>
    </row>
    <row r="95" spans="2:112" ht="24.95" customHeight="1">
      <c r="C95" s="2"/>
      <c r="D95" s="2"/>
      <c r="E95" s="3"/>
      <c r="F95" s="3"/>
      <c r="AH95" s="1"/>
    </row>
    <row r="96" spans="2:112" ht="24.95" customHeight="1">
      <c r="C96" s="2"/>
      <c r="D96" s="2"/>
      <c r="E96" s="3"/>
      <c r="F96" s="3"/>
      <c r="AH96" s="1"/>
    </row>
    <row r="97" spans="3:34" ht="24.95" customHeight="1">
      <c r="C97" s="2"/>
      <c r="D97" s="2"/>
      <c r="E97" s="3"/>
      <c r="F97" s="3"/>
      <c r="AH97" s="1"/>
    </row>
    <row r="98" spans="3:34" ht="24.95" customHeight="1">
      <c r="C98" s="2"/>
      <c r="D98" s="2"/>
      <c r="E98" s="3"/>
      <c r="F98" s="3"/>
      <c r="AH98" s="1"/>
    </row>
    <row r="99" spans="3:34" ht="24.95" customHeight="1">
      <c r="C99" s="2"/>
      <c r="D99" s="2"/>
      <c r="E99" s="3"/>
      <c r="F99" s="3"/>
      <c r="AH99" s="1"/>
    </row>
    <row r="100" spans="3:34" ht="24.95" customHeight="1">
      <c r="C100" s="2"/>
      <c r="D100" s="2"/>
      <c r="E100" s="3"/>
      <c r="F100" s="3"/>
      <c r="AH100" s="1"/>
    </row>
    <row r="101" spans="3:34" ht="24.95" customHeight="1">
      <c r="C101" s="2"/>
      <c r="D101" s="2"/>
      <c r="E101" s="3"/>
      <c r="F101" s="3"/>
      <c r="AH101" s="1"/>
    </row>
    <row r="102" spans="3:34" ht="24.95" customHeight="1">
      <c r="C102" s="2"/>
      <c r="D102" s="2"/>
      <c r="E102" s="3"/>
      <c r="F102" s="3"/>
      <c r="AH102" s="1"/>
    </row>
    <row r="103" spans="3:34" ht="24.95" customHeight="1">
      <c r="C103" s="2"/>
      <c r="D103" s="2"/>
      <c r="E103" s="3"/>
      <c r="F103" s="3"/>
      <c r="AH103" s="1"/>
    </row>
    <row r="104" spans="3:34" ht="24.95" customHeight="1">
      <c r="C104" s="2"/>
      <c r="D104" s="2"/>
      <c r="E104" s="3"/>
      <c r="F104" s="3"/>
      <c r="AH104" s="1"/>
    </row>
    <row r="105" spans="3:34" ht="24.95" customHeight="1">
      <c r="C105" s="2"/>
      <c r="D105" s="2"/>
      <c r="E105" s="3"/>
      <c r="F105" s="3"/>
      <c r="AH105" s="1"/>
    </row>
    <row r="106" spans="3:34" ht="24.95" customHeight="1">
      <c r="C106" s="2"/>
      <c r="D106" s="2"/>
      <c r="E106" s="3"/>
      <c r="F106" s="3"/>
      <c r="AH106" s="1"/>
    </row>
    <row r="107" spans="3:34" ht="24.95" customHeight="1">
      <c r="C107" s="2"/>
      <c r="D107" s="2"/>
      <c r="E107" s="3"/>
      <c r="F107" s="3"/>
      <c r="AH107" s="1"/>
    </row>
    <row r="108" spans="3:34" ht="24.95" customHeight="1">
      <c r="C108" s="2"/>
      <c r="D108" s="2"/>
      <c r="E108" s="3"/>
      <c r="F108" s="3"/>
      <c r="AH108" s="1"/>
    </row>
    <row r="109" spans="3:34" ht="24.95" customHeight="1">
      <c r="C109" s="2"/>
      <c r="D109" s="2"/>
      <c r="E109" s="3"/>
      <c r="F109" s="3"/>
      <c r="AH109" s="1"/>
    </row>
    <row r="110" spans="3:34" ht="24.95" customHeight="1">
      <c r="C110" s="2"/>
      <c r="D110" s="2"/>
      <c r="E110" s="3"/>
      <c r="F110" s="3"/>
      <c r="AH110" s="1"/>
    </row>
    <row r="111" spans="3:34" ht="24.95" customHeight="1">
      <c r="C111" s="2"/>
      <c r="D111" s="2"/>
      <c r="E111" s="3"/>
      <c r="F111" s="3"/>
      <c r="AH111" s="1"/>
    </row>
    <row r="112" spans="3:34" ht="24.95" customHeight="1">
      <c r="C112" s="2"/>
      <c r="D112" s="2"/>
      <c r="E112" s="3"/>
      <c r="F112" s="3"/>
      <c r="AH112" s="1"/>
    </row>
  </sheetData>
  <mergeCells count="112">
    <mergeCell ref="Y57:AB57"/>
    <mergeCell ref="L55:L58"/>
    <mergeCell ref="M55:M58"/>
    <mergeCell ref="N55:N58"/>
    <mergeCell ref="O55:O58"/>
    <mergeCell ref="Y52:AB52"/>
    <mergeCell ref="B1:Q1"/>
    <mergeCell ref="B2:O2"/>
    <mergeCell ref="Y44:AB44"/>
    <mergeCell ref="L33:L37"/>
    <mergeCell ref="M33:M37"/>
    <mergeCell ref="N33:N37"/>
    <mergeCell ref="B11:D11"/>
    <mergeCell ref="B38:D38"/>
    <mergeCell ref="L30:L32"/>
    <mergeCell ref="M30:M32"/>
    <mergeCell ref="N30:N32"/>
    <mergeCell ref="L20:L25"/>
    <mergeCell ref="M20:M25"/>
    <mergeCell ref="N20:N25"/>
    <mergeCell ref="L12:L19"/>
    <mergeCell ref="M12:M19"/>
    <mergeCell ref="L26:L29"/>
    <mergeCell ref="M26:M29"/>
    <mergeCell ref="Y35:AB35"/>
    <mergeCell ref="O30:O32"/>
    <mergeCell ref="O33:O37"/>
    <mergeCell ref="N26:N29"/>
    <mergeCell ref="N12:N19"/>
    <mergeCell ref="O12:O19"/>
    <mergeCell ref="O20:O25"/>
    <mergeCell ref="O26:O29"/>
    <mergeCell ref="Y10:AB10"/>
    <mergeCell ref="DG5:DH5"/>
    <mergeCell ref="DG6:DH6"/>
    <mergeCell ref="CV5:CW5"/>
    <mergeCell ref="CV6:CW6"/>
    <mergeCell ref="CV7:CW7"/>
    <mergeCell ref="DG7:DH7"/>
    <mergeCell ref="BR5:CP5"/>
    <mergeCell ref="BH7:BK7"/>
    <mergeCell ref="BP7:BP8"/>
    <mergeCell ref="BZ6:CC7"/>
    <mergeCell ref="CR7:CR8"/>
    <mergeCell ref="CS7:CS8"/>
    <mergeCell ref="CV8:CW8"/>
    <mergeCell ref="P6:P8"/>
    <mergeCell ref="Q6:T7"/>
    <mergeCell ref="P5:AP5"/>
    <mergeCell ref="AP6:AP8"/>
    <mergeCell ref="CQ7:CQ8"/>
    <mergeCell ref="BR6:BU7"/>
    <mergeCell ref="CD6:CG7"/>
    <mergeCell ref="CH6:CK7"/>
    <mergeCell ref="CL6:CO7"/>
    <mergeCell ref="BV6:BY7"/>
    <mergeCell ref="BQ6:BQ8"/>
    <mergeCell ref="CQ5:CT6"/>
    <mergeCell ref="CT7:CT8"/>
    <mergeCell ref="CP6:CP8"/>
    <mergeCell ref="BD7:BG7"/>
    <mergeCell ref="AZ6:BP6"/>
    <mergeCell ref="AY7:AY8"/>
    <mergeCell ref="AU7:AX7"/>
    <mergeCell ref="U6:X7"/>
    <mergeCell ref="AL6:AO7"/>
    <mergeCell ref="Y6:AK6"/>
    <mergeCell ref="L39:L42"/>
    <mergeCell ref="M39:M42"/>
    <mergeCell ref="N39:N42"/>
    <mergeCell ref="O39:O42"/>
    <mergeCell ref="Y48:AB48"/>
    <mergeCell ref="A5:A7"/>
    <mergeCell ref="G5:H7"/>
    <mergeCell ref="I5:I8"/>
    <mergeCell ref="AQ7:AT7"/>
    <mergeCell ref="AC7:AF7"/>
    <mergeCell ref="AG7:AJ7"/>
    <mergeCell ref="AK7:AK8"/>
    <mergeCell ref="B5:F7"/>
    <mergeCell ref="K5:K8"/>
    <mergeCell ref="J5:J8"/>
    <mergeCell ref="L5:L8"/>
    <mergeCell ref="Y7:AB7"/>
    <mergeCell ref="O5:O8"/>
    <mergeCell ref="AQ5:BQ5"/>
    <mergeCell ref="AQ6:AY6"/>
    <mergeCell ref="AZ7:BC7"/>
    <mergeCell ref="BL7:BO7"/>
    <mergeCell ref="M5:M8"/>
    <mergeCell ref="N5:N8"/>
    <mergeCell ref="L43:L47"/>
    <mergeCell ref="M43:M47"/>
    <mergeCell ref="N43:N47"/>
    <mergeCell ref="O43:O47"/>
    <mergeCell ref="L48:L51"/>
    <mergeCell ref="M48:M51"/>
    <mergeCell ref="N48:N51"/>
    <mergeCell ref="O48:O51"/>
    <mergeCell ref="L52:L54"/>
    <mergeCell ref="M52:M54"/>
    <mergeCell ref="N52:N54"/>
    <mergeCell ref="O52:O54"/>
    <mergeCell ref="Y64:AB64"/>
    <mergeCell ref="L63:L66"/>
    <mergeCell ref="M63:M66"/>
    <mergeCell ref="N63:N66"/>
    <mergeCell ref="O63:O66"/>
    <mergeCell ref="L59:L62"/>
    <mergeCell ref="M59:M62"/>
    <mergeCell ref="N59:N62"/>
    <mergeCell ref="O59:O62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8" scale="50" pageOrder="overThenDown" orientation="landscape" horizontalDpi="1200" verticalDpi="1200" r:id="rId1"/>
  <headerFooter>
    <oddFooter>&amp;C&amp;18&amp;P/&amp;N</oddFooter>
  </headerFooter>
  <colBreaks count="3" manualBreakCount="3">
    <brk id="35" max="75" man="1"/>
    <brk id="56" max="75" man="1"/>
    <brk id="77" max="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기술제안 4차 수량기준 2공구 본선구간 공기산정결과</vt:lpstr>
      <vt:lpstr>'기술제안 4차 수량기준 2공구 본선구간 공기산정결과'!Print_Area</vt:lpstr>
      <vt:lpstr>'기술제안 4차 수량기준 2공구 본선구간 공기산정결과'!Print_Titles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김민호</dc:creator>
  <cp:lastModifiedBy>(주)천우씨엠 이흥철 대표이사</cp:lastModifiedBy>
  <cp:lastPrinted>2026-07-27T01:02:09Z</cp:lastPrinted>
  <dcterms:created xsi:type="dcterms:W3CDTF">2026-06-17T10:35:32Z</dcterms:created>
  <dcterms:modified xsi:type="dcterms:W3CDTF">2026-07-29T08:39:05Z</dcterms:modified>
</cp:coreProperties>
</file>