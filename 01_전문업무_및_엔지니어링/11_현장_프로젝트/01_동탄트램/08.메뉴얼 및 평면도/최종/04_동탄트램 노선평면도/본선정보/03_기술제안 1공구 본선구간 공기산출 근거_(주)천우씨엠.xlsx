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440" windowHeight="11445"/>
  </bookViews>
  <sheets>
    <sheet name="기술제안 1공구 본선구간 공기산출 근거" sheetId="9" r:id="rId1"/>
  </sheets>
  <definedNames>
    <definedName name="_xlnm.Print_Area" localSheetId="0">'기술제안 1공구 본선구간 공기산출 근거'!$B$1:$CT$81</definedName>
    <definedName name="_xlnm.Print_Titles" localSheetId="0">'기술제안 1공구 본선구간 공기산출 근거'!$B:$O</definedName>
  </definedNames>
  <calcPr calcId="145621"/>
</workbook>
</file>

<file path=xl/calcChain.xml><?xml version="1.0" encoding="utf-8"?>
<calcChain xmlns="http://schemas.openxmlformats.org/spreadsheetml/2006/main">
  <c r="CK69" i="9" l="1"/>
  <c r="CG69" i="9"/>
  <c r="CC69" i="9"/>
  <c r="BY69" i="9"/>
  <c r="BU69" i="9"/>
  <c r="BP69" i="9"/>
  <c r="BO69" i="9"/>
  <c r="BK69" i="9"/>
  <c r="BG69" i="9"/>
  <c r="BA69" i="9"/>
  <c r="BC69" i="9" s="1"/>
  <c r="AX69" i="9"/>
  <c r="AT69" i="9"/>
  <c r="AO69" i="9"/>
  <c r="X69" i="9"/>
  <c r="T69" i="9"/>
  <c r="I69" i="9"/>
  <c r="CK81" i="9"/>
  <c r="CG81" i="9"/>
  <c r="CC81" i="9"/>
  <c r="BY81" i="9"/>
  <c r="BU81" i="9"/>
  <c r="BP81" i="9"/>
  <c r="BO81" i="9"/>
  <c r="BK81" i="9"/>
  <c r="BG81" i="9"/>
  <c r="BA81" i="9"/>
  <c r="BC81" i="9" s="1"/>
  <c r="AY81" i="9"/>
  <c r="AX81" i="9"/>
  <c r="AT81" i="9"/>
  <c r="AO81" i="9"/>
  <c r="AK81" i="9"/>
  <c r="AJ81" i="9"/>
  <c r="AF81" i="9"/>
  <c r="AB81" i="9"/>
  <c r="X81" i="9"/>
  <c r="T81" i="9"/>
  <c r="I81" i="9"/>
  <c r="CL81" i="9" s="1"/>
  <c r="CO81" i="9" s="1"/>
  <c r="CK80" i="9"/>
  <c r="CG80" i="9"/>
  <c r="CC80" i="9"/>
  <c r="BY80" i="9"/>
  <c r="BU80" i="9"/>
  <c r="BP80" i="9"/>
  <c r="BO80" i="9"/>
  <c r="BK80" i="9"/>
  <c r="BG80" i="9"/>
  <c r="BA80" i="9"/>
  <c r="BC80" i="9" s="1"/>
  <c r="AX80" i="9"/>
  <c r="AT80" i="9"/>
  <c r="AO80" i="9"/>
  <c r="X80" i="9"/>
  <c r="T80" i="9"/>
  <c r="I80" i="9"/>
  <c r="AC80" i="9" s="1"/>
  <c r="AF80" i="9" s="1"/>
  <c r="CK79" i="9"/>
  <c r="CG79" i="9"/>
  <c r="CC79" i="9"/>
  <c r="BY79" i="9"/>
  <c r="BU79" i="9"/>
  <c r="BP79" i="9"/>
  <c r="BO79" i="9"/>
  <c r="BK79" i="9"/>
  <c r="BG79" i="9"/>
  <c r="BA79" i="9"/>
  <c r="BC79" i="9" s="1"/>
  <c r="AY79" i="9"/>
  <c r="AX79" i="9"/>
  <c r="AT79" i="9"/>
  <c r="AO79" i="9"/>
  <c r="AK79" i="9"/>
  <c r="AJ79" i="9"/>
  <c r="AF79" i="9"/>
  <c r="AB79" i="9"/>
  <c r="X79" i="9"/>
  <c r="T79" i="9"/>
  <c r="I79" i="9"/>
  <c r="CL79" i="9" s="1"/>
  <c r="CO79" i="9" s="1"/>
  <c r="CK78" i="9"/>
  <c r="CG78" i="9"/>
  <c r="CC78" i="9"/>
  <c r="BY78" i="9"/>
  <c r="BU78" i="9"/>
  <c r="BP78" i="9"/>
  <c r="BO78" i="9"/>
  <c r="BK78" i="9"/>
  <c r="BG78" i="9"/>
  <c r="BA78" i="9"/>
  <c r="BC78" i="9" s="1"/>
  <c r="AY78" i="9"/>
  <c r="AX78" i="9"/>
  <c r="AT78" i="9"/>
  <c r="AO78" i="9"/>
  <c r="AK78" i="9"/>
  <c r="AJ78" i="9"/>
  <c r="AF78" i="9"/>
  <c r="AB78" i="9"/>
  <c r="X78" i="9"/>
  <c r="T78" i="9"/>
  <c r="I78" i="9"/>
  <c r="CL78" i="9" s="1"/>
  <c r="CO78" i="9" s="1"/>
  <c r="CK77" i="9"/>
  <c r="CG77" i="9"/>
  <c r="CC77" i="9"/>
  <c r="BY77" i="9"/>
  <c r="BU77" i="9"/>
  <c r="BP77" i="9"/>
  <c r="BO77" i="9"/>
  <c r="BK77" i="9"/>
  <c r="BG77" i="9"/>
  <c r="BA77" i="9"/>
  <c r="BC77" i="9" s="1"/>
  <c r="AY77" i="9"/>
  <c r="AX77" i="9"/>
  <c r="AT77" i="9"/>
  <c r="AO77" i="9"/>
  <c r="AK77" i="9"/>
  <c r="AJ77" i="9"/>
  <c r="AF77" i="9"/>
  <c r="AB77" i="9"/>
  <c r="X77" i="9"/>
  <c r="T77" i="9"/>
  <c r="I77" i="9"/>
  <c r="CL77" i="9" s="1"/>
  <c r="CO77" i="9" s="1"/>
  <c r="CK76" i="9"/>
  <c r="CG76" i="9"/>
  <c r="CC76" i="9"/>
  <c r="BY76" i="9"/>
  <c r="BU76" i="9"/>
  <c r="BP76" i="9"/>
  <c r="BO76" i="9"/>
  <c r="BK76" i="9"/>
  <c r="BG76" i="9"/>
  <c r="BA76" i="9"/>
  <c r="BC76" i="9" s="1"/>
  <c r="AY76" i="9"/>
  <c r="AX76" i="9"/>
  <c r="AT76" i="9"/>
  <c r="AO76" i="9"/>
  <c r="AK76" i="9"/>
  <c r="AJ76" i="9"/>
  <c r="AF76" i="9"/>
  <c r="AB76" i="9"/>
  <c r="X76" i="9"/>
  <c r="T76" i="9"/>
  <c r="I76" i="9"/>
  <c r="CL76" i="9" s="1"/>
  <c r="CO76" i="9" s="1"/>
  <c r="J78" i="9" l="1"/>
  <c r="J79" i="9" s="1"/>
  <c r="J80" i="9" s="1"/>
  <c r="J81" i="9" s="1"/>
  <c r="M78" i="9"/>
  <c r="BQ69" i="9"/>
  <c r="CR69" i="9" s="1"/>
  <c r="AC69" i="9"/>
  <c r="AF69" i="9" s="1"/>
  <c r="AP69" i="9" s="1"/>
  <c r="CQ69" i="9" s="1"/>
  <c r="CL69" i="9"/>
  <c r="CO69" i="9" s="1"/>
  <c r="CP69" i="9" s="1"/>
  <c r="CS69" i="9" s="1"/>
  <c r="CP81" i="9"/>
  <c r="CS81" i="9" s="1"/>
  <c r="BQ81" i="9"/>
  <c r="CR81" i="9" s="1"/>
  <c r="AP81" i="9"/>
  <c r="CQ81" i="9" s="1"/>
  <c r="AP80" i="9"/>
  <c r="CQ80" i="9" s="1"/>
  <c r="BQ80" i="9"/>
  <c r="CR80" i="9" s="1"/>
  <c r="CL80" i="9"/>
  <c r="CO80" i="9" s="1"/>
  <c r="CP80" i="9" s="1"/>
  <c r="CS80" i="9" s="1"/>
  <c r="AP79" i="9"/>
  <c r="CQ79" i="9" s="1"/>
  <c r="CP79" i="9"/>
  <c r="CS79" i="9" s="1"/>
  <c r="BQ79" i="9"/>
  <c r="CR79" i="9" s="1"/>
  <c r="BQ78" i="9"/>
  <c r="CR78" i="9" s="1"/>
  <c r="AP78" i="9"/>
  <c r="CQ78" i="9" s="1"/>
  <c r="CP78" i="9"/>
  <c r="CS78" i="9" s="1"/>
  <c r="BQ77" i="9"/>
  <c r="CR77" i="9" s="1"/>
  <c r="AP77" i="9"/>
  <c r="CQ77" i="9" s="1"/>
  <c r="CP77" i="9"/>
  <c r="CS77" i="9" s="1"/>
  <c r="BQ76" i="9"/>
  <c r="CR76" i="9" s="1"/>
  <c r="AP76" i="9"/>
  <c r="CQ76" i="9" s="1"/>
  <c r="CP76" i="9"/>
  <c r="CS76" i="9" s="1"/>
  <c r="CK75" i="9"/>
  <c r="CG75" i="9"/>
  <c r="CC75" i="9"/>
  <c r="BY75" i="9"/>
  <c r="BU75" i="9"/>
  <c r="BP75" i="9"/>
  <c r="BO75" i="9"/>
  <c r="BK75" i="9"/>
  <c r="BG75" i="9"/>
  <c r="BA75" i="9"/>
  <c r="BC75" i="9" s="1"/>
  <c r="AY75" i="9"/>
  <c r="AX75" i="9"/>
  <c r="AT75" i="9"/>
  <c r="AO75" i="9"/>
  <c r="AK75" i="9"/>
  <c r="AJ75" i="9"/>
  <c r="AF75" i="9"/>
  <c r="AB75" i="9"/>
  <c r="X75" i="9"/>
  <c r="T75" i="9"/>
  <c r="I75" i="9"/>
  <c r="CK74" i="9"/>
  <c r="CG74" i="9"/>
  <c r="CC74" i="9"/>
  <c r="BY74" i="9"/>
  <c r="BU74" i="9"/>
  <c r="BP74" i="9"/>
  <c r="BO74" i="9"/>
  <c r="BK74" i="9"/>
  <c r="BG74" i="9"/>
  <c r="BA74" i="9"/>
  <c r="BC74" i="9" s="1"/>
  <c r="AY74" i="9"/>
  <c r="AX74" i="9"/>
  <c r="AT74" i="9"/>
  <c r="AO74" i="9"/>
  <c r="AK74" i="9"/>
  <c r="AJ74" i="9"/>
  <c r="AF74" i="9"/>
  <c r="AB74" i="9"/>
  <c r="X74" i="9"/>
  <c r="T74" i="9"/>
  <c r="I74" i="9"/>
  <c r="CL74" i="9" s="1"/>
  <c r="CO74" i="9" s="1"/>
  <c r="CK73" i="9"/>
  <c r="CG73" i="9"/>
  <c r="CC73" i="9"/>
  <c r="BY73" i="9"/>
  <c r="BU73" i="9"/>
  <c r="BP73" i="9"/>
  <c r="BO73" i="9"/>
  <c r="BK73" i="9"/>
  <c r="BG73" i="9"/>
  <c r="BA73" i="9"/>
  <c r="BC73" i="9" s="1"/>
  <c r="AX73" i="9"/>
  <c r="AT73" i="9"/>
  <c r="AO73" i="9"/>
  <c r="X73" i="9"/>
  <c r="T73" i="9"/>
  <c r="I73" i="9"/>
  <c r="CK72" i="9"/>
  <c r="CG72" i="9"/>
  <c r="CC72" i="9"/>
  <c r="BY72" i="9"/>
  <c r="BU72" i="9"/>
  <c r="BP72" i="9"/>
  <c r="BO72" i="9"/>
  <c r="BK72" i="9"/>
  <c r="BG72" i="9"/>
  <c r="BA72" i="9"/>
  <c r="BC72" i="9" s="1"/>
  <c r="AY72" i="9"/>
  <c r="AX72" i="9"/>
  <c r="AT72" i="9"/>
  <c r="AO72" i="9"/>
  <c r="AK72" i="9"/>
  <c r="AJ72" i="9"/>
  <c r="AF72" i="9"/>
  <c r="AB72" i="9"/>
  <c r="X72" i="9"/>
  <c r="T72" i="9"/>
  <c r="I72" i="9"/>
  <c r="CK71" i="9"/>
  <c r="CG71" i="9"/>
  <c r="CC71" i="9"/>
  <c r="BY71" i="9"/>
  <c r="BU71" i="9"/>
  <c r="BP71" i="9"/>
  <c r="BO71" i="9"/>
  <c r="BK71" i="9"/>
  <c r="BG71" i="9"/>
  <c r="BA71" i="9"/>
  <c r="BC71" i="9" s="1"/>
  <c r="AY71" i="9"/>
  <c r="AX71" i="9"/>
  <c r="AT71" i="9"/>
  <c r="AO71" i="9"/>
  <c r="AK71" i="9"/>
  <c r="AJ71" i="9"/>
  <c r="AF71" i="9"/>
  <c r="AB71" i="9"/>
  <c r="X71" i="9"/>
  <c r="T71" i="9"/>
  <c r="I71" i="9"/>
  <c r="CK70" i="9"/>
  <c r="CG70" i="9"/>
  <c r="CC70" i="9"/>
  <c r="BY70" i="9"/>
  <c r="BU70" i="9"/>
  <c r="BP70" i="9"/>
  <c r="BO70" i="9"/>
  <c r="BK70" i="9"/>
  <c r="BG70" i="9"/>
  <c r="BA70" i="9"/>
  <c r="BC70" i="9" s="1"/>
  <c r="AY70" i="9"/>
  <c r="AX70" i="9"/>
  <c r="AT70" i="9"/>
  <c r="AO70" i="9"/>
  <c r="AK70" i="9"/>
  <c r="AJ70" i="9"/>
  <c r="AF70" i="9"/>
  <c r="AB70" i="9"/>
  <c r="X70" i="9"/>
  <c r="T70" i="9"/>
  <c r="I70" i="9"/>
  <c r="CL70" i="9" s="1"/>
  <c r="CO70" i="9" s="1"/>
  <c r="CK68" i="9"/>
  <c r="CG68" i="9"/>
  <c r="CC68" i="9"/>
  <c r="BY68" i="9"/>
  <c r="BU68" i="9"/>
  <c r="BP68" i="9"/>
  <c r="BO68" i="9"/>
  <c r="BK68" i="9"/>
  <c r="BG68" i="9"/>
  <c r="BA68" i="9"/>
  <c r="BC68" i="9" s="1"/>
  <c r="AY68" i="9"/>
  <c r="AX68" i="9"/>
  <c r="AT68" i="9"/>
  <c r="AO68" i="9"/>
  <c r="AK68" i="9"/>
  <c r="AJ68" i="9"/>
  <c r="AF68" i="9"/>
  <c r="AB68" i="9"/>
  <c r="X68" i="9"/>
  <c r="T68" i="9"/>
  <c r="I68" i="9"/>
  <c r="CL68" i="9" s="1"/>
  <c r="CO68" i="9" s="1"/>
  <c r="CK67" i="9"/>
  <c r="CG67" i="9"/>
  <c r="CC67" i="9"/>
  <c r="BY67" i="9"/>
  <c r="BU67" i="9"/>
  <c r="BP67" i="9"/>
  <c r="BO67" i="9"/>
  <c r="BK67" i="9"/>
  <c r="BG67" i="9"/>
  <c r="BA67" i="9"/>
  <c r="BC67" i="9" s="1"/>
  <c r="AX67" i="9"/>
  <c r="AT67" i="9"/>
  <c r="AO67" i="9"/>
  <c r="X67" i="9"/>
  <c r="T67" i="9"/>
  <c r="I67" i="9"/>
  <c r="CL67" i="9" s="1"/>
  <c r="CO67" i="9" s="1"/>
  <c r="CK66" i="9"/>
  <c r="CG66" i="9"/>
  <c r="CC66" i="9"/>
  <c r="BY66" i="9"/>
  <c r="BU66" i="9"/>
  <c r="BP66" i="9"/>
  <c r="BO66" i="9"/>
  <c r="BK66" i="9"/>
  <c r="BG66" i="9"/>
  <c r="BA66" i="9"/>
  <c r="BC66" i="9" s="1"/>
  <c r="AY66" i="9"/>
  <c r="AX66" i="9"/>
  <c r="AT66" i="9"/>
  <c r="AO66" i="9"/>
  <c r="AK66" i="9"/>
  <c r="AJ66" i="9"/>
  <c r="AF66" i="9"/>
  <c r="AB66" i="9"/>
  <c r="X66" i="9"/>
  <c r="T66" i="9"/>
  <c r="I66" i="9"/>
  <c r="CL66" i="9" s="1"/>
  <c r="CO66" i="9" s="1"/>
  <c r="CK65" i="9"/>
  <c r="CG65" i="9"/>
  <c r="CC65" i="9"/>
  <c r="BY65" i="9"/>
  <c r="BU65" i="9"/>
  <c r="BP65" i="9"/>
  <c r="BO65" i="9"/>
  <c r="BK65" i="9"/>
  <c r="BG65" i="9"/>
  <c r="BA65" i="9"/>
  <c r="BC65" i="9" s="1"/>
  <c r="AX65" i="9"/>
  <c r="AT65" i="9"/>
  <c r="AO65" i="9"/>
  <c r="X65" i="9"/>
  <c r="T65" i="9"/>
  <c r="I65" i="9"/>
  <c r="AC65" i="9" s="1"/>
  <c r="AF65" i="9" s="1"/>
  <c r="CK64" i="9"/>
  <c r="CG64" i="9"/>
  <c r="CC64" i="9"/>
  <c r="BY64" i="9"/>
  <c r="BU64" i="9"/>
  <c r="BP64" i="9"/>
  <c r="BO64" i="9"/>
  <c r="BK64" i="9"/>
  <c r="BG64" i="9"/>
  <c r="BA64" i="9"/>
  <c r="BC64" i="9" s="1"/>
  <c r="AY64" i="9"/>
  <c r="AX64" i="9"/>
  <c r="AT64" i="9"/>
  <c r="AO64" i="9"/>
  <c r="AK64" i="9"/>
  <c r="AJ64" i="9"/>
  <c r="AF64" i="9"/>
  <c r="AB64" i="9"/>
  <c r="X64" i="9"/>
  <c r="T64" i="9"/>
  <c r="I64" i="9"/>
  <c r="N78" i="9" l="1"/>
  <c r="J64" i="9"/>
  <c r="J65" i="9" s="1"/>
  <c r="J66" i="9" s="1"/>
  <c r="J67" i="9" s="1"/>
  <c r="J68" i="9" s="1"/>
  <c r="J69" i="9" s="1"/>
  <c r="J70" i="9" s="1"/>
  <c r="M64" i="9"/>
  <c r="CL75" i="9"/>
  <c r="CO75" i="9" s="1"/>
  <c r="J75" i="9"/>
  <c r="J76" i="9" s="1"/>
  <c r="J77" i="9" s="1"/>
  <c r="M75" i="9"/>
  <c r="CL71" i="9"/>
  <c r="CO71" i="9" s="1"/>
  <c r="M71" i="9"/>
  <c r="J71" i="9"/>
  <c r="J72" i="9" s="1"/>
  <c r="J73" i="9" s="1"/>
  <c r="J74" i="9" s="1"/>
  <c r="CT69" i="9"/>
  <c r="AP72" i="9"/>
  <c r="AC67" i="9"/>
  <c r="AF67" i="9" s="1"/>
  <c r="CL72" i="9"/>
  <c r="CO72" i="9" s="1"/>
  <c r="CT81" i="9"/>
  <c r="CT80" i="9"/>
  <c r="CT79" i="9"/>
  <c r="CT78" i="9"/>
  <c r="CT77" i="9"/>
  <c r="CT76" i="9"/>
  <c r="BQ75" i="9"/>
  <c r="CR75" i="9" s="1"/>
  <c r="AP75" i="9"/>
  <c r="CQ75" i="9" s="1"/>
  <c r="CP75" i="9"/>
  <c r="CS75" i="9" s="1"/>
  <c r="BQ74" i="9"/>
  <c r="CR74" i="9" s="1"/>
  <c r="AP74" i="9"/>
  <c r="CQ74" i="9" s="1"/>
  <c r="CP74" i="9"/>
  <c r="CS74" i="9" s="1"/>
  <c r="AC73" i="9"/>
  <c r="AF73" i="9" s="1"/>
  <c r="AP73" i="9" s="1"/>
  <c r="CQ73" i="9" s="1"/>
  <c r="BQ73" i="9"/>
  <c r="CR73" i="9" s="1"/>
  <c r="CL73" i="9"/>
  <c r="CO73" i="9" s="1"/>
  <c r="CP73" i="9" s="1"/>
  <c r="CS73" i="9" s="1"/>
  <c r="BQ72" i="9"/>
  <c r="CR72" i="9" s="1"/>
  <c r="CQ72" i="9"/>
  <c r="CP72" i="9"/>
  <c r="CS72" i="9" s="1"/>
  <c r="BQ71" i="9"/>
  <c r="CR71" i="9" s="1"/>
  <c r="AP71" i="9"/>
  <c r="CQ71" i="9" s="1"/>
  <c r="N71" i="9" s="1"/>
  <c r="CP71" i="9"/>
  <c r="CS71" i="9" s="1"/>
  <c r="BQ70" i="9"/>
  <c r="CR70" i="9" s="1"/>
  <c r="AP70" i="9"/>
  <c r="CQ70" i="9" s="1"/>
  <c r="CP70" i="9"/>
  <c r="CS70" i="9" s="1"/>
  <c r="CP68" i="9"/>
  <c r="CS68" i="9" s="1"/>
  <c r="BQ68" i="9"/>
  <c r="CR68" i="9" s="1"/>
  <c r="AP68" i="9"/>
  <c r="CQ68" i="9" s="1"/>
  <c r="BQ67" i="9"/>
  <c r="CR67" i="9" s="1"/>
  <c r="AP67" i="9"/>
  <c r="CQ67" i="9" s="1"/>
  <c r="CP67" i="9"/>
  <c r="CS67" i="9" s="1"/>
  <c r="BQ66" i="9"/>
  <c r="CR66" i="9" s="1"/>
  <c r="AP66" i="9"/>
  <c r="CQ66" i="9" s="1"/>
  <c r="CP66" i="9"/>
  <c r="CS66" i="9" s="1"/>
  <c r="BQ65" i="9"/>
  <c r="CR65" i="9" s="1"/>
  <c r="AP65" i="9"/>
  <c r="CQ65" i="9" s="1"/>
  <c r="CL65" i="9"/>
  <c r="CO65" i="9" s="1"/>
  <c r="CP65" i="9" s="1"/>
  <c r="CS65" i="9" s="1"/>
  <c r="AP64" i="9"/>
  <c r="CQ64" i="9" s="1"/>
  <c r="N64" i="9" s="1"/>
  <c r="BQ64" i="9"/>
  <c r="CR64" i="9" s="1"/>
  <c r="CL64" i="9"/>
  <c r="CO64" i="9" s="1"/>
  <c r="CP64" i="9" s="1"/>
  <c r="CS64" i="9" s="1"/>
  <c r="CK63" i="9"/>
  <c r="CG63" i="9"/>
  <c r="CC63" i="9"/>
  <c r="BY63" i="9"/>
  <c r="BU63" i="9"/>
  <c r="BP63" i="9"/>
  <c r="BO63" i="9"/>
  <c r="BK63" i="9"/>
  <c r="BG63" i="9"/>
  <c r="BA63" i="9"/>
  <c r="BC63" i="9" s="1"/>
  <c r="AY63" i="9"/>
  <c r="AX63" i="9"/>
  <c r="AT63" i="9"/>
  <c r="AO63" i="9"/>
  <c r="AK63" i="9"/>
  <c r="AJ63" i="9"/>
  <c r="AF63" i="9"/>
  <c r="AB63" i="9"/>
  <c r="X63" i="9"/>
  <c r="T63" i="9"/>
  <c r="I63" i="9"/>
  <c r="CL63" i="9" s="1"/>
  <c r="CO63" i="9" s="1"/>
  <c r="CK62" i="9"/>
  <c r="CG62" i="9"/>
  <c r="CC62" i="9"/>
  <c r="BY62" i="9"/>
  <c r="BU62" i="9"/>
  <c r="BP62" i="9"/>
  <c r="BO62" i="9"/>
  <c r="BK62" i="9"/>
  <c r="BG62" i="9"/>
  <c r="BA62" i="9"/>
  <c r="BC62" i="9" s="1"/>
  <c r="AY62" i="9"/>
  <c r="AX62" i="9"/>
  <c r="AT62" i="9"/>
  <c r="AO62" i="9"/>
  <c r="AK62" i="9"/>
  <c r="AJ62" i="9"/>
  <c r="AF62" i="9"/>
  <c r="AB62" i="9"/>
  <c r="X62" i="9"/>
  <c r="T62" i="9"/>
  <c r="I62" i="9"/>
  <c r="CK61" i="9"/>
  <c r="CG61" i="9"/>
  <c r="CC61" i="9"/>
  <c r="BY61" i="9"/>
  <c r="BU61" i="9"/>
  <c r="BP61" i="9"/>
  <c r="BO61" i="9"/>
  <c r="BK61" i="9"/>
  <c r="BG61" i="9"/>
  <c r="BA61" i="9"/>
  <c r="BC61" i="9" s="1"/>
  <c r="AY61" i="9"/>
  <c r="AX61" i="9"/>
  <c r="AT61" i="9"/>
  <c r="AO61" i="9"/>
  <c r="AK61" i="9"/>
  <c r="AJ61" i="9"/>
  <c r="AF61" i="9"/>
  <c r="AB61" i="9"/>
  <c r="X61" i="9"/>
  <c r="T61" i="9"/>
  <c r="I61" i="9"/>
  <c r="CL61" i="9" s="1"/>
  <c r="CO61" i="9" s="1"/>
  <c r="CK60" i="9"/>
  <c r="CG60" i="9"/>
  <c r="CC60" i="9"/>
  <c r="BY60" i="9"/>
  <c r="BU60" i="9"/>
  <c r="BP60" i="9"/>
  <c r="BO60" i="9"/>
  <c r="BK60" i="9"/>
  <c r="BG60" i="9"/>
  <c r="BA60" i="9"/>
  <c r="BC60" i="9" s="1"/>
  <c r="AX60" i="9"/>
  <c r="AT60" i="9"/>
  <c r="AO60" i="9"/>
  <c r="X60" i="9"/>
  <c r="T60" i="9"/>
  <c r="I60" i="9"/>
  <c r="AC60" i="9" s="1"/>
  <c r="AF60" i="9" s="1"/>
  <c r="CK59" i="9"/>
  <c r="CG59" i="9"/>
  <c r="CC59" i="9"/>
  <c r="BY59" i="9"/>
  <c r="BU59" i="9"/>
  <c r="BP59" i="9"/>
  <c r="BO59" i="9"/>
  <c r="BK59" i="9"/>
  <c r="BG59" i="9"/>
  <c r="BA59" i="9"/>
  <c r="BC59" i="9" s="1"/>
  <c r="AY59" i="9"/>
  <c r="AX59" i="9"/>
  <c r="AT59" i="9"/>
  <c r="AO59" i="9"/>
  <c r="AK59" i="9"/>
  <c r="AJ59" i="9"/>
  <c r="AF59" i="9"/>
  <c r="AB59" i="9"/>
  <c r="X59" i="9"/>
  <c r="T59" i="9"/>
  <c r="I59" i="9"/>
  <c r="CL59" i="9" s="1"/>
  <c r="CO59" i="9" s="1"/>
  <c r="CK58" i="9"/>
  <c r="CG58" i="9"/>
  <c r="CC58" i="9"/>
  <c r="BY58" i="9"/>
  <c r="BU58" i="9"/>
  <c r="BP58" i="9"/>
  <c r="BO58" i="9"/>
  <c r="BK58" i="9"/>
  <c r="BG58" i="9"/>
  <c r="BA58" i="9"/>
  <c r="BC58" i="9" s="1"/>
  <c r="AY58" i="9"/>
  <c r="AX58" i="9"/>
  <c r="AT58" i="9"/>
  <c r="AO58" i="9"/>
  <c r="AK58" i="9"/>
  <c r="AJ58" i="9"/>
  <c r="AF58" i="9"/>
  <c r="AB58" i="9"/>
  <c r="X58" i="9"/>
  <c r="T58" i="9"/>
  <c r="I58" i="9"/>
  <c r="CL58" i="9" s="1"/>
  <c r="CO58" i="9" s="1"/>
  <c r="CK57" i="9"/>
  <c r="CG57" i="9"/>
  <c r="CC57" i="9"/>
  <c r="BY57" i="9"/>
  <c r="BU57" i="9"/>
  <c r="BP57" i="9"/>
  <c r="BO57" i="9"/>
  <c r="BK57" i="9"/>
  <c r="BG57" i="9"/>
  <c r="BA57" i="9"/>
  <c r="BC57" i="9" s="1"/>
  <c r="AY57" i="9"/>
  <c r="AX57" i="9"/>
  <c r="AT57" i="9"/>
  <c r="AO57" i="9"/>
  <c r="AK57" i="9"/>
  <c r="AJ57" i="9"/>
  <c r="AF57" i="9"/>
  <c r="AB57" i="9"/>
  <c r="X57" i="9"/>
  <c r="T57" i="9"/>
  <c r="I57" i="9"/>
  <c r="CL57" i="9" s="1"/>
  <c r="CO57" i="9" s="1"/>
  <c r="CK56" i="9"/>
  <c r="CG56" i="9"/>
  <c r="CC56" i="9"/>
  <c r="BY56" i="9"/>
  <c r="BU56" i="9"/>
  <c r="BP56" i="9"/>
  <c r="BO56" i="9"/>
  <c r="BK56" i="9"/>
  <c r="BG56" i="9"/>
  <c r="BA56" i="9"/>
  <c r="BC56" i="9" s="1"/>
  <c r="AY56" i="9"/>
  <c r="AX56" i="9"/>
  <c r="AT56" i="9"/>
  <c r="AO56" i="9"/>
  <c r="AK56" i="9"/>
  <c r="AJ56" i="9"/>
  <c r="AF56" i="9"/>
  <c r="AB56" i="9"/>
  <c r="X56" i="9"/>
  <c r="T56" i="9"/>
  <c r="I56" i="9"/>
  <c r="N75" i="9" l="1"/>
  <c r="AP58" i="9"/>
  <c r="CQ58" i="9" s="1"/>
  <c r="M58" i="9"/>
  <c r="BQ63" i="9"/>
  <c r="CR63" i="9" s="1"/>
  <c r="CL62" i="9"/>
  <c r="CO62" i="9" s="1"/>
  <c r="M62" i="9"/>
  <c r="CT75" i="9"/>
  <c r="CT74" i="9"/>
  <c r="CT73" i="9"/>
  <c r="CT72" i="9"/>
  <c r="CT71" i="9"/>
  <c r="CT70" i="9"/>
  <c r="CT68" i="9"/>
  <c r="CT67" i="9"/>
  <c r="CT66" i="9"/>
  <c r="CT65" i="9"/>
  <c r="CT64" i="9"/>
  <c r="AP63" i="9"/>
  <c r="CQ63" i="9" s="1"/>
  <c r="CP63" i="9"/>
  <c r="CS63" i="9" s="1"/>
  <c r="CP62" i="9"/>
  <c r="CS62" i="9" s="1"/>
  <c r="BQ62" i="9"/>
  <c r="CR62" i="9" s="1"/>
  <c r="AP62" i="9"/>
  <c r="CQ62" i="9" s="1"/>
  <c r="J62" i="9"/>
  <c r="J63" i="9" s="1"/>
  <c r="BQ61" i="9"/>
  <c r="CR61" i="9" s="1"/>
  <c r="AP61" i="9"/>
  <c r="CQ61" i="9" s="1"/>
  <c r="CP61" i="9"/>
  <c r="CS61" i="9" s="1"/>
  <c r="AP60" i="9"/>
  <c r="CQ60" i="9" s="1"/>
  <c r="BQ60" i="9"/>
  <c r="CR60" i="9" s="1"/>
  <c r="CL60" i="9"/>
  <c r="CO60" i="9" s="1"/>
  <c r="CP60" i="9" s="1"/>
  <c r="CS60" i="9" s="1"/>
  <c r="BQ59" i="9"/>
  <c r="CR59" i="9" s="1"/>
  <c r="AP59" i="9"/>
  <c r="CQ59" i="9" s="1"/>
  <c r="CP59" i="9"/>
  <c r="CS59" i="9" s="1"/>
  <c r="CP58" i="9"/>
  <c r="CS58" i="9" s="1"/>
  <c r="J58" i="9"/>
  <c r="J59" i="9" s="1"/>
  <c r="J60" i="9" s="1"/>
  <c r="J61" i="9" s="1"/>
  <c r="BQ58" i="9"/>
  <c r="CR58" i="9" s="1"/>
  <c r="BQ56" i="9"/>
  <c r="CR56" i="9" s="1"/>
  <c r="AP56" i="9"/>
  <c r="CQ56" i="9" s="1"/>
  <c r="AP57" i="9"/>
  <c r="CQ57" i="9" s="1"/>
  <c r="BQ57" i="9"/>
  <c r="CR57" i="9" s="1"/>
  <c r="CP57" i="9"/>
  <c r="CS57" i="9" s="1"/>
  <c r="CL56" i="9"/>
  <c r="CO56" i="9" s="1"/>
  <c r="CP56" i="9" s="1"/>
  <c r="CS56" i="9" s="1"/>
  <c r="CK55" i="9"/>
  <c r="CG55" i="9"/>
  <c r="CC55" i="9"/>
  <c r="BY55" i="9"/>
  <c r="BU55" i="9"/>
  <c r="BP55" i="9"/>
  <c r="BO55" i="9"/>
  <c r="BK55" i="9"/>
  <c r="BG55" i="9"/>
  <c r="BA55" i="9"/>
  <c r="BC55" i="9" s="1"/>
  <c r="AX55" i="9"/>
  <c r="AT55" i="9"/>
  <c r="AO55" i="9"/>
  <c r="AC55" i="9"/>
  <c r="AF55" i="9" s="1"/>
  <c r="X55" i="9"/>
  <c r="T55" i="9"/>
  <c r="I55" i="9"/>
  <c r="CL55" i="9" s="1"/>
  <c r="CO55" i="9" s="1"/>
  <c r="CK54" i="9"/>
  <c r="CG54" i="9"/>
  <c r="CC54" i="9"/>
  <c r="BY54" i="9"/>
  <c r="BU54" i="9"/>
  <c r="BP54" i="9"/>
  <c r="BO54" i="9"/>
  <c r="BK54" i="9"/>
  <c r="BG54" i="9"/>
  <c r="BA54" i="9"/>
  <c r="BC54" i="9" s="1"/>
  <c r="AY54" i="9"/>
  <c r="AX54" i="9"/>
  <c r="AT54" i="9"/>
  <c r="AO54" i="9"/>
  <c r="AK54" i="9"/>
  <c r="AJ54" i="9"/>
  <c r="AF54" i="9"/>
  <c r="AB54" i="9"/>
  <c r="X54" i="9"/>
  <c r="T54" i="9"/>
  <c r="I54" i="9"/>
  <c r="CL54" i="9" s="1"/>
  <c r="CO54" i="9" s="1"/>
  <c r="CK53" i="9"/>
  <c r="CG53" i="9"/>
  <c r="CC53" i="9"/>
  <c r="BY53" i="9"/>
  <c r="BU53" i="9"/>
  <c r="BP53" i="9"/>
  <c r="BO53" i="9"/>
  <c r="BK53" i="9"/>
  <c r="BG53" i="9"/>
  <c r="BA53" i="9"/>
  <c r="BC53" i="9" s="1"/>
  <c r="AY53" i="9"/>
  <c r="AX53" i="9"/>
  <c r="AT53" i="9"/>
  <c r="AO53" i="9"/>
  <c r="AK53" i="9"/>
  <c r="AJ53" i="9"/>
  <c r="AF53" i="9"/>
  <c r="AB53" i="9"/>
  <c r="X53" i="9"/>
  <c r="T53" i="9"/>
  <c r="I53" i="9"/>
  <c r="M53" i="9" s="1"/>
  <c r="CL53" i="9" l="1"/>
  <c r="CO53" i="9" s="1"/>
  <c r="N62" i="9"/>
  <c r="N58" i="9"/>
  <c r="CT63" i="9"/>
  <c r="CT62" i="9"/>
  <c r="CT61" i="9"/>
  <c r="CT60" i="9"/>
  <c r="CT59" i="9"/>
  <c r="CT58" i="9"/>
  <c r="AP53" i="9"/>
  <c r="CQ53" i="9" s="1"/>
  <c r="CT56" i="9"/>
  <c r="CT57" i="9"/>
  <c r="BQ55" i="9"/>
  <c r="CR55" i="9" s="1"/>
  <c r="AP55" i="9"/>
  <c r="CQ55" i="9" s="1"/>
  <c r="CP55" i="9"/>
  <c r="CS55" i="9" s="1"/>
  <c r="BQ54" i="9"/>
  <c r="CR54" i="9" s="1"/>
  <c r="AP54" i="9"/>
  <c r="CQ54" i="9" s="1"/>
  <c r="CP54" i="9"/>
  <c r="CS54" i="9" s="1"/>
  <c r="BQ53" i="9"/>
  <c r="CR53" i="9" s="1"/>
  <c r="J53" i="9"/>
  <c r="J54" i="9" s="1"/>
  <c r="J55" i="9" s="1"/>
  <c r="J56" i="9" s="1"/>
  <c r="J57" i="9" s="1"/>
  <c r="CP53" i="9"/>
  <c r="CS53" i="9" s="1"/>
  <c r="CK52" i="9"/>
  <c r="CG52" i="9"/>
  <c r="CC52" i="9"/>
  <c r="BY52" i="9"/>
  <c r="BU52" i="9"/>
  <c r="BP52" i="9"/>
  <c r="BO52" i="9"/>
  <c r="BK52" i="9"/>
  <c r="BG52" i="9"/>
  <c r="BA52" i="9"/>
  <c r="BC52" i="9" s="1"/>
  <c r="AY52" i="9"/>
  <c r="AX52" i="9"/>
  <c r="AT52" i="9"/>
  <c r="AO52" i="9"/>
  <c r="AK52" i="9"/>
  <c r="AJ52" i="9"/>
  <c r="AF52" i="9"/>
  <c r="AB52" i="9"/>
  <c r="X52" i="9"/>
  <c r="T52" i="9"/>
  <c r="I52" i="9"/>
  <c r="CL52" i="9" s="1"/>
  <c r="CO52" i="9" s="1"/>
  <c r="CK51" i="9"/>
  <c r="CG51" i="9"/>
  <c r="CC51" i="9"/>
  <c r="BY51" i="9"/>
  <c r="BU51" i="9"/>
  <c r="BP51" i="9"/>
  <c r="BO51" i="9"/>
  <c r="BK51" i="9"/>
  <c r="BG51" i="9"/>
  <c r="BA51" i="9"/>
  <c r="BC51" i="9" s="1"/>
  <c r="AY51" i="9"/>
  <c r="AX51" i="9"/>
  <c r="AT51" i="9"/>
  <c r="AO51" i="9"/>
  <c r="AK51" i="9"/>
  <c r="AJ51" i="9"/>
  <c r="AF51" i="9"/>
  <c r="AB51" i="9"/>
  <c r="X51" i="9"/>
  <c r="T51" i="9"/>
  <c r="I51" i="9"/>
  <c r="CL51" i="9" s="1"/>
  <c r="CO51" i="9" s="1"/>
  <c r="CK50" i="9"/>
  <c r="CG50" i="9"/>
  <c r="CC50" i="9"/>
  <c r="BY50" i="9"/>
  <c r="BU50" i="9"/>
  <c r="BP50" i="9"/>
  <c r="BO50" i="9"/>
  <c r="BK50" i="9"/>
  <c r="BG50" i="9"/>
  <c r="BA50" i="9"/>
  <c r="BC50" i="9" s="1"/>
  <c r="AY50" i="9"/>
  <c r="AX50" i="9"/>
  <c r="AT50" i="9"/>
  <c r="AO50" i="9"/>
  <c r="AK50" i="9"/>
  <c r="AJ50" i="9"/>
  <c r="AF50" i="9"/>
  <c r="AB50" i="9"/>
  <c r="X50" i="9"/>
  <c r="T50" i="9"/>
  <c r="I50" i="9"/>
  <c r="CK49" i="9"/>
  <c r="CG49" i="9"/>
  <c r="CC49" i="9"/>
  <c r="BY49" i="9"/>
  <c r="BU49" i="9"/>
  <c r="BP49" i="9"/>
  <c r="BO49" i="9"/>
  <c r="BK49" i="9"/>
  <c r="BG49" i="9"/>
  <c r="BA49" i="9"/>
  <c r="BC49" i="9" s="1"/>
  <c r="AY49" i="9"/>
  <c r="AX49" i="9"/>
  <c r="AT49" i="9"/>
  <c r="AO49" i="9"/>
  <c r="AK49" i="9"/>
  <c r="AJ49" i="9"/>
  <c r="AF49" i="9"/>
  <c r="AB49" i="9"/>
  <c r="X49" i="9"/>
  <c r="T49" i="9"/>
  <c r="I49" i="9"/>
  <c r="CL49" i="9" s="1"/>
  <c r="CO49" i="9" s="1"/>
  <c r="CK48" i="9"/>
  <c r="CG48" i="9"/>
  <c r="CC48" i="9"/>
  <c r="BY48" i="9"/>
  <c r="BU48" i="9"/>
  <c r="BP48" i="9"/>
  <c r="BO48" i="9"/>
  <c r="BK48" i="9"/>
  <c r="BG48" i="9"/>
  <c r="BA48" i="9"/>
  <c r="BC48" i="9" s="1"/>
  <c r="AY48" i="9"/>
  <c r="AX48" i="9"/>
  <c r="AT48" i="9"/>
  <c r="AO48" i="9"/>
  <c r="AK48" i="9"/>
  <c r="AJ48" i="9"/>
  <c r="AF48" i="9"/>
  <c r="AB48" i="9"/>
  <c r="X48" i="9"/>
  <c r="T48" i="9"/>
  <c r="I48" i="9"/>
  <c r="CL48" i="9" s="1"/>
  <c r="CO48" i="9" s="1"/>
  <c r="CW47" i="9"/>
  <c r="CK47" i="9"/>
  <c r="CG47" i="9"/>
  <c r="CC47" i="9"/>
  <c r="BY47" i="9"/>
  <c r="BU47" i="9"/>
  <c r="BP47" i="9"/>
  <c r="BO47" i="9"/>
  <c r="BK47" i="9"/>
  <c r="BG47" i="9"/>
  <c r="BA47" i="9"/>
  <c r="BC47" i="9" s="1"/>
  <c r="AX47" i="9"/>
  <c r="AT47" i="9"/>
  <c r="AO47" i="9"/>
  <c r="X47" i="9"/>
  <c r="T47" i="9"/>
  <c r="I47" i="9"/>
  <c r="CL47" i="9" s="1"/>
  <c r="CO47" i="9" s="1"/>
  <c r="F44" i="9"/>
  <c r="CK46" i="9"/>
  <c r="CG46" i="9"/>
  <c r="CC46" i="9"/>
  <c r="BY46" i="9"/>
  <c r="BU46" i="9"/>
  <c r="BP46" i="9"/>
  <c r="BO46" i="9"/>
  <c r="BK46" i="9"/>
  <c r="BG46" i="9"/>
  <c r="BA46" i="9"/>
  <c r="BC46" i="9" s="1"/>
  <c r="AY46" i="9"/>
  <c r="AX46" i="9"/>
  <c r="AT46" i="9"/>
  <c r="AO46" i="9"/>
  <c r="AK46" i="9"/>
  <c r="AJ46" i="9"/>
  <c r="AF46" i="9"/>
  <c r="AB46" i="9"/>
  <c r="X46" i="9"/>
  <c r="T46" i="9"/>
  <c r="I46" i="9"/>
  <c r="CL46" i="9" s="1"/>
  <c r="CO46" i="9" s="1"/>
  <c r="AB45" i="9"/>
  <c r="CK45" i="9"/>
  <c r="CG45" i="9"/>
  <c r="CC45" i="9"/>
  <c r="BY45" i="9"/>
  <c r="BU45" i="9"/>
  <c r="BP45" i="9"/>
  <c r="BO45" i="9"/>
  <c r="BK45" i="9"/>
  <c r="BG45" i="9"/>
  <c r="BA45" i="9"/>
  <c r="BC45" i="9" s="1"/>
  <c r="AY45" i="9"/>
  <c r="AX45" i="9"/>
  <c r="AT45" i="9"/>
  <c r="AO45" i="9"/>
  <c r="AK45" i="9"/>
  <c r="AJ45" i="9"/>
  <c r="AF45" i="9"/>
  <c r="X45" i="9"/>
  <c r="T45" i="9"/>
  <c r="I45" i="9"/>
  <c r="CL45" i="9" s="1"/>
  <c r="CO45" i="9" s="1"/>
  <c r="CK43" i="9"/>
  <c r="CG43" i="9"/>
  <c r="CC43" i="9"/>
  <c r="BY43" i="9"/>
  <c r="BU43" i="9"/>
  <c r="BP43" i="9"/>
  <c r="BO43" i="9"/>
  <c r="BK43" i="9"/>
  <c r="BG43" i="9"/>
  <c r="BA43" i="9"/>
  <c r="BC43" i="9" s="1"/>
  <c r="AY43" i="9"/>
  <c r="AX43" i="9"/>
  <c r="AT43" i="9"/>
  <c r="AO43" i="9"/>
  <c r="AK43" i="9"/>
  <c r="AJ43" i="9"/>
  <c r="AF43" i="9"/>
  <c r="AB43" i="9"/>
  <c r="X43" i="9"/>
  <c r="T43" i="9"/>
  <c r="I43" i="9"/>
  <c r="CL43" i="9" s="1"/>
  <c r="CO43" i="9" s="1"/>
  <c r="CK42" i="9"/>
  <c r="CG42" i="9"/>
  <c r="CC42" i="9"/>
  <c r="BY42" i="9"/>
  <c r="BU42" i="9"/>
  <c r="BP42" i="9"/>
  <c r="BO42" i="9"/>
  <c r="BK42" i="9"/>
  <c r="BG42" i="9"/>
  <c r="BA42" i="9"/>
  <c r="BC42" i="9" s="1"/>
  <c r="AY42" i="9"/>
  <c r="AX42" i="9"/>
  <c r="AT42" i="9"/>
  <c r="AO42" i="9"/>
  <c r="AK42" i="9"/>
  <c r="AJ42" i="9"/>
  <c r="AF42" i="9"/>
  <c r="AB42" i="9"/>
  <c r="X42" i="9"/>
  <c r="T42" i="9"/>
  <c r="I42" i="9"/>
  <c r="CL42" i="9" s="1"/>
  <c r="CO42" i="9" s="1"/>
  <c r="CK41" i="9"/>
  <c r="CG41" i="9"/>
  <c r="CC41" i="9"/>
  <c r="BY41" i="9"/>
  <c r="BU41" i="9"/>
  <c r="BP41" i="9"/>
  <c r="BO41" i="9"/>
  <c r="BK41" i="9"/>
  <c r="BG41" i="9"/>
  <c r="BA41" i="9"/>
  <c r="BC41" i="9" s="1"/>
  <c r="AY41" i="9"/>
  <c r="AX41" i="9"/>
  <c r="AT41" i="9"/>
  <c r="AO41" i="9"/>
  <c r="AK41" i="9"/>
  <c r="AJ41" i="9"/>
  <c r="AF41" i="9"/>
  <c r="AB41" i="9"/>
  <c r="X41" i="9"/>
  <c r="T41" i="9"/>
  <c r="I41" i="9"/>
  <c r="CL41" i="9" s="1"/>
  <c r="CO41" i="9" s="1"/>
  <c r="CK40" i="9"/>
  <c r="CG40" i="9"/>
  <c r="CC40" i="9"/>
  <c r="BY40" i="9"/>
  <c r="BU40" i="9"/>
  <c r="BP40" i="9"/>
  <c r="BO40" i="9"/>
  <c r="BK40" i="9"/>
  <c r="BG40" i="9"/>
  <c r="BA40" i="9"/>
  <c r="BC40" i="9" s="1"/>
  <c r="AY40" i="9"/>
  <c r="AX40" i="9"/>
  <c r="AT40" i="9"/>
  <c r="AO40" i="9"/>
  <c r="AK40" i="9"/>
  <c r="AJ40" i="9"/>
  <c r="AF40" i="9"/>
  <c r="AB40" i="9"/>
  <c r="X40" i="9"/>
  <c r="T40" i="9"/>
  <c r="I40" i="9"/>
  <c r="J40" i="9" s="1"/>
  <c r="J41" i="9" l="1"/>
  <c r="J42" i="9" s="1"/>
  <c r="J43" i="9" s="1"/>
  <c r="M45" i="9"/>
  <c r="CL50" i="9"/>
  <c r="CO50" i="9" s="1"/>
  <c r="CP50" i="9" s="1"/>
  <c r="CS50" i="9" s="1"/>
  <c r="M50" i="9"/>
  <c r="M40" i="9"/>
  <c r="N53" i="9"/>
  <c r="AP52" i="9"/>
  <c r="CQ52" i="9" s="1"/>
  <c r="AP40" i="9"/>
  <c r="CQ40" i="9" s="1"/>
  <c r="CT55" i="9"/>
  <c r="CT54" i="9"/>
  <c r="CT53" i="9"/>
  <c r="BQ50" i="9"/>
  <c r="CR50" i="9" s="1"/>
  <c r="BQ51" i="9"/>
  <c r="CR51" i="9" s="1"/>
  <c r="BQ52" i="9"/>
  <c r="CR52" i="9" s="1"/>
  <c r="AP51" i="9"/>
  <c r="CQ51" i="9" s="1"/>
  <c r="AP50" i="9"/>
  <c r="CQ50" i="9" s="1"/>
  <c r="J50" i="9"/>
  <c r="J51" i="9" s="1"/>
  <c r="J52" i="9" s="1"/>
  <c r="CP52" i="9"/>
  <c r="CS52" i="9" s="1"/>
  <c r="CP51" i="9"/>
  <c r="CS51" i="9" s="1"/>
  <c r="BQ49" i="9"/>
  <c r="CR49" i="9" s="1"/>
  <c r="AP49" i="9"/>
  <c r="CQ49" i="9" s="1"/>
  <c r="CP49" i="9"/>
  <c r="CS49" i="9" s="1"/>
  <c r="BQ48" i="9"/>
  <c r="CR48" i="9" s="1"/>
  <c r="AP48" i="9"/>
  <c r="CQ48" i="9" s="1"/>
  <c r="CP48" i="9"/>
  <c r="CS48" i="9" s="1"/>
  <c r="BQ47" i="9"/>
  <c r="CR47" i="9" s="1"/>
  <c r="AC47" i="9"/>
  <c r="AF47" i="9" s="1"/>
  <c r="AP47" i="9" s="1"/>
  <c r="CQ47" i="9" s="1"/>
  <c r="CP47" i="9"/>
  <c r="CS47" i="9" s="1"/>
  <c r="BQ46" i="9"/>
  <c r="CR46" i="9" s="1"/>
  <c r="AP46" i="9"/>
  <c r="CQ46" i="9" s="1"/>
  <c r="CP46" i="9"/>
  <c r="CS46" i="9" s="1"/>
  <c r="BQ45" i="9"/>
  <c r="CR45" i="9" s="1"/>
  <c r="AP45" i="9"/>
  <c r="CQ45" i="9" s="1"/>
  <c r="J45" i="9"/>
  <c r="J46" i="9" s="1"/>
  <c r="J47" i="9" s="1"/>
  <c r="J48" i="9" s="1"/>
  <c r="J49" i="9" s="1"/>
  <c r="CP45" i="9"/>
  <c r="CS45" i="9" s="1"/>
  <c r="BQ43" i="9"/>
  <c r="CR43" i="9" s="1"/>
  <c r="AP43" i="9"/>
  <c r="CQ43" i="9" s="1"/>
  <c r="CP43" i="9"/>
  <c r="CS43" i="9" s="1"/>
  <c r="BQ42" i="9"/>
  <c r="CR42" i="9" s="1"/>
  <c r="AP42" i="9"/>
  <c r="CQ42" i="9" s="1"/>
  <c r="CP42" i="9"/>
  <c r="CS42" i="9" s="1"/>
  <c r="BQ41" i="9"/>
  <c r="CR41" i="9" s="1"/>
  <c r="AP41" i="9"/>
  <c r="CQ41" i="9" s="1"/>
  <c r="CP41" i="9"/>
  <c r="CS41" i="9" s="1"/>
  <c r="BQ40" i="9"/>
  <c r="CR40" i="9" s="1"/>
  <c r="CL40" i="9"/>
  <c r="CO40" i="9" s="1"/>
  <c r="CP40" i="9" s="1"/>
  <c r="CS40" i="9" s="1"/>
  <c r="CK39" i="9"/>
  <c r="CG39" i="9"/>
  <c r="CC39" i="9"/>
  <c r="BY39" i="9"/>
  <c r="BU39" i="9"/>
  <c r="BP39" i="9"/>
  <c r="BO39" i="9"/>
  <c r="BK39" i="9"/>
  <c r="BG39" i="9"/>
  <c r="BA39" i="9"/>
  <c r="BC39" i="9" s="1"/>
  <c r="AY39" i="9"/>
  <c r="AX39" i="9"/>
  <c r="AT39" i="9"/>
  <c r="AO39" i="9"/>
  <c r="AK39" i="9"/>
  <c r="AJ39" i="9"/>
  <c r="AF39" i="9"/>
  <c r="AB39" i="9"/>
  <c r="X39" i="9"/>
  <c r="T39" i="9"/>
  <c r="I39" i="9"/>
  <c r="CL39" i="9" s="1"/>
  <c r="CO39" i="9" s="1"/>
  <c r="CK38" i="9"/>
  <c r="CG38" i="9"/>
  <c r="CC38" i="9"/>
  <c r="BY38" i="9"/>
  <c r="BU38" i="9"/>
  <c r="BP38" i="9"/>
  <c r="BO38" i="9"/>
  <c r="BK38" i="9"/>
  <c r="BG38" i="9"/>
  <c r="BA38" i="9"/>
  <c r="BC38" i="9" s="1"/>
  <c r="AY38" i="9"/>
  <c r="AX38" i="9"/>
  <c r="AT38" i="9"/>
  <c r="AO38" i="9"/>
  <c r="AK38" i="9"/>
  <c r="AJ38" i="9"/>
  <c r="AF38" i="9"/>
  <c r="AB38" i="9"/>
  <c r="X38" i="9"/>
  <c r="T38" i="9"/>
  <c r="I38" i="9"/>
  <c r="CL38" i="9" s="1"/>
  <c r="CO38" i="9" s="1"/>
  <c r="CK37" i="9"/>
  <c r="CG37" i="9"/>
  <c r="CC37" i="9"/>
  <c r="BY37" i="9"/>
  <c r="BU37" i="9"/>
  <c r="BP37" i="9"/>
  <c r="BO37" i="9"/>
  <c r="BK37" i="9"/>
  <c r="BG37" i="9"/>
  <c r="BA37" i="9"/>
  <c r="BC37" i="9" s="1"/>
  <c r="AY37" i="9"/>
  <c r="AX37" i="9"/>
  <c r="AT37" i="9"/>
  <c r="AO37" i="9"/>
  <c r="AK37" i="9"/>
  <c r="AJ37" i="9"/>
  <c r="AF37" i="9"/>
  <c r="AB37" i="9"/>
  <c r="X37" i="9"/>
  <c r="T37" i="9"/>
  <c r="I37" i="9"/>
  <c r="CL37" i="9" s="1"/>
  <c r="CO37" i="9" s="1"/>
  <c r="CK36" i="9"/>
  <c r="CG36" i="9"/>
  <c r="CC36" i="9"/>
  <c r="BY36" i="9"/>
  <c r="BU36" i="9"/>
  <c r="BP36" i="9"/>
  <c r="BO36" i="9"/>
  <c r="BK36" i="9"/>
  <c r="BG36" i="9"/>
  <c r="BA36" i="9"/>
  <c r="BC36" i="9" s="1"/>
  <c r="AX36" i="9"/>
  <c r="AT36" i="9"/>
  <c r="AO36" i="9"/>
  <c r="X36" i="9"/>
  <c r="T36" i="9"/>
  <c r="I36" i="9"/>
  <c r="CL36" i="9" s="1"/>
  <c r="CO36" i="9" s="1"/>
  <c r="CK35" i="9"/>
  <c r="CG35" i="9"/>
  <c r="CC35" i="9"/>
  <c r="BY35" i="9"/>
  <c r="BU35" i="9"/>
  <c r="BP35" i="9"/>
  <c r="BO35" i="9"/>
  <c r="BK35" i="9"/>
  <c r="BG35" i="9"/>
  <c r="BA35" i="9"/>
  <c r="BC35" i="9" s="1"/>
  <c r="AY35" i="9"/>
  <c r="AX35" i="9"/>
  <c r="AT35" i="9"/>
  <c r="AO35" i="9"/>
  <c r="AK35" i="9"/>
  <c r="AJ35" i="9"/>
  <c r="AF35" i="9"/>
  <c r="AB35" i="9"/>
  <c r="X35" i="9"/>
  <c r="T35" i="9"/>
  <c r="I35" i="9"/>
  <c r="CL35" i="9" s="1"/>
  <c r="CO35" i="9" s="1"/>
  <c r="CK34" i="9"/>
  <c r="CG34" i="9"/>
  <c r="CC34" i="9"/>
  <c r="BY34" i="9"/>
  <c r="BU34" i="9"/>
  <c r="BP34" i="9"/>
  <c r="BO34" i="9"/>
  <c r="BK34" i="9"/>
  <c r="BG34" i="9"/>
  <c r="BA34" i="9"/>
  <c r="BC34" i="9" s="1"/>
  <c r="AY34" i="9"/>
  <c r="AX34" i="9"/>
  <c r="AT34" i="9"/>
  <c r="AO34" i="9"/>
  <c r="AK34" i="9"/>
  <c r="AJ34" i="9"/>
  <c r="AF34" i="9"/>
  <c r="AB34" i="9"/>
  <c r="X34" i="9"/>
  <c r="T34" i="9"/>
  <c r="I34" i="9"/>
  <c r="CL34" i="9" s="1"/>
  <c r="CO34" i="9" s="1"/>
  <c r="CK33" i="9"/>
  <c r="CG33" i="9"/>
  <c r="CC33" i="9"/>
  <c r="BY33" i="9"/>
  <c r="BU33" i="9"/>
  <c r="BP33" i="9"/>
  <c r="BO33" i="9"/>
  <c r="BK33" i="9"/>
  <c r="BG33" i="9"/>
  <c r="BA33" i="9"/>
  <c r="BC33" i="9" s="1"/>
  <c r="AY33" i="9"/>
  <c r="AX33" i="9"/>
  <c r="AT33" i="9"/>
  <c r="AO33" i="9"/>
  <c r="AK33" i="9"/>
  <c r="AJ33" i="9"/>
  <c r="AF33" i="9"/>
  <c r="AB33" i="9"/>
  <c r="X33" i="9"/>
  <c r="T33" i="9"/>
  <c r="I33" i="9"/>
  <c r="CL33" i="9" s="1"/>
  <c r="CO33" i="9" s="1"/>
  <c r="AC36" i="9" l="1"/>
  <c r="AF36" i="9" s="1"/>
  <c r="M35" i="9"/>
  <c r="N45" i="9"/>
  <c r="N50" i="9"/>
  <c r="CT52" i="9"/>
  <c r="CT51" i="9"/>
  <c r="CT50" i="9"/>
  <c r="CT49" i="9"/>
  <c r="CT48" i="9"/>
  <c r="CT47" i="9"/>
  <c r="BQ38" i="9"/>
  <c r="CR38" i="9" s="1"/>
  <c r="N40" i="9"/>
  <c r="CV66" i="9" s="1"/>
  <c r="CT46" i="9"/>
  <c r="CT45" i="9"/>
  <c r="CT43" i="9"/>
  <c r="CT42" i="9"/>
  <c r="CT41" i="9"/>
  <c r="CT40" i="9"/>
  <c r="BQ39" i="9"/>
  <c r="CR39" i="9" s="1"/>
  <c r="AP39" i="9"/>
  <c r="CQ39" i="9" s="1"/>
  <c r="J39" i="9"/>
  <c r="CP39" i="9"/>
  <c r="CS39" i="9" s="1"/>
  <c r="BQ37" i="9"/>
  <c r="CR37" i="9" s="1"/>
  <c r="AP38" i="9"/>
  <c r="CQ38" i="9" s="1"/>
  <c r="AP37" i="9"/>
  <c r="CQ37" i="9" s="1"/>
  <c r="CP38" i="9"/>
  <c r="CS38" i="9" s="1"/>
  <c r="CP37" i="9"/>
  <c r="CS37" i="9" s="1"/>
  <c r="BQ36" i="9"/>
  <c r="CR36" i="9" s="1"/>
  <c r="AP36" i="9"/>
  <c r="CQ36" i="9" s="1"/>
  <c r="CP36" i="9"/>
  <c r="CS36" i="9" s="1"/>
  <c r="J36" i="9"/>
  <c r="J37" i="9" s="1"/>
  <c r="J38" i="9" s="1"/>
  <c r="BQ35" i="9"/>
  <c r="CR35" i="9" s="1"/>
  <c r="AP35" i="9"/>
  <c r="CQ35" i="9" s="1"/>
  <c r="J35" i="9"/>
  <c r="CP35" i="9"/>
  <c r="CS35" i="9" s="1"/>
  <c r="BQ34" i="9"/>
  <c r="CR34" i="9" s="1"/>
  <c r="AP34" i="9"/>
  <c r="CQ34" i="9" s="1"/>
  <c r="CP34" i="9"/>
  <c r="CS34" i="9" s="1"/>
  <c r="CP33" i="9"/>
  <c r="CS33" i="9" s="1"/>
  <c r="BQ33" i="9"/>
  <c r="CR33" i="9" s="1"/>
  <c r="AP33" i="9"/>
  <c r="CQ33" i="9" s="1"/>
  <c r="CK32" i="9"/>
  <c r="CG32" i="9"/>
  <c r="CC32" i="9"/>
  <c r="BY32" i="9"/>
  <c r="BU32" i="9"/>
  <c r="BP32" i="9"/>
  <c r="BO32" i="9"/>
  <c r="BK32" i="9"/>
  <c r="BG32" i="9"/>
  <c r="BA32" i="9"/>
  <c r="BC32" i="9" s="1"/>
  <c r="AY32" i="9"/>
  <c r="AX32" i="9"/>
  <c r="AT32" i="9"/>
  <c r="AO32" i="9"/>
  <c r="AK32" i="9"/>
  <c r="AJ32" i="9"/>
  <c r="AF32" i="9"/>
  <c r="AB32" i="9"/>
  <c r="X32" i="9"/>
  <c r="T32" i="9"/>
  <c r="I32" i="9"/>
  <c r="CL32" i="9" s="1"/>
  <c r="CO32" i="9" s="1"/>
  <c r="CK31" i="9"/>
  <c r="CG31" i="9"/>
  <c r="CC31" i="9"/>
  <c r="BY31" i="9"/>
  <c r="BU31" i="9"/>
  <c r="BP31" i="9"/>
  <c r="BO31" i="9"/>
  <c r="BK31" i="9"/>
  <c r="BG31" i="9"/>
  <c r="BA31" i="9"/>
  <c r="BC31" i="9" s="1"/>
  <c r="AY31" i="9"/>
  <c r="AX31" i="9"/>
  <c r="AT31" i="9"/>
  <c r="AO31" i="9"/>
  <c r="AK31" i="9"/>
  <c r="AJ31" i="9"/>
  <c r="AF31" i="9"/>
  <c r="AB31" i="9"/>
  <c r="X31" i="9"/>
  <c r="T31" i="9"/>
  <c r="I31" i="9"/>
  <c r="CL31" i="9" s="1"/>
  <c r="CO31" i="9" s="1"/>
  <c r="CK30" i="9"/>
  <c r="CG30" i="9"/>
  <c r="CC30" i="9"/>
  <c r="BY30" i="9"/>
  <c r="BU30" i="9"/>
  <c r="BP30" i="9"/>
  <c r="BO30" i="9"/>
  <c r="BK30" i="9"/>
  <c r="BG30" i="9"/>
  <c r="BA30" i="9"/>
  <c r="BC30" i="9" s="1"/>
  <c r="AY30" i="9"/>
  <c r="AX30" i="9"/>
  <c r="AT30" i="9"/>
  <c r="AO30" i="9"/>
  <c r="AK30" i="9"/>
  <c r="AJ30" i="9"/>
  <c r="AF30" i="9"/>
  <c r="AB30" i="9"/>
  <c r="X30" i="9"/>
  <c r="T30" i="9"/>
  <c r="I30" i="9"/>
  <c r="CK29" i="9"/>
  <c r="CG29" i="9"/>
  <c r="CC29" i="9"/>
  <c r="BY29" i="9"/>
  <c r="BU29" i="9"/>
  <c r="BP29" i="9"/>
  <c r="BO29" i="9"/>
  <c r="BK29" i="9"/>
  <c r="BG29" i="9"/>
  <c r="BA29" i="9"/>
  <c r="BC29" i="9" s="1"/>
  <c r="AY29" i="9"/>
  <c r="AX29" i="9"/>
  <c r="AT29" i="9"/>
  <c r="AO29" i="9"/>
  <c r="AK29" i="9"/>
  <c r="AJ29" i="9"/>
  <c r="AF29" i="9"/>
  <c r="AB29" i="9"/>
  <c r="X29" i="9"/>
  <c r="T29" i="9"/>
  <c r="I29" i="9"/>
  <c r="CL29" i="9" s="1"/>
  <c r="CO29" i="9" s="1"/>
  <c r="CK28" i="9"/>
  <c r="CG28" i="9"/>
  <c r="CC28" i="9"/>
  <c r="BY28" i="9"/>
  <c r="BU28" i="9"/>
  <c r="BP28" i="9"/>
  <c r="BO28" i="9"/>
  <c r="BK28" i="9"/>
  <c r="BG28" i="9"/>
  <c r="BA28" i="9"/>
  <c r="BC28" i="9" s="1"/>
  <c r="AY28" i="9"/>
  <c r="AX28" i="9"/>
  <c r="AT28" i="9"/>
  <c r="AO28" i="9"/>
  <c r="AK28" i="9"/>
  <c r="AJ28" i="9"/>
  <c r="AF28" i="9"/>
  <c r="AB28" i="9"/>
  <c r="X28" i="9"/>
  <c r="T28" i="9"/>
  <c r="I28" i="9"/>
  <c r="CL28" i="9" s="1"/>
  <c r="CO28" i="9" s="1"/>
  <c r="CK27" i="9"/>
  <c r="CG27" i="9"/>
  <c r="CC27" i="9"/>
  <c r="BY27" i="9"/>
  <c r="BU27" i="9"/>
  <c r="BP27" i="9"/>
  <c r="BO27" i="9"/>
  <c r="BK27" i="9"/>
  <c r="BG27" i="9"/>
  <c r="BA27" i="9"/>
  <c r="BC27" i="9" s="1"/>
  <c r="AY27" i="9"/>
  <c r="AX27" i="9"/>
  <c r="AT27" i="9"/>
  <c r="AO27" i="9"/>
  <c r="AK27" i="9"/>
  <c r="AJ27" i="9"/>
  <c r="AF27" i="9"/>
  <c r="AB27" i="9"/>
  <c r="X27" i="9"/>
  <c r="T27" i="9"/>
  <c r="I27" i="9"/>
  <c r="CL27" i="9" s="1"/>
  <c r="CO27" i="9" s="1"/>
  <c r="CK26" i="9"/>
  <c r="CG26" i="9"/>
  <c r="CC26" i="9"/>
  <c r="BY26" i="9"/>
  <c r="BU26" i="9"/>
  <c r="BP26" i="9"/>
  <c r="BO26" i="9"/>
  <c r="BK26" i="9"/>
  <c r="BG26" i="9"/>
  <c r="BA26" i="9"/>
  <c r="BC26" i="9" s="1"/>
  <c r="AY26" i="9"/>
  <c r="AX26" i="9"/>
  <c r="AT26" i="9"/>
  <c r="AO26" i="9"/>
  <c r="AK26" i="9"/>
  <c r="AJ26" i="9"/>
  <c r="AF26" i="9"/>
  <c r="AB26" i="9"/>
  <c r="X26" i="9"/>
  <c r="T26" i="9"/>
  <c r="I26" i="9"/>
  <c r="CL26" i="9" s="1"/>
  <c r="CO26" i="9" s="1"/>
  <c r="CK25" i="9"/>
  <c r="CG25" i="9"/>
  <c r="CC25" i="9"/>
  <c r="BY25" i="9"/>
  <c r="BU25" i="9"/>
  <c r="BP25" i="9"/>
  <c r="BO25" i="9"/>
  <c r="BK25" i="9"/>
  <c r="BG25" i="9"/>
  <c r="BA25" i="9"/>
  <c r="BC25" i="9" s="1"/>
  <c r="AY25" i="9"/>
  <c r="AX25" i="9"/>
  <c r="AT25" i="9"/>
  <c r="AO25" i="9"/>
  <c r="AK25" i="9"/>
  <c r="AJ25" i="9"/>
  <c r="AF25" i="9"/>
  <c r="AB25" i="9"/>
  <c r="X25" i="9"/>
  <c r="T25" i="9"/>
  <c r="I25" i="9"/>
  <c r="CL25" i="9" s="1"/>
  <c r="CO25" i="9" s="1"/>
  <c r="CK24" i="9"/>
  <c r="CG24" i="9"/>
  <c r="CC24" i="9"/>
  <c r="BY24" i="9"/>
  <c r="BU24" i="9"/>
  <c r="BP24" i="9"/>
  <c r="BO24" i="9"/>
  <c r="BK24" i="9"/>
  <c r="BG24" i="9"/>
  <c r="BA24" i="9"/>
  <c r="BC24" i="9" s="1"/>
  <c r="AY24" i="9"/>
  <c r="AX24" i="9"/>
  <c r="AT24" i="9"/>
  <c r="AO24" i="9"/>
  <c r="AK24" i="9"/>
  <c r="AJ24" i="9"/>
  <c r="AF24" i="9"/>
  <c r="AB24" i="9"/>
  <c r="X24" i="9"/>
  <c r="T24" i="9"/>
  <c r="I24" i="9"/>
  <c r="CL24" i="9" s="1"/>
  <c r="CO24" i="9" s="1"/>
  <c r="CK23" i="9"/>
  <c r="CG23" i="9"/>
  <c r="CC23" i="9"/>
  <c r="BY23" i="9"/>
  <c r="BU23" i="9"/>
  <c r="BP23" i="9"/>
  <c r="BO23" i="9"/>
  <c r="BK23" i="9"/>
  <c r="BG23" i="9"/>
  <c r="BA23" i="9"/>
  <c r="BC23" i="9" s="1"/>
  <c r="AY23" i="9"/>
  <c r="AX23" i="9"/>
  <c r="AT23" i="9"/>
  <c r="AO23" i="9"/>
  <c r="AK23" i="9"/>
  <c r="AJ23" i="9"/>
  <c r="AF23" i="9"/>
  <c r="AB23" i="9"/>
  <c r="X23" i="9"/>
  <c r="T23" i="9"/>
  <c r="I23" i="9"/>
  <c r="CL23" i="9" s="1"/>
  <c r="CO23" i="9" s="1"/>
  <c r="CK22" i="9"/>
  <c r="CG22" i="9"/>
  <c r="CC22" i="9"/>
  <c r="BY22" i="9"/>
  <c r="BU22" i="9"/>
  <c r="BP22" i="9"/>
  <c r="BO22" i="9"/>
  <c r="BK22" i="9"/>
  <c r="BG22" i="9"/>
  <c r="BA22" i="9"/>
  <c r="BC22" i="9" s="1"/>
  <c r="AY22" i="9"/>
  <c r="AX22" i="9"/>
  <c r="AT22" i="9"/>
  <c r="AO22" i="9"/>
  <c r="AK22" i="9"/>
  <c r="AJ22" i="9"/>
  <c r="AF22" i="9"/>
  <c r="AB22" i="9"/>
  <c r="X22" i="9"/>
  <c r="T22" i="9"/>
  <c r="I22" i="9"/>
  <c r="J22" i="9" s="1"/>
  <c r="N35" i="9" l="1"/>
  <c r="J23" i="9"/>
  <c r="J24" i="9" s="1"/>
  <c r="J25" i="9" s="1"/>
  <c r="J26" i="9" s="1"/>
  <c r="BQ27" i="9"/>
  <c r="CR27" i="9" s="1"/>
  <c r="BQ30" i="9"/>
  <c r="CR30" i="9" s="1"/>
  <c r="M27" i="9"/>
  <c r="M22" i="9"/>
  <c r="CL30" i="9"/>
  <c r="CO30" i="9" s="1"/>
  <c r="CP30" i="9" s="1"/>
  <c r="CS30" i="9" s="1"/>
  <c r="M30" i="9"/>
  <c r="CT39" i="9"/>
  <c r="CT38" i="9"/>
  <c r="CT37" i="9"/>
  <c r="CT36" i="9"/>
  <c r="CT35" i="9"/>
  <c r="CT34" i="9"/>
  <c r="CT33" i="9"/>
  <c r="BQ32" i="9"/>
  <c r="CR32" i="9" s="1"/>
  <c r="BQ31" i="9"/>
  <c r="CR31" i="9" s="1"/>
  <c r="AP31" i="9"/>
  <c r="CQ31" i="9" s="1"/>
  <c r="AP32" i="9"/>
  <c r="CQ32" i="9" s="1"/>
  <c r="CP32" i="9"/>
  <c r="CS32" i="9" s="1"/>
  <c r="CP31" i="9"/>
  <c r="CS31" i="9" s="1"/>
  <c r="AP30" i="9"/>
  <c r="CQ30" i="9" s="1"/>
  <c r="J30" i="9"/>
  <c r="J31" i="9" s="1"/>
  <c r="J32" i="9" s="1"/>
  <c r="J33" i="9" s="1"/>
  <c r="J34" i="9" s="1"/>
  <c r="BQ29" i="9"/>
  <c r="CR29" i="9" s="1"/>
  <c r="AP29" i="9"/>
  <c r="CQ29" i="9" s="1"/>
  <c r="CP29" i="9"/>
  <c r="CS29" i="9" s="1"/>
  <c r="BQ28" i="9"/>
  <c r="CR28" i="9" s="1"/>
  <c r="AP28" i="9"/>
  <c r="CQ28" i="9" s="1"/>
  <c r="CP28" i="9"/>
  <c r="CS28" i="9" s="1"/>
  <c r="AP27" i="9"/>
  <c r="CQ27" i="9" s="1"/>
  <c r="CP27" i="9"/>
  <c r="CS27" i="9" s="1"/>
  <c r="J27" i="9"/>
  <c r="J28" i="9" s="1"/>
  <c r="J29" i="9" s="1"/>
  <c r="CP26" i="9"/>
  <c r="CS26" i="9" s="1"/>
  <c r="BQ26" i="9"/>
  <c r="CR26" i="9" s="1"/>
  <c r="AP26" i="9"/>
  <c r="CQ26" i="9" s="1"/>
  <c r="BQ25" i="9"/>
  <c r="CR25" i="9" s="1"/>
  <c r="AP25" i="9"/>
  <c r="CQ25" i="9" s="1"/>
  <c r="CP25" i="9"/>
  <c r="CS25" i="9" s="1"/>
  <c r="BQ24" i="9"/>
  <c r="CR24" i="9" s="1"/>
  <c r="AP24" i="9"/>
  <c r="CQ24" i="9" s="1"/>
  <c r="CP24" i="9"/>
  <c r="CS24" i="9" s="1"/>
  <c r="BQ23" i="9"/>
  <c r="CR23" i="9" s="1"/>
  <c r="AP23" i="9"/>
  <c r="CQ23" i="9" s="1"/>
  <c r="CP23" i="9"/>
  <c r="CS23" i="9" s="1"/>
  <c r="BQ22" i="9"/>
  <c r="CR22" i="9" s="1"/>
  <c r="AP22" i="9"/>
  <c r="CQ22" i="9" s="1"/>
  <c r="CL22" i="9"/>
  <c r="CO22" i="9" s="1"/>
  <c r="CP22" i="9" s="1"/>
  <c r="CS22" i="9" s="1"/>
  <c r="CK21" i="9"/>
  <c r="CG21" i="9"/>
  <c r="CC21" i="9"/>
  <c r="BY21" i="9"/>
  <c r="BU21" i="9"/>
  <c r="BP21" i="9"/>
  <c r="BO21" i="9"/>
  <c r="BK21" i="9"/>
  <c r="BG21" i="9"/>
  <c r="BA21" i="9"/>
  <c r="BC21" i="9" s="1"/>
  <c r="AX21" i="9"/>
  <c r="AT21" i="9"/>
  <c r="AO21" i="9"/>
  <c r="X21" i="9"/>
  <c r="T21" i="9"/>
  <c r="I21" i="9"/>
  <c r="CL21" i="9" s="1"/>
  <c r="CO21" i="9" s="1"/>
  <c r="CK20" i="9"/>
  <c r="CG20" i="9"/>
  <c r="CC20" i="9"/>
  <c r="BY20" i="9"/>
  <c r="BU20" i="9"/>
  <c r="BP20" i="9"/>
  <c r="BO20" i="9"/>
  <c r="BK20" i="9"/>
  <c r="BG20" i="9"/>
  <c r="BA20" i="9"/>
  <c r="BC20" i="9" s="1"/>
  <c r="AY20" i="9"/>
  <c r="AX20" i="9"/>
  <c r="AT20" i="9"/>
  <c r="AO20" i="9"/>
  <c r="AK20" i="9"/>
  <c r="AJ20" i="9"/>
  <c r="AF20" i="9"/>
  <c r="AB20" i="9"/>
  <c r="X20" i="9"/>
  <c r="T20" i="9"/>
  <c r="I20" i="9"/>
  <c r="CL20" i="9" s="1"/>
  <c r="CO20" i="9" s="1"/>
  <c r="N22" i="9" l="1"/>
  <c r="N27" i="9"/>
  <c r="N30" i="9"/>
  <c r="CT31" i="9"/>
  <c r="CT32" i="9"/>
  <c r="CT30" i="9"/>
  <c r="CT29" i="9"/>
  <c r="CT28" i="9"/>
  <c r="CT27" i="9"/>
  <c r="CT26" i="9"/>
  <c r="CT25" i="9"/>
  <c r="CT24" i="9"/>
  <c r="CT23" i="9"/>
  <c r="CT22" i="9"/>
  <c r="BQ21" i="9"/>
  <c r="CR21" i="9" s="1"/>
  <c r="CP21" i="9"/>
  <c r="CS21" i="9" s="1"/>
  <c r="AC21" i="9"/>
  <c r="AF21" i="9" s="1"/>
  <c r="AP21" i="9" s="1"/>
  <c r="CQ21" i="9" s="1"/>
  <c r="BQ20" i="9"/>
  <c r="CR20" i="9" s="1"/>
  <c r="AP20" i="9"/>
  <c r="CQ20" i="9" s="1"/>
  <c r="CP20" i="9"/>
  <c r="CS20" i="9" s="1"/>
  <c r="BA19" i="9"/>
  <c r="BC19" i="9" s="1"/>
  <c r="AY19" i="9"/>
  <c r="CK19" i="9"/>
  <c r="CG19" i="9"/>
  <c r="CC19" i="9"/>
  <c r="BY19" i="9"/>
  <c r="BU19" i="9"/>
  <c r="BP19" i="9"/>
  <c r="BO19" i="9"/>
  <c r="BK19" i="9"/>
  <c r="BG19" i="9"/>
  <c r="AX19" i="9"/>
  <c r="AT19" i="9"/>
  <c r="AO19" i="9"/>
  <c r="X19" i="9"/>
  <c r="T19" i="9"/>
  <c r="I19" i="9"/>
  <c r="M19" i="9" s="1"/>
  <c r="I18" i="9"/>
  <c r="CL18" i="9" s="1"/>
  <c r="CO18" i="9" s="1"/>
  <c r="T18" i="9"/>
  <c r="X18" i="9"/>
  <c r="AB18" i="9"/>
  <c r="AF18" i="9"/>
  <c r="AJ18" i="9"/>
  <c r="AK18" i="9"/>
  <c r="AO18" i="9"/>
  <c r="AT18" i="9"/>
  <c r="AX18" i="9"/>
  <c r="AY18" i="9"/>
  <c r="BA18" i="9"/>
  <c r="BC18" i="9" s="1"/>
  <c r="BG18" i="9"/>
  <c r="BK18" i="9"/>
  <c r="BO18" i="9"/>
  <c r="BP18" i="9"/>
  <c r="BU18" i="9"/>
  <c r="BY18" i="9"/>
  <c r="CC18" i="9"/>
  <c r="CG18" i="9"/>
  <c r="CK18" i="9"/>
  <c r="CK17" i="9"/>
  <c r="CG17" i="9"/>
  <c r="CC17" i="9"/>
  <c r="BY17" i="9"/>
  <c r="BU17" i="9"/>
  <c r="BP17" i="9"/>
  <c r="BO17" i="9"/>
  <c r="BK17" i="9"/>
  <c r="BG17" i="9"/>
  <c r="BA17" i="9"/>
  <c r="BC17" i="9" s="1"/>
  <c r="AY17" i="9"/>
  <c r="AX17" i="9"/>
  <c r="AT17" i="9"/>
  <c r="AO17" i="9"/>
  <c r="AK17" i="9"/>
  <c r="AJ17" i="9"/>
  <c r="AF17" i="9"/>
  <c r="AB17" i="9"/>
  <c r="X17" i="9"/>
  <c r="T17" i="9"/>
  <c r="I17" i="9"/>
  <c r="CL17" i="9" s="1"/>
  <c r="CO17" i="9" s="1"/>
  <c r="CK16" i="9"/>
  <c r="CG16" i="9"/>
  <c r="CC16" i="9"/>
  <c r="BY16" i="9"/>
  <c r="BU16" i="9"/>
  <c r="BP16" i="9"/>
  <c r="BO16" i="9"/>
  <c r="BK16" i="9"/>
  <c r="BG16" i="9"/>
  <c r="BA16" i="9"/>
  <c r="BC16" i="9" s="1"/>
  <c r="AY16" i="9"/>
  <c r="AX16" i="9"/>
  <c r="AT16" i="9"/>
  <c r="AO16" i="9"/>
  <c r="AK16" i="9"/>
  <c r="AJ16" i="9"/>
  <c r="AF16" i="9"/>
  <c r="AB16" i="9"/>
  <c r="X16" i="9"/>
  <c r="T16" i="9"/>
  <c r="I16" i="9"/>
  <c r="CL16" i="9" s="1"/>
  <c r="CO16" i="9" s="1"/>
  <c r="AC19" i="9" l="1"/>
  <c r="AF19" i="9" s="1"/>
  <c r="AP19" i="9" s="1"/>
  <c r="CQ19" i="9" s="1"/>
  <c r="J19" i="9"/>
  <c r="J20" i="9" s="1"/>
  <c r="J21" i="9" s="1"/>
  <c r="AP18" i="9"/>
  <c r="CQ18" i="9" s="1"/>
  <c r="BQ18" i="9"/>
  <c r="CR18" i="9" s="1"/>
  <c r="CT21" i="9"/>
  <c r="CT20" i="9"/>
  <c r="BQ19" i="9"/>
  <c r="CR19" i="9" s="1"/>
  <c r="CL19" i="9"/>
  <c r="CO19" i="9" s="1"/>
  <c r="CP19" i="9" s="1"/>
  <c r="CS19" i="9" s="1"/>
  <c r="CP18" i="9"/>
  <c r="CS18" i="9" s="1"/>
  <c r="BQ17" i="9"/>
  <c r="CR17" i="9" s="1"/>
  <c r="AP17" i="9"/>
  <c r="CQ17" i="9" s="1"/>
  <c r="CP17" i="9"/>
  <c r="CS17" i="9" s="1"/>
  <c r="BQ16" i="9"/>
  <c r="CR16" i="9" s="1"/>
  <c r="AP16" i="9"/>
  <c r="CQ16" i="9" s="1"/>
  <c r="CP16" i="9"/>
  <c r="CS16" i="9" s="1"/>
  <c r="CK15" i="9"/>
  <c r="CG15" i="9"/>
  <c r="CC15" i="9"/>
  <c r="BY15" i="9"/>
  <c r="BU15" i="9"/>
  <c r="BP15" i="9"/>
  <c r="BO15" i="9"/>
  <c r="BK15" i="9"/>
  <c r="BG15" i="9"/>
  <c r="BA15" i="9"/>
  <c r="BC15" i="9" s="1"/>
  <c r="AY15" i="9"/>
  <c r="AX15" i="9"/>
  <c r="AT15" i="9"/>
  <c r="AO15" i="9"/>
  <c r="AK15" i="9"/>
  <c r="AJ15" i="9"/>
  <c r="AF15" i="9"/>
  <c r="AB15" i="9"/>
  <c r="X15" i="9"/>
  <c r="T15" i="9"/>
  <c r="I15" i="9"/>
  <c r="CL15" i="9" s="1"/>
  <c r="CO15" i="9" s="1"/>
  <c r="CK14" i="9"/>
  <c r="CG14" i="9"/>
  <c r="CC14" i="9"/>
  <c r="BY14" i="9"/>
  <c r="BU14" i="9"/>
  <c r="BP14" i="9"/>
  <c r="BO14" i="9"/>
  <c r="BK14" i="9"/>
  <c r="BG14" i="9"/>
  <c r="BA14" i="9"/>
  <c r="BC14" i="9" s="1"/>
  <c r="AY14" i="9"/>
  <c r="AX14" i="9"/>
  <c r="AT14" i="9"/>
  <c r="AO14" i="9"/>
  <c r="AK14" i="9"/>
  <c r="AJ14" i="9"/>
  <c r="AF14" i="9"/>
  <c r="AB14" i="9"/>
  <c r="X14" i="9"/>
  <c r="T14" i="9"/>
  <c r="I14" i="9"/>
  <c r="CL14" i="9" s="1"/>
  <c r="CO14" i="9" s="1"/>
  <c r="N19" i="9" l="1"/>
  <c r="CT18" i="9"/>
  <c r="CT19" i="9"/>
  <c r="CT17" i="9"/>
  <c r="CT16" i="9"/>
  <c r="BQ15" i="9"/>
  <c r="CR15" i="9" s="1"/>
  <c r="AP15" i="9"/>
  <c r="CQ15" i="9" s="1"/>
  <c r="CP15" i="9"/>
  <c r="CS15" i="9" s="1"/>
  <c r="BQ14" i="9"/>
  <c r="CR14" i="9" s="1"/>
  <c r="AP14" i="9"/>
  <c r="CQ14" i="9" s="1"/>
  <c r="CP14" i="9"/>
  <c r="CS14" i="9" s="1"/>
  <c r="CK13" i="9"/>
  <c r="CG13" i="9"/>
  <c r="CC13" i="9"/>
  <c r="BY13" i="9"/>
  <c r="BU13" i="9"/>
  <c r="BP13" i="9"/>
  <c r="BO13" i="9"/>
  <c r="BK13" i="9"/>
  <c r="BG13" i="9"/>
  <c r="BA13" i="9"/>
  <c r="BC13" i="9" s="1"/>
  <c r="AY13" i="9"/>
  <c r="AX13" i="9"/>
  <c r="AT13" i="9"/>
  <c r="AO13" i="9"/>
  <c r="AK13" i="9"/>
  <c r="AJ13" i="9"/>
  <c r="AF13" i="9"/>
  <c r="AB13" i="9"/>
  <c r="X13" i="9"/>
  <c r="T13" i="9"/>
  <c r="I13" i="9"/>
  <c r="CL13" i="9" s="1"/>
  <c r="CO13" i="9" s="1"/>
  <c r="CK12" i="9"/>
  <c r="CG12" i="9"/>
  <c r="CC12" i="9"/>
  <c r="BY12" i="9"/>
  <c r="BU12" i="9"/>
  <c r="BP12" i="9"/>
  <c r="BO12" i="9"/>
  <c r="BK12" i="9"/>
  <c r="BG12" i="9"/>
  <c r="BA12" i="9"/>
  <c r="BC12" i="9" s="1"/>
  <c r="AY12" i="9"/>
  <c r="AX12" i="9"/>
  <c r="AT12" i="9"/>
  <c r="AO12" i="9"/>
  <c r="AK12" i="9"/>
  <c r="AJ12" i="9"/>
  <c r="AF12" i="9"/>
  <c r="AB12" i="9"/>
  <c r="X12" i="9"/>
  <c r="T12" i="9"/>
  <c r="I12" i="9"/>
  <c r="F11" i="9"/>
  <c r="BQ13" i="9" l="1"/>
  <c r="CR13" i="9" s="1"/>
  <c r="CL12" i="9"/>
  <c r="CO12" i="9" s="1"/>
  <c r="CP12" i="9" s="1"/>
  <c r="CS12" i="9" s="1"/>
  <c r="J12" i="9"/>
  <c r="J13" i="9" s="1"/>
  <c r="J14" i="9" s="1"/>
  <c r="J15" i="9" s="1"/>
  <c r="J16" i="9" s="1"/>
  <c r="J17" i="9" s="1"/>
  <c r="J18" i="9" s="1"/>
  <c r="M12" i="9"/>
  <c r="AP12" i="9"/>
  <c r="CQ12" i="9" s="1"/>
  <c r="CT15" i="9"/>
  <c r="CT14" i="9"/>
  <c r="AP13" i="9"/>
  <c r="CQ13" i="9" s="1"/>
  <c r="CP13" i="9"/>
  <c r="CS13" i="9" s="1"/>
  <c r="BQ12" i="9"/>
  <c r="CR12" i="9" s="1"/>
  <c r="N12" i="9" l="1"/>
  <c r="CT13" i="9"/>
  <c r="CT12" i="9"/>
  <c r="DG7" i="9" l="1"/>
  <c r="DG6" i="9" l="1"/>
  <c r="CX8" i="9"/>
  <c r="CZ8" i="9" s="1"/>
  <c r="DB8" i="9" s="1"/>
  <c r="DD8" i="9" s="1"/>
  <c r="CZ7" i="9"/>
  <c r="DB7" i="9" s="1"/>
  <c r="DD7" i="9" s="1"/>
  <c r="CZ6" i="9"/>
  <c r="DB6" i="9" s="1"/>
  <c r="DD6" i="9" s="1"/>
  <c r="BK10" i="9"/>
  <c r="BA10" i="9"/>
  <c r="BC10" i="9" s="1"/>
  <c r="AX10" i="9"/>
  <c r="AT10" i="9"/>
  <c r="X10" i="9"/>
  <c r="T10" i="9"/>
  <c r="CK10" i="9"/>
  <c r="CG10" i="9"/>
  <c r="CC10" i="9"/>
  <c r="BY10" i="9"/>
  <c r="BU10" i="9"/>
  <c r="BP10" i="9"/>
  <c r="BO10" i="9"/>
  <c r="BG10" i="9"/>
  <c r="AO10" i="9"/>
  <c r="I10" i="9"/>
  <c r="BA9" i="9"/>
  <c r="AT9" i="9"/>
  <c r="AO9" i="9"/>
  <c r="J10" i="9" l="1"/>
  <c r="AC10" i="9"/>
  <c r="AF10" i="9" s="1"/>
  <c r="AP10" i="9"/>
  <c r="CQ10" i="9" s="1"/>
  <c r="BQ10" i="9"/>
  <c r="CR10" i="9" s="1"/>
  <c r="CL10" i="9"/>
  <c r="CO10" i="9" s="1"/>
  <c r="CP10" i="9" s="1"/>
  <c r="CS10" i="9" s="1"/>
  <c r="CT10" i="9" l="1"/>
  <c r="BK9" i="9" l="1"/>
  <c r="BC9" i="9"/>
  <c r="AF9" i="9"/>
  <c r="AB9" i="9"/>
  <c r="X9" i="9"/>
  <c r="T9" i="9"/>
  <c r="BO9" i="9" l="1"/>
  <c r="AJ9" i="9"/>
  <c r="AX9" i="9"/>
  <c r="BG9" i="9"/>
  <c r="CK9" i="9"/>
  <c r="CG9" i="9"/>
  <c r="CC9" i="9"/>
  <c r="BY9" i="9"/>
  <c r="BU9" i="9"/>
  <c r="BP9" i="9" l="1"/>
  <c r="AK9" i="9"/>
  <c r="AY9" i="9"/>
  <c r="BQ9" i="9" s="1"/>
  <c r="I9" i="9"/>
  <c r="J9" i="9" l="1"/>
  <c r="CL9" i="9"/>
  <c r="CO9" i="9" s="1"/>
  <c r="CP9" i="9" s="1"/>
  <c r="AP9" i="9"/>
  <c r="CS9" i="9" l="1"/>
  <c r="CR9" i="9"/>
  <c r="CQ9" i="9"/>
  <c r="CT9" i="9" l="1"/>
</calcChain>
</file>

<file path=xl/sharedStrings.xml><?xml version="1.0" encoding="utf-8"?>
<sst xmlns="http://schemas.openxmlformats.org/spreadsheetml/2006/main" count="425" uniqueCount="214">
  <si>
    <t>작업조</t>
    <phoneticPr fontId="1" type="noConversion"/>
  </si>
  <si>
    <t>구  분</t>
    <phoneticPr fontId="1" type="noConversion"/>
  </si>
  <si>
    <t>시점</t>
    <phoneticPr fontId="1" type="noConversion"/>
  </si>
  <si>
    <t>종점</t>
    <phoneticPr fontId="1" type="noConversion"/>
  </si>
  <si>
    <t>일 작업량</t>
    <phoneticPr fontId="1" type="noConversion"/>
  </si>
  <si>
    <t>소요기간</t>
    <phoneticPr fontId="1" type="noConversion"/>
  </si>
  <si>
    <t>수량</t>
    <phoneticPr fontId="1" type="noConversion"/>
  </si>
  <si>
    <t>양생</t>
    <phoneticPr fontId="1" type="noConversion"/>
  </si>
  <si>
    <t>시스템 공동구</t>
    <phoneticPr fontId="1" type="noConversion"/>
  </si>
  <si>
    <t>기초콘크리트(HSB)</t>
    <phoneticPr fontId="1" type="noConversion"/>
  </si>
  <si>
    <t>보조기층</t>
    <phoneticPr fontId="1" type="noConversion"/>
  </si>
  <si>
    <t>기층</t>
    <phoneticPr fontId="1" type="noConversion"/>
  </si>
  <si>
    <t>동상방지층</t>
    <phoneticPr fontId="1" type="noConversion"/>
  </si>
  <si>
    <t>프라임코팅/택코팅</t>
    <phoneticPr fontId="1" type="noConversion"/>
  </si>
  <si>
    <t>중간층/표층</t>
    <phoneticPr fontId="1" type="noConversion"/>
  </si>
  <si>
    <t>STA.</t>
    <phoneticPr fontId="1" type="noConversion"/>
  </si>
  <si>
    <t>구간</t>
    <phoneticPr fontId="1" type="noConversion"/>
  </si>
  <si>
    <t>콘크리트 종류</t>
    <phoneticPr fontId="1" type="noConversion"/>
  </si>
  <si>
    <t>보통</t>
    <phoneticPr fontId="1" type="noConversion"/>
  </si>
  <si>
    <t>양생(G)</t>
    <phoneticPr fontId="1" type="noConversion"/>
  </si>
  <si>
    <t>철근조립</t>
    <phoneticPr fontId="1" type="noConversion"/>
  </si>
  <si>
    <r>
      <t>거푸집</t>
    </r>
    <r>
      <rPr>
        <sz val="11"/>
        <color rgb="FFFF0000"/>
        <rFont val="맑은 고딕"/>
        <family val="3"/>
        <charset val="129"/>
        <scheme val="minor"/>
      </rPr>
      <t>(병행작업 선행 2일 반영)</t>
    </r>
    <phoneticPr fontId="1" type="noConversion"/>
  </si>
  <si>
    <r>
      <t>타설</t>
    </r>
    <r>
      <rPr>
        <sz val="11"/>
        <color rgb="FFFF0000"/>
        <rFont val="맑은 고딕"/>
        <family val="3"/>
        <charset val="129"/>
        <scheme val="minor"/>
      </rPr>
      <t>(격간시공)</t>
    </r>
    <phoneticPr fontId="1" type="noConversion"/>
  </si>
  <si>
    <t>콘크리트 도상(TCL)</t>
    <phoneticPr fontId="1" type="noConversion"/>
  </si>
  <si>
    <t>포장</t>
    <phoneticPr fontId="1" type="noConversion"/>
  </si>
  <si>
    <t>순서</t>
    <phoneticPr fontId="1" type="noConversion"/>
  </si>
  <si>
    <t>위탁지장물</t>
    <phoneticPr fontId="1" type="noConversion"/>
  </si>
  <si>
    <t>노반 공사</t>
    <phoneticPr fontId="1" type="noConversion"/>
  </si>
  <si>
    <t>아스팔트 깨기</t>
    <phoneticPr fontId="1" type="noConversion"/>
  </si>
  <si>
    <t>터파기</t>
    <phoneticPr fontId="1" type="noConversion"/>
  </si>
  <si>
    <t>거푸집</t>
    <phoneticPr fontId="1" type="noConversion"/>
  </si>
  <si>
    <r>
      <t>되메우기</t>
    </r>
    <r>
      <rPr>
        <sz val="11"/>
        <color rgb="FFFF0000"/>
        <rFont val="맑은 고딕"/>
        <family val="3"/>
        <charset val="129"/>
        <scheme val="minor"/>
      </rPr>
      <t>(관로부설 1일 추가)</t>
    </r>
    <phoneticPr fontId="1" type="noConversion"/>
  </si>
  <si>
    <t>궤도공사</t>
    <phoneticPr fontId="1" type="noConversion"/>
  </si>
  <si>
    <t>노반
합계</t>
    <phoneticPr fontId="1" type="noConversion"/>
  </si>
  <si>
    <t>거푸집</t>
    <phoneticPr fontId="1" type="noConversion"/>
  </si>
  <si>
    <t>강화노반</t>
    <phoneticPr fontId="1" type="noConversion"/>
  </si>
  <si>
    <r>
      <t>타설</t>
    </r>
    <r>
      <rPr>
        <sz val="11"/>
        <color rgb="FFFF0000"/>
        <rFont val="맑은 고딕"/>
        <family val="3"/>
        <charset val="129"/>
        <scheme val="minor"/>
      </rPr>
      <t>(격간시공)</t>
    </r>
    <phoneticPr fontId="1" type="noConversion"/>
  </si>
  <si>
    <t>양생</t>
    <phoneticPr fontId="1" type="noConversion"/>
  </si>
  <si>
    <t>교통처리</t>
    <phoneticPr fontId="1" type="noConversion"/>
  </si>
  <si>
    <t>포장기타(가설물 해체 등 포함)</t>
    <phoneticPr fontId="1" type="noConversion"/>
  </si>
  <si>
    <t>궤도
합계</t>
    <phoneticPr fontId="1" type="noConversion"/>
  </si>
  <si>
    <t>포장
합계</t>
    <phoneticPr fontId="1" type="noConversion"/>
  </si>
  <si>
    <t>노반</t>
    <phoneticPr fontId="1" type="noConversion"/>
  </si>
  <si>
    <t>궤도</t>
    <phoneticPr fontId="1" type="noConversion"/>
  </si>
  <si>
    <t>포장</t>
    <phoneticPr fontId="1" type="noConversion"/>
  </si>
  <si>
    <t>전체</t>
    <phoneticPr fontId="1" type="noConversion"/>
  </si>
  <si>
    <t>No</t>
    <phoneticPr fontId="1" type="noConversion"/>
  </si>
  <si>
    <t>연장
(구간)</t>
    <phoneticPr fontId="1" type="noConversion"/>
  </si>
  <si>
    <t>연장
(누계)</t>
    <phoneticPr fontId="1" type="noConversion"/>
  </si>
  <si>
    <t>파스콘 트로프 수량</t>
    <phoneticPr fontId="1" type="noConversion"/>
  </si>
  <si>
    <t>구간
특성</t>
    <phoneticPr fontId="1" type="noConversion"/>
  </si>
  <si>
    <t>시공
구간
분할</t>
    <phoneticPr fontId="1" type="noConversion"/>
  </si>
  <si>
    <t>시공
구간
연장</t>
    <phoneticPr fontId="1" type="noConversion"/>
  </si>
  <si>
    <t>레일 설치(20m레일 일 10개소 접합)</t>
    <phoneticPr fontId="1" type="noConversion"/>
  </si>
  <si>
    <t>기존구조물 샘플</t>
    <phoneticPr fontId="1" type="noConversion"/>
  </si>
  <si>
    <t>일반구간 샘플</t>
    <phoneticPr fontId="1" type="noConversion"/>
  </si>
  <si>
    <t>구조물명</t>
    <phoneticPr fontId="1" type="noConversion"/>
  </si>
  <si>
    <t>트램부지 미확보 구간</t>
    <phoneticPr fontId="1" type="noConversion"/>
  </si>
  <si>
    <t>트램부지 확보 구간</t>
    <phoneticPr fontId="1" type="noConversion"/>
  </si>
  <si>
    <t>조당연장</t>
    <phoneticPr fontId="1" type="noConversion"/>
  </si>
  <si>
    <t>작업구간</t>
    <phoneticPr fontId="1" type="noConversion"/>
  </si>
  <si>
    <t>작업조</t>
    <phoneticPr fontId="1" type="noConversion"/>
  </si>
  <si>
    <t>전체연장</t>
    <phoneticPr fontId="1" type="noConversion"/>
  </si>
  <si>
    <t>구분</t>
    <phoneticPr fontId="1" type="noConversion"/>
  </si>
  <si>
    <t>소요공기
개략검토</t>
    <phoneticPr fontId="1" type="noConversion"/>
  </si>
  <si>
    <t>실 공사가능기간</t>
    <phoneticPr fontId="1" type="noConversion"/>
  </si>
  <si>
    <t>본선구간 전체</t>
    <phoneticPr fontId="1" type="noConversion"/>
  </si>
  <si>
    <t>조당구간</t>
    <phoneticPr fontId="1" type="noConversion"/>
  </si>
  <si>
    <t>구간당</t>
    <phoneticPr fontId="1" type="noConversion"/>
  </si>
  <si>
    <t>총공기</t>
    <phoneticPr fontId="1" type="noConversion"/>
  </si>
  <si>
    <t>트램부지</t>
    <phoneticPr fontId="1" type="noConversion"/>
  </si>
  <si>
    <t>미확보부지</t>
    <phoneticPr fontId="1" type="noConversion"/>
  </si>
  <si>
    <t>트램부지 미확보 구간</t>
    <phoneticPr fontId="1" type="noConversion"/>
  </si>
  <si>
    <t>공사기간</t>
    <phoneticPr fontId="1" type="noConversion"/>
  </si>
  <si>
    <t>트램부지 확보 구간(TS)</t>
    <phoneticPr fontId="1" type="noConversion"/>
  </si>
  <si>
    <t>작업조</t>
    <phoneticPr fontId="1" type="noConversion"/>
  </si>
  <si>
    <t>소요공기 정리</t>
    <phoneticPr fontId="1" type="noConversion"/>
  </si>
  <si>
    <t>동탄 도시철도 건설공사(1단계) 기본설계 기술제안</t>
    <phoneticPr fontId="1" type="noConversion"/>
  </si>
  <si>
    <t>1공구 일반구간 공기산출 근거</t>
    <phoneticPr fontId="1" type="noConversion"/>
  </si>
  <si>
    <t>(본)1-1-301정거장-(P)</t>
    <phoneticPr fontId="1" type="noConversion"/>
  </si>
  <si>
    <t>00.00</t>
  </si>
  <si>
    <t>우선착공</t>
  </si>
  <si>
    <t>우선착공</t>
    <phoneticPr fontId="1" type="noConversion"/>
  </si>
  <si>
    <t>(본)1-2</t>
    <phoneticPr fontId="1" type="noConversion"/>
  </si>
  <si>
    <t>(본)1-3-(P)</t>
  </si>
  <si>
    <t>(본)1-4-(P)</t>
  </si>
  <si>
    <t>(본)1-5-(P)</t>
  </si>
  <si>
    <t>(본)1-6</t>
  </si>
  <si>
    <t>(본)1-7-(P)</t>
  </si>
  <si>
    <t>일반부지
1구간</t>
    <phoneticPr fontId="1" type="noConversion"/>
  </si>
  <si>
    <t>(기교)1-7/8-벌말교-(P)</t>
  </si>
  <si>
    <t>벌말교</t>
  </si>
  <si>
    <t>(본)1-8-(P)</t>
  </si>
  <si>
    <t>(기차)1-8/9-능동-(P)</t>
  </si>
  <si>
    <t>능동지하차도</t>
  </si>
  <si>
    <t>일반부지
2구간</t>
    <phoneticPr fontId="1" type="noConversion"/>
  </si>
  <si>
    <t>(본)1-9</t>
  </si>
  <si>
    <t>(본)1-10</t>
  </si>
  <si>
    <t>(본)1-11-302정거장</t>
  </si>
  <si>
    <t>301정거장</t>
    <phoneticPr fontId="1" type="noConversion"/>
  </si>
  <si>
    <t>302정거장</t>
    <phoneticPr fontId="1" type="noConversion"/>
  </si>
  <si>
    <t>(본)1-12-303정거장</t>
    <phoneticPr fontId="1" type="noConversion"/>
  </si>
  <si>
    <t>303정거장</t>
    <phoneticPr fontId="1" type="noConversion"/>
  </si>
  <si>
    <t>(본)1-13</t>
  </si>
  <si>
    <t>일반부지
3구간</t>
    <phoneticPr fontId="1" type="noConversion"/>
  </si>
  <si>
    <t>(본)1-14</t>
  </si>
  <si>
    <t>(본)1-15-(P)</t>
  </si>
  <si>
    <t>우선착공</t>
    <phoneticPr fontId="1" type="noConversion"/>
  </si>
  <si>
    <t>(본)1-16-304정거장</t>
    <phoneticPr fontId="1" type="noConversion"/>
  </si>
  <si>
    <t>304정거장</t>
    <phoneticPr fontId="1" type="noConversion"/>
  </si>
  <si>
    <t>일반부지
4구간</t>
    <phoneticPr fontId="1" type="noConversion"/>
  </si>
  <si>
    <t>(본)1-17-305정거장</t>
  </si>
  <si>
    <t>305정거장</t>
    <phoneticPr fontId="1" type="noConversion"/>
  </si>
  <si>
    <t>(본)1-18</t>
  </si>
  <si>
    <t>(본)1-18-1</t>
  </si>
  <si>
    <t>(본)1-19-306정거장</t>
    <phoneticPr fontId="1" type="noConversion"/>
  </si>
  <si>
    <t>306정거장</t>
    <phoneticPr fontId="1" type="noConversion"/>
  </si>
  <si>
    <t>(본)1-19-1</t>
    <phoneticPr fontId="1" type="noConversion"/>
  </si>
  <si>
    <t>일반부지
5구간</t>
    <phoneticPr fontId="1" type="noConversion"/>
  </si>
  <si>
    <t>CP</t>
    <phoneticPr fontId="1" type="noConversion"/>
  </si>
  <si>
    <t>선정</t>
    <phoneticPr fontId="1" type="noConversion"/>
  </si>
  <si>
    <t>(기교)1-20/21-나루교</t>
  </si>
  <si>
    <t>나루교</t>
    <phoneticPr fontId="1" type="noConversion"/>
  </si>
  <si>
    <t>(본)1-20</t>
    <phoneticPr fontId="1" type="noConversion"/>
  </si>
  <si>
    <t>(본)1-21</t>
  </si>
  <si>
    <t>(본)1-21-1</t>
  </si>
  <si>
    <t>(본)1-22-307정거장</t>
  </si>
  <si>
    <t>일반부지
6구간</t>
    <phoneticPr fontId="1" type="noConversion"/>
  </si>
  <si>
    <t>307정거장</t>
    <phoneticPr fontId="1" type="noConversion"/>
  </si>
  <si>
    <t>(본)1-23</t>
    <phoneticPr fontId="1" type="noConversion"/>
  </si>
  <si>
    <t>(본)1-24-(P)</t>
  </si>
  <si>
    <t>우선착공</t>
    <phoneticPr fontId="1" type="noConversion"/>
  </si>
  <si>
    <t>(본)1-25-(P)-201(107)정거장-건축우선</t>
    <phoneticPr fontId="1" type="noConversion"/>
  </si>
  <si>
    <t>201(107)정거장-건축먼저시공</t>
    <phoneticPr fontId="1" type="noConversion"/>
  </si>
  <si>
    <t>(본)1-26</t>
  </si>
  <si>
    <t>일반부지
7구간</t>
    <phoneticPr fontId="1" type="noConversion"/>
  </si>
  <si>
    <t>(본)1-27-(TS)-(P)</t>
  </si>
  <si>
    <t>트램부지</t>
    <phoneticPr fontId="1" type="noConversion"/>
  </si>
  <si>
    <t>(본)1-28-(TS)-(P)</t>
  </si>
  <si>
    <t>(기차)1-28/29-치동천2교</t>
  </si>
  <si>
    <t>치동천2교</t>
    <phoneticPr fontId="1" type="noConversion"/>
  </si>
  <si>
    <t>(본)1-29-(TS)-(P)</t>
  </si>
  <si>
    <t>(본)1-30-(TS)-(P)-202정거장</t>
  </si>
  <si>
    <t>202정거장</t>
    <phoneticPr fontId="1" type="noConversion"/>
  </si>
  <si>
    <t>트램부지
1구간</t>
    <phoneticPr fontId="1" type="noConversion"/>
  </si>
  <si>
    <t>(본)1-31-(TS)-(P)</t>
  </si>
  <si>
    <t>(본)1-32-(TS)-(P)</t>
  </si>
  <si>
    <t>(본)1-33-(TS)-(P)</t>
  </si>
  <si>
    <t>트램부지
4구간</t>
    <phoneticPr fontId="1" type="noConversion"/>
  </si>
  <si>
    <t>트램부지
2구간</t>
    <phoneticPr fontId="1" type="noConversion"/>
  </si>
  <si>
    <t>(본)1-34-(TS)-(P)-203정거장</t>
  </si>
  <si>
    <t>우선착공</t>
    <phoneticPr fontId="1" type="noConversion"/>
  </si>
  <si>
    <t>203정거장</t>
    <phoneticPr fontId="1" type="noConversion"/>
  </si>
  <si>
    <t>(본)1-35-(TS)-(P)</t>
  </si>
  <si>
    <t>트램부지</t>
    <phoneticPr fontId="1" type="noConversion"/>
  </si>
  <si>
    <t>(기교)1-35/36-치동천5교</t>
  </si>
  <si>
    <t>치동천5교</t>
    <phoneticPr fontId="1" type="noConversion"/>
  </si>
  <si>
    <t>(본)1-36-(TS)-(P)</t>
  </si>
  <si>
    <t>(본)1-37-(TS)</t>
  </si>
  <si>
    <t>트램부지
3구간</t>
    <phoneticPr fontId="1" type="noConversion"/>
  </si>
  <si>
    <t>(본)1-38-(TS)-(P)-204정거장</t>
  </si>
  <si>
    <t>204정거장</t>
    <phoneticPr fontId="1" type="noConversion"/>
  </si>
  <si>
    <t>(본)1-39-(TS)-(P)</t>
  </si>
  <si>
    <t>(기터)1-39/40-동탄숲</t>
  </si>
  <si>
    <t>동탄숲생태터널</t>
  </si>
  <si>
    <t>(본)1-40-(TS)-(P)</t>
  </si>
  <si>
    <t>(본)1-41-(TS)-(P)-205정거장</t>
  </si>
  <si>
    <t>205정거장</t>
    <phoneticPr fontId="1" type="noConversion"/>
  </si>
  <si>
    <t>(본)1-42-(TS)-(P)-206정거장</t>
  </si>
  <si>
    <t>206정거장</t>
    <phoneticPr fontId="1" type="noConversion"/>
  </si>
  <si>
    <t>(본)1-43-(TS)-(P)</t>
  </si>
  <si>
    <t>트램부지</t>
    <phoneticPr fontId="1" type="noConversion"/>
  </si>
  <si>
    <t>(기교)1-43/44-신리천5교</t>
  </si>
  <si>
    <t>신리천5교</t>
  </si>
  <si>
    <t>(본)1-44-(TS)-(P)</t>
  </si>
  <si>
    <t>우선착공</t>
    <phoneticPr fontId="1" type="noConversion"/>
  </si>
  <si>
    <t>트램부지
5구간</t>
    <phoneticPr fontId="1" type="noConversion"/>
  </si>
  <si>
    <t>(기교)1-44/45-오리교</t>
  </si>
  <si>
    <t>오리교</t>
  </si>
  <si>
    <t>(본)1-45-(TS)-(P)</t>
  </si>
  <si>
    <t>(본)1-46구간-(TS)-(P)</t>
  </si>
  <si>
    <t>(본)1-47구간-(TS)-(P)-207정거장</t>
  </si>
  <si>
    <t>(본)1-48-(TS)-(P)</t>
  </si>
  <si>
    <t>트램부지
6구간</t>
    <phoneticPr fontId="1" type="noConversion"/>
  </si>
  <si>
    <t>(기교)1-48/49-송방천5교</t>
  </si>
  <si>
    <t>송방천5교</t>
    <phoneticPr fontId="1" type="noConversion"/>
  </si>
  <si>
    <t>(본)1-49-(TS)-(P)</t>
  </si>
  <si>
    <t>(본)1-50-(TS)-(P)-208정거장</t>
  </si>
  <si>
    <t>208정거장</t>
    <phoneticPr fontId="1" type="noConversion"/>
  </si>
  <si>
    <t>207정거장</t>
    <phoneticPr fontId="1" type="noConversion"/>
  </si>
  <si>
    <t>트램부지
7구간</t>
    <phoneticPr fontId="1" type="noConversion"/>
  </si>
  <si>
    <t>(본)1-51-(TS)-(P)</t>
  </si>
  <si>
    <t>트램부지</t>
    <phoneticPr fontId="1" type="noConversion"/>
  </si>
  <si>
    <t>(본)1-52-(TS)-(P)-209정거장</t>
  </si>
  <si>
    <t>우선착공</t>
    <phoneticPr fontId="1" type="noConversion"/>
  </si>
  <si>
    <t>209정거장</t>
    <phoneticPr fontId="1" type="noConversion"/>
  </si>
  <si>
    <t>(본)1-53-(TS)-(P)-210정거장</t>
  </si>
  <si>
    <t>210정거장</t>
    <phoneticPr fontId="1" type="noConversion"/>
  </si>
  <si>
    <t>(본)1-54-(TS)-(P)</t>
  </si>
  <si>
    <t>(기교)1-54/55-장지천4교</t>
  </si>
  <si>
    <t>장지천4교</t>
    <phoneticPr fontId="1" type="noConversion"/>
  </si>
  <si>
    <t>(본)1-55-(TS)-(P)</t>
  </si>
  <si>
    <t>트램부지
8구간</t>
    <phoneticPr fontId="1" type="noConversion"/>
  </si>
  <si>
    <t>(기터)1-45/46-산척</t>
  </si>
  <si>
    <t>산척터널</t>
    <phoneticPr fontId="1" type="noConversion"/>
  </si>
  <si>
    <t>트램부지
9구간</t>
    <phoneticPr fontId="1" type="noConversion"/>
  </si>
  <si>
    <t>인덕간섭</t>
    <phoneticPr fontId="1" type="noConversion"/>
  </si>
  <si>
    <t>바꿈</t>
    <phoneticPr fontId="1" type="noConversion"/>
  </si>
  <si>
    <t xml:space="preserve"> 2-3</t>
    <phoneticPr fontId="1" type="noConversion"/>
  </si>
  <si>
    <t>구간</t>
    <phoneticPr fontId="1" type="noConversion"/>
  </si>
  <si>
    <t>순서</t>
    <phoneticPr fontId="1" type="noConversion"/>
  </si>
  <si>
    <t>변경</t>
    <phoneticPr fontId="1" type="noConversion"/>
  </si>
  <si>
    <t>SETBACK-7개월 확보</t>
    <phoneticPr fontId="1" type="noConversion"/>
  </si>
  <si>
    <t>2026.08.05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</si>
</sst>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1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#,##0.0&quot;㎥/일&quot;"/>
    <numFmt numFmtId="177" formatCode="#,##0&quot;㎥/일&quot;"/>
    <numFmt numFmtId="178" formatCode="#,##0&quot;㎡/일&quot;"/>
    <numFmt numFmtId="179" formatCode="#,##0&quot;일&quot;"/>
    <numFmt numFmtId="180" formatCode="#,##0.0&quot;ton/일&quot;"/>
    <numFmt numFmtId="181" formatCode="#,##0&quot;m/일&quot;"/>
    <numFmt numFmtId="182" formatCode="#,##0.0&quot;m&quot;"/>
    <numFmt numFmtId="183" formatCode="#,##0.0&quot;일&quot;"/>
    <numFmt numFmtId="184" formatCode="#,##0&quot;개조&quot;"/>
    <numFmt numFmtId="185" formatCode="0.000"/>
    <numFmt numFmtId="186" formatCode="#,##0.00_ "/>
    <numFmt numFmtId="187" formatCode="_ * #,##0_ ;_ * \-#,##0_ ;_ * &quot;-&quot;_ ;_ @_ "/>
    <numFmt numFmtId="188" formatCode="0.000_ "/>
    <numFmt numFmtId="189" formatCode="0.0"/>
    <numFmt numFmtId="190" formatCode="&quot;년&quot;\ "/>
    <numFmt numFmtId="191" formatCode="&quot;₩&quot;#,##0;&quot;₩&quot;\-#,##0"/>
    <numFmt numFmtId="192" formatCode="_-&quot;S&quot;\ * #,##0.00_-;\-&quot;S&quot;\ * #,##0.00_-;_-&quot;S&quot;\ * &quot;-&quot;??_-;_-@_-"/>
    <numFmt numFmtId="193" formatCode="0\ &quot;EA&quot;"/>
    <numFmt numFmtId="194" formatCode="#\ ?/2"/>
    <numFmt numFmtId="195" formatCode="0_ "/>
    <numFmt numFmtId="196" formatCode="_ * #,##0.00_ ;_ * \-#,##0.00_ ;_ * &quot;-&quot;??_ ;_ @_ "/>
    <numFmt numFmtId="197" formatCode="##0.000&quot;㎥&quot;"/>
    <numFmt numFmtId="198" formatCode="##0.000&quot;㎡&quot;"/>
    <numFmt numFmtId="199" formatCode="##0.000&quot;㎡/개소&quot;"/>
    <numFmt numFmtId="200" formatCode="##0.000&quot;kg&quot;"/>
    <numFmt numFmtId="201" formatCode="##0.00&quot;m&quot;"/>
    <numFmt numFmtId="202" formatCode="##&quot;%&quot;"/>
    <numFmt numFmtId="203" formatCode="\t\=0.00"/>
    <numFmt numFmtId="204" formatCode="0.000&quot;*&quot;"/>
    <numFmt numFmtId="205" formatCode="_-\-* #,##0_-;\-* #,##0_-;_-* &quot;-&quot;_-;_-@_-"/>
    <numFmt numFmtId="206" formatCode="&quot;₩&quot;#,##0;[Red]&quot;₩&quot;&quot;₩&quot;\-#,##0"/>
    <numFmt numFmtId="207" formatCode="General_)"/>
    <numFmt numFmtId="208" formatCode="0.0_)"/>
    <numFmt numFmtId="209" formatCode="0.000\ "/>
    <numFmt numFmtId="210" formatCode="#\!\,##0\!.00_ "/>
    <numFmt numFmtId="211" formatCode="_-* #,##0.0_-;\-* #,##0.0_-;_-* &quot;-&quot;_-;_-@_-"/>
    <numFmt numFmtId="212" formatCode="0&quot;km&quot;000.0000"/>
    <numFmt numFmtId="213" formatCode="_(* #,##0_);_(* \(#,##0\);_(* \-_);_(@_)"/>
    <numFmt numFmtId="214" formatCode="#,##0&quot;개월&quot;"/>
    <numFmt numFmtId="215" formatCode="#,##0&quot;m&quot;"/>
    <numFmt numFmtId="216" formatCode="0.0&quot;구간&quot;"/>
    <numFmt numFmtId="217" formatCode="0&quot;개조&quot;"/>
    <numFmt numFmtId="218" formatCode="#,##0.0&quot;개월&quot;"/>
    <numFmt numFmtId="219" formatCode="0&quot;-&quot;0&quot;조&quot;"/>
    <numFmt numFmtId="221" formatCode="0.0_);[Red]\(0.0\)"/>
    <numFmt numFmtId="222" formatCode="0.00&quot;m&quot;"/>
    <numFmt numFmtId="223" formatCode="0&quot;-&quot;0"/>
    <numFmt numFmtId="224" formatCode="mm&quot;월&quot;\ dd&quot;일&quot;"/>
  </numFmts>
  <fonts count="7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-윤고딕120"/>
      <family val="1"/>
      <charset val="129"/>
    </font>
    <font>
      <sz val="11"/>
      <color theme="1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바탕체"/>
      <family val="1"/>
      <charset val="129"/>
    </font>
    <font>
      <sz val="9"/>
      <color indexed="8"/>
      <name val="굴림체"/>
      <family val="3"/>
      <charset val="129"/>
    </font>
    <font>
      <sz val="10"/>
      <name val="Arial"/>
      <family val="2"/>
    </font>
    <font>
      <sz val="9"/>
      <name val="굴림체"/>
      <family val="3"/>
      <charset val="129"/>
    </font>
    <font>
      <u/>
      <sz val="11"/>
      <color indexed="36"/>
      <name val="돋움"/>
      <family val="3"/>
      <charset val="129"/>
    </font>
    <font>
      <sz val="12"/>
      <name val="굴림체"/>
      <family val="3"/>
      <charset val="129"/>
    </font>
    <font>
      <sz val="11"/>
      <name val="굴림체"/>
      <family val="3"/>
      <charset val="129"/>
    </font>
    <font>
      <sz val="12"/>
      <name val="¹UAAA¼"/>
      <family val="3"/>
      <charset val="129"/>
    </font>
    <font>
      <sz val="10"/>
      <name val="MS Sans Serif"/>
      <family val="2"/>
    </font>
    <font>
      <sz val="10"/>
      <name val="굴림체"/>
      <family val="3"/>
      <charset val="129"/>
    </font>
    <font>
      <sz val="12"/>
      <name val="¹ÙÅÁÃ¼"/>
      <family val="1"/>
      <charset val="129"/>
    </font>
    <font>
      <sz val="12"/>
      <name val="뼻뮝"/>
      <family val="1"/>
      <charset val="129"/>
    </font>
    <font>
      <sz val="8"/>
      <name val="Arial"/>
      <family val="2"/>
    </font>
    <font>
      <sz val="12"/>
      <name val="돋움체"/>
      <family val="3"/>
      <charset val="129"/>
    </font>
    <font>
      <b/>
      <sz val="18"/>
      <name val="Arial"/>
      <family val="2"/>
    </font>
    <font>
      <b/>
      <sz val="12"/>
      <name val="Arial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돋움체"/>
      <family val="3"/>
      <charset val="129"/>
    </font>
    <font>
      <sz val="11"/>
      <color indexed="16"/>
      <name val="바탕체"/>
      <family val="1"/>
      <charset val="129"/>
    </font>
    <font>
      <b/>
      <sz val="14"/>
      <color indexed="12"/>
      <name val="바탕체"/>
      <family val="1"/>
      <charset val="129"/>
    </font>
    <font>
      <sz val="14"/>
      <name val="뼻뮝"/>
      <family val="1"/>
      <charset val="129"/>
    </font>
    <font>
      <sz val="9"/>
      <name val="바탕체"/>
      <family val="1"/>
      <charset val="129"/>
    </font>
    <font>
      <sz val="10"/>
      <name val="바탕체"/>
      <family val="1"/>
      <charset val="129"/>
    </font>
    <font>
      <b/>
      <sz val="12"/>
      <name val="돋움체"/>
      <family val="3"/>
      <charset val="129"/>
    </font>
    <font>
      <sz val="10"/>
      <name val="명조"/>
      <family val="3"/>
      <charset val="129"/>
    </font>
    <font>
      <b/>
      <sz val="12"/>
      <color indexed="12"/>
      <name val="돋움체"/>
      <family val="3"/>
      <charset val="129"/>
    </font>
    <font>
      <sz val="10"/>
      <color indexed="12"/>
      <name val="굴림체"/>
      <family val="3"/>
      <charset val="129"/>
    </font>
    <font>
      <b/>
      <sz val="10"/>
      <name val="Helv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12"/>
      <name val="Helv"/>
      <family val="2"/>
    </font>
    <font>
      <u/>
      <sz val="10"/>
      <color indexed="12"/>
      <name val="MS Sans Serif"/>
      <family val="2"/>
    </font>
    <font>
      <b/>
      <i/>
      <sz val="12"/>
      <name val="Times New Roman"/>
      <family val="1"/>
    </font>
    <font>
      <b/>
      <sz val="11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color rgb="FF000000"/>
      <name val="-윤고딕120"/>
      <family val="1"/>
      <charset val="129"/>
    </font>
    <font>
      <sz val="11"/>
      <color rgb="FFFF0000"/>
      <name val="-윤고딕120"/>
      <family val="1"/>
      <charset val="129"/>
    </font>
    <font>
      <sz val="11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80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sz val="11"/>
      <color rgb="FF000080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맑은 고딕"/>
      <family val="2"/>
      <charset val="129"/>
      <scheme val="minor"/>
    </font>
    <font>
      <b/>
      <sz val="11"/>
      <color rgb="FFFF0000"/>
      <name val="-윤고딕120"/>
      <family val="1"/>
      <charset val="129"/>
    </font>
    <font>
      <sz val="11"/>
      <color theme="0"/>
      <name val="맑은 고딕"/>
      <family val="3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rgb="FF99CCF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rgb="FF99CCFF"/>
      </patternFill>
    </fill>
    <fill>
      <patternFill patternType="solid">
        <fgColor rgb="FFFFFF00"/>
        <bgColor rgb="FF99CC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12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49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6" fillId="0" borderId="0"/>
    <xf numFmtId="0" fontId="10" fillId="0" borderId="0">
      <alignment vertical="center"/>
    </xf>
    <xf numFmtId="0" fontId="11" fillId="0" borderId="0"/>
    <xf numFmtId="0" fontId="11" fillId="0" borderId="0"/>
    <xf numFmtId="0" fontId="17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1" fillId="0" borderId="9">
      <alignment horizontal="center"/>
    </xf>
    <xf numFmtId="0" fontId="2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/>
    <xf numFmtId="0" fontId="2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0" fontId="25" fillId="0" borderId="0"/>
    <xf numFmtId="0" fontId="13" fillId="0" borderId="0" applyFill="0" applyBorder="0" applyAlignment="0"/>
    <xf numFmtId="0" fontId="44" fillId="0" borderId="0"/>
    <xf numFmtId="0" fontId="13" fillId="0" borderId="0">
      <protection locked="0"/>
    </xf>
    <xf numFmtId="0" fontId="17" fillId="0" borderId="0" applyFont="0" applyFill="0" applyBorder="0" applyAlignment="0" applyProtection="0"/>
    <xf numFmtId="194" fontId="13" fillId="0" borderId="0"/>
    <xf numFmtId="0" fontId="17" fillId="0" borderId="0" applyFont="0" applyFill="0" applyBorder="0" applyAlignment="0" applyProtection="0"/>
    <xf numFmtId="3" fontId="17" fillId="0" borderId="0" applyFill="0" applyBorder="0" applyAlignment="0" applyProtection="0"/>
    <xf numFmtId="0" fontId="17" fillId="0" borderId="0" applyFont="0" applyFill="0" applyBorder="0" applyAlignment="0" applyProtection="0"/>
    <xf numFmtId="0" fontId="13" fillId="0" borderId="0">
      <protection locked="0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5" fontId="17" fillId="0" borderId="0" applyFont="0" applyFill="0" applyBorder="0" applyAlignment="0" applyProtection="0"/>
    <xf numFmtId="0" fontId="13" fillId="0" borderId="0"/>
    <xf numFmtId="0" fontId="17" fillId="0" borderId="0" applyFont="0" applyFill="0" applyBorder="0" applyAlignment="0" applyProtection="0"/>
    <xf numFmtId="193" fontId="13" fillId="0" borderId="0"/>
    <xf numFmtId="0" fontId="45" fillId="0" borderId="0">
      <protection locked="0"/>
    </xf>
    <xf numFmtId="0" fontId="45" fillId="0" borderId="0">
      <protection locked="0"/>
    </xf>
    <xf numFmtId="0" fontId="46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6" fillId="0" borderId="0">
      <protection locked="0"/>
    </xf>
    <xf numFmtId="2" fontId="17" fillId="0" borderId="0" applyFont="0" applyFill="0" applyBorder="0" applyAlignment="0" applyProtection="0"/>
    <xf numFmtId="38" fontId="27" fillId="4" borderId="0" applyNumberFormat="0" applyBorder="0" applyAlignment="0" applyProtection="0"/>
    <xf numFmtId="0" fontId="47" fillId="0" borderId="0">
      <alignment horizontal="left"/>
    </xf>
    <xf numFmtId="0" fontId="30" fillId="0" borderId="10" applyNumberFormat="0" applyAlignment="0" applyProtection="0">
      <alignment horizontal="left" vertical="center"/>
    </xf>
    <xf numFmtId="0" fontId="30" fillId="0" borderId="3">
      <alignment horizontal="left" vertical="center"/>
    </xf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90" fontId="11" fillId="0" borderId="0">
      <protection locked="0"/>
    </xf>
    <xf numFmtId="190" fontId="11" fillId="0" borderId="0">
      <protection locked="0"/>
    </xf>
    <xf numFmtId="0" fontId="48" fillId="0" borderId="0" applyNumberFormat="0" applyFill="0" applyBorder="0" applyAlignment="0" applyProtection="0"/>
    <xf numFmtId="10" fontId="27" fillId="5" borderId="1" applyNumberFormat="0" applyBorder="0" applyAlignment="0" applyProtection="0"/>
    <xf numFmtId="207" fontId="49" fillId="0" borderId="0">
      <alignment horizontal="left"/>
    </xf>
    <xf numFmtId="187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0" fontId="50" fillId="0" borderId="11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28" fillId="0" borderId="0"/>
    <xf numFmtId="0" fontId="17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3" fillId="0" borderId="0">
      <protection locked="0"/>
    </xf>
    <xf numFmtId="10" fontId="17" fillId="0" borderId="0" applyFont="0" applyFill="0" applyBorder="0" applyAlignment="0" applyProtection="0"/>
    <xf numFmtId="186" fontId="13" fillId="0" borderId="0">
      <protection locked="0"/>
    </xf>
    <xf numFmtId="0" fontId="50" fillId="0" borderId="0"/>
    <xf numFmtId="208" fontId="51" fillId="0" borderId="0">
      <alignment horizontal="center"/>
    </xf>
    <xf numFmtId="0" fontId="52" fillId="0" borderId="0" applyFill="0" applyBorder="0" applyProtection="0">
      <alignment horizontal="centerContinuous" vertical="center"/>
    </xf>
    <xf numFmtId="0" fontId="20" fillId="6" borderId="0" applyFill="0" applyBorder="0" applyProtection="0">
      <alignment horizontal="center" vertical="center"/>
    </xf>
    <xf numFmtId="0" fontId="17" fillId="0" borderId="12" applyNumberFormat="0" applyFont="0" applyFill="0" applyAlignment="0" applyProtection="0"/>
    <xf numFmtId="0" fontId="15" fillId="0" borderId="9">
      <alignment horizontal="left"/>
    </xf>
    <xf numFmtId="2" fontId="3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3" applyBorder="0">
      <alignment horizontal="distributed"/>
      <protection locked="0"/>
    </xf>
    <xf numFmtId="0" fontId="31" fillId="0" borderId="0" applyFont="0" applyFill="0" applyBorder="0" applyAlignment="0" applyProtection="0"/>
    <xf numFmtId="204" fontId="35" fillId="0" borderId="0" applyFill="0" applyBorder="0">
      <alignment horizontal="center" vertical="center"/>
    </xf>
    <xf numFmtId="202" fontId="34" fillId="0" borderId="14" applyFill="0" applyBorder="0">
      <alignment horizontal="center" vertical="center"/>
      <protection locked="0"/>
    </xf>
    <xf numFmtId="200" fontId="34" fillId="0" borderId="8" applyFill="0" applyBorder="0">
      <alignment horizontal="center"/>
      <protection locked="0"/>
    </xf>
    <xf numFmtId="201" fontId="34" fillId="0" borderId="8" applyFill="0" applyBorder="0">
      <alignment horizontal="center"/>
      <protection locked="0"/>
    </xf>
    <xf numFmtId="198" fontId="34" fillId="0" borderId="15">
      <alignment horizontal="center"/>
      <protection locked="0"/>
    </xf>
    <xf numFmtId="199" fontId="34" fillId="0" borderId="15">
      <alignment horizontal="center"/>
      <protection locked="0"/>
    </xf>
    <xf numFmtId="205" fontId="34" fillId="0" borderId="15">
      <alignment horizontal="center"/>
      <protection locked="0"/>
    </xf>
    <xf numFmtId="197" fontId="34" fillId="0" borderId="15">
      <alignment horizontal="center"/>
      <protection locked="0"/>
    </xf>
    <xf numFmtId="203" fontId="34" fillId="0" borderId="2" applyFill="0" applyBorder="0">
      <alignment horizontal="center" vertical="center"/>
      <protection locked="0"/>
    </xf>
    <xf numFmtId="0" fontId="31" fillId="0" borderId="0" applyFont="0" applyFill="0" applyBorder="0" applyAlignment="0" applyProtection="0"/>
    <xf numFmtId="0" fontId="36" fillId="0" borderId="0" applyProtection="0"/>
    <xf numFmtId="0" fontId="19" fillId="0" borderId="0" applyNumberFormat="0" applyFill="0" applyBorder="0" applyAlignment="0" applyProtection="0">
      <alignment vertical="top"/>
      <protection locked="0"/>
    </xf>
    <xf numFmtId="40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9" fontId="21" fillId="6" borderId="0" applyFill="0" applyBorder="0" applyProtection="0">
      <alignment horizontal="right"/>
    </xf>
    <xf numFmtId="10" fontId="21" fillId="0" borderId="0" applyFill="0" applyBorder="0" applyProtection="0">
      <alignment horizontal="right"/>
    </xf>
    <xf numFmtId="0" fontId="26" fillId="0" borderId="0"/>
    <xf numFmtId="49" fontId="34" fillId="0" borderId="6" applyFill="0" applyBorder="0">
      <alignment horizontal="center" vertical="center"/>
      <protection locked="0"/>
    </xf>
    <xf numFmtId="0" fontId="38" fillId="0" borderId="0" applyNumberFormat="0" applyFont="0" applyFill="0" applyBorder="0" applyProtection="0">
      <alignment horizontal="centerContinuous" vertical="center"/>
    </xf>
    <xf numFmtId="188" fontId="38" fillId="0" borderId="0" applyFill="0" applyBorder="0" applyProtection="0">
      <alignment horizontal="centerContinuous" vertical="center"/>
    </xf>
    <xf numFmtId="195" fontId="38" fillId="0" borderId="0" applyNumberFormat="0" applyFont="0" applyFill="0" applyBorder="0" applyProtection="0">
      <alignment horizontal="centerContinuous"/>
    </xf>
    <xf numFmtId="0" fontId="39" fillId="0" borderId="0" applyNumberFormat="0" applyFont="0" applyFill="0" applyBorder="0" applyProtection="0">
      <alignment horizontal="centerContinuous" vertical="center"/>
    </xf>
    <xf numFmtId="195" fontId="38" fillId="0" borderId="0" applyNumberFormat="0" applyFont="0" applyFill="0" applyBorder="0" applyProtection="0">
      <alignment horizontal="centerContinuous" vertical="center"/>
    </xf>
    <xf numFmtId="0" fontId="40" fillId="0" borderId="0" applyProtection="0">
      <alignment vertical="center"/>
      <protection locked="0"/>
    </xf>
    <xf numFmtId="195" fontId="18" fillId="0" borderId="16" applyFont="0" applyFill="0" applyBorder="0" applyAlignment="0" applyProtection="0">
      <alignment vertical="center"/>
    </xf>
    <xf numFmtId="188" fontId="18" fillId="0" borderId="16" applyFont="0" applyFill="0" applyBorder="0" applyAlignment="0" applyProtection="0">
      <alignment vertical="center"/>
    </xf>
    <xf numFmtId="0" fontId="14" fillId="0" borderId="0"/>
    <xf numFmtId="195" fontId="38" fillId="0" borderId="0" applyFont="0" applyFill="0" applyBorder="0" applyProtection="0">
      <alignment horizontal="centerContinuous" vertical="center"/>
    </xf>
    <xf numFmtId="206" fontId="17" fillId="0" borderId="0">
      <alignment vertical="center"/>
    </xf>
    <xf numFmtId="189" fontId="38" fillId="0" borderId="0" applyFont="0" applyFill="0" applyBorder="0" applyProtection="0">
      <alignment horizontal="centerContinuous" vertical="center"/>
    </xf>
    <xf numFmtId="185" fontId="38" fillId="0" borderId="0" applyFont="0" applyFill="0" applyBorder="0" applyProtection="0">
      <alignment horizontal="centerContinuous" vertical="center"/>
    </xf>
    <xf numFmtId="209" fontId="38" fillId="0" borderId="17" applyFont="0" applyFill="0" applyBorder="0" applyProtection="0">
      <alignment horizontal="right" vertical="center"/>
      <protection locked="0"/>
    </xf>
    <xf numFmtId="209" fontId="24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0" fontId="17" fillId="0" borderId="0"/>
    <xf numFmtId="0" fontId="41" fillId="0" borderId="18"/>
    <xf numFmtId="0" fontId="42" fillId="0" borderId="6" applyBorder="0">
      <alignment horizontal="distributed" vertical="center"/>
      <protection locked="0"/>
    </xf>
    <xf numFmtId="0" fontId="43" fillId="0" borderId="0">
      <alignment vertical="center"/>
    </xf>
    <xf numFmtId="195" fontId="38" fillId="0" borderId="0" applyNumberFormat="0" applyFont="0" applyFill="0" applyBorder="0" applyProtection="0">
      <alignment vertical="center"/>
    </xf>
    <xf numFmtId="4" fontId="31" fillId="0" borderId="0" applyFont="0" applyFill="0" applyBorder="0" applyAlignment="0" applyProtection="0"/>
    <xf numFmtId="3" fontId="31" fillId="0" borderId="0" applyFont="0" applyFill="0" applyBorder="0" applyAlignment="0" applyProtection="0"/>
    <xf numFmtId="0" fontId="11" fillId="0" borderId="0"/>
    <xf numFmtId="0" fontId="11" fillId="0" borderId="0" applyFont="0" applyFill="0" applyBorder="0" applyAlignment="0" applyProtection="0"/>
    <xf numFmtId="0" fontId="17" fillId="0" borderId="1"/>
    <xf numFmtId="210" fontId="21" fillId="6" borderId="0" applyFill="0" applyBorder="0" applyProtection="0">
      <alignment horizontal="right"/>
    </xf>
    <xf numFmtId="0" fontId="11" fillId="0" borderId="0" applyFont="0" applyFill="0" applyBorder="0" applyAlignment="0" applyProtection="0"/>
    <xf numFmtId="42" fontId="13" fillId="0" borderId="0" applyFont="0" applyFill="0" applyBorder="0" applyAlignment="0" applyProtection="0"/>
    <xf numFmtId="0" fontId="11" fillId="0" borderId="0" applyFont="0" applyFill="0" applyBorder="0" applyAlignment="0" applyProtection="0"/>
    <xf numFmtId="10" fontId="31" fillId="0" borderId="0" applyFont="0" applyFill="0" applyBorder="0" applyAlignment="0" applyProtection="0"/>
    <xf numFmtId="0" fontId="53" fillId="0" borderId="0">
      <alignment vertical="center"/>
    </xf>
    <xf numFmtId="0" fontId="31" fillId="0" borderId="12" applyNumberFormat="0" applyFont="0" applyFill="0" applyAlignment="0" applyProtection="0"/>
    <xf numFmtId="192" fontId="13" fillId="0" borderId="0" applyFont="0" applyFill="0" applyBorder="0" applyAlignment="0" applyProtection="0"/>
    <xf numFmtId="191" fontId="31" fillId="0" borderId="0" applyFont="0" applyFill="0" applyBorder="0" applyAlignment="0" applyProtection="0"/>
    <xf numFmtId="0" fontId="10" fillId="0" borderId="0">
      <alignment vertical="center"/>
    </xf>
    <xf numFmtId="41" fontId="13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0" fontId="13" fillId="0" borderId="0"/>
    <xf numFmtId="0" fontId="10" fillId="0" borderId="0">
      <alignment vertical="center"/>
    </xf>
    <xf numFmtId="0" fontId="54" fillId="0" borderId="0">
      <alignment vertical="center"/>
    </xf>
    <xf numFmtId="0" fontId="13" fillId="0" borderId="0"/>
    <xf numFmtId="0" fontId="10" fillId="0" borderId="0">
      <alignment vertical="center"/>
    </xf>
    <xf numFmtId="0" fontId="11" fillId="0" borderId="0" applyAlignment="0"/>
    <xf numFmtId="213" fontId="2" fillId="0" borderId="0">
      <alignment vertical="center"/>
    </xf>
    <xf numFmtId="0" fontId="67" fillId="0" borderId="0">
      <alignment vertical="center"/>
    </xf>
  </cellStyleXfs>
  <cellXfs count="490">
    <xf numFmtId="0" fontId="0" fillId="0" borderId="0" xfId="0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179" fontId="9" fillId="0" borderId="4" xfId="0" applyNumberFormat="1" applyFont="1" applyFill="1" applyBorder="1" applyAlignment="1">
      <alignment horizontal="center" vertical="center" wrapText="1"/>
    </xf>
    <xf numFmtId="179" fontId="9" fillId="0" borderId="1" xfId="0" applyNumberFormat="1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176" fontId="55" fillId="0" borderId="1" xfId="0" applyNumberFormat="1" applyFont="1" applyFill="1" applyBorder="1" applyAlignment="1">
      <alignment horizontal="center" vertical="center" wrapText="1"/>
    </xf>
    <xf numFmtId="184" fontId="55" fillId="0" borderId="1" xfId="0" applyNumberFormat="1" applyFont="1" applyFill="1" applyBorder="1" applyAlignment="1">
      <alignment horizontal="center" vertical="center" wrapText="1"/>
    </xf>
    <xf numFmtId="183" fontId="55" fillId="3" borderId="1" xfId="0" applyNumberFormat="1" applyFont="1" applyFill="1" applyBorder="1" applyAlignment="1">
      <alignment horizontal="center" vertical="center" wrapText="1"/>
    </xf>
    <xf numFmtId="177" fontId="55" fillId="0" borderId="1" xfId="0" applyNumberFormat="1" applyFont="1" applyFill="1" applyBorder="1" applyAlignment="1">
      <alignment horizontal="center" vertical="center" wrapText="1"/>
    </xf>
    <xf numFmtId="183" fontId="56" fillId="3" borderId="1" xfId="0" applyNumberFormat="1" applyFont="1" applyFill="1" applyBorder="1" applyAlignment="1">
      <alignment horizontal="center" vertical="center" wrapText="1"/>
    </xf>
    <xf numFmtId="178" fontId="55" fillId="0" borderId="1" xfId="0" applyNumberFormat="1" applyFont="1" applyFill="1" applyBorder="1" applyAlignment="1">
      <alignment horizontal="center" vertical="center" wrapText="1"/>
    </xf>
    <xf numFmtId="180" fontId="55" fillId="0" borderId="1" xfId="0" applyNumberFormat="1" applyFont="1" applyFill="1" applyBorder="1" applyAlignment="1">
      <alignment horizontal="center" vertical="center" wrapText="1"/>
    </xf>
    <xf numFmtId="181" fontId="55" fillId="0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0" fillId="0" borderId="0" xfId="0">
      <alignment vertical="center"/>
    </xf>
    <xf numFmtId="183" fontId="9" fillId="9" borderId="1" xfId="0" applyNumberFormat="1" applyFont="1" applyFill="1" applyBorder="1" applyAlignment="1">
      <alignment horizontal="center" vertical="center" wrapText="1"/>
    </xf>
    <xf numFmtId="179" fontId="55" fillId="3" borderId="1" xfId="0" applyNumberFormat="1" applyFont="1" applyFill="1" applyBorder="1" applyAlignment="1">
      <alignment horizontal="center" vertical="center" wrapText="1"/>
    </xf>
    <xf numFmtId="179" fontId="9" fillId="12" borderId="1" xfId="0" applyNumberFormat="1" applyFont="1" applyFill="1" applyBorder="1" applyAlignment="1">
      <alignment horizontal="center" vertical="center" wrapText="1"/>
    </xf>
    <xf numFmtId="183" fontId="9" fillId="8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181" fontId="56" fillId="0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211" fontId="12" fillId="2" borderId="1" xfId="1" applyNumberFormat="1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182" fontId="0" fillId="0" borderId="1" xfId="0" applyNumberFormat="1" applyFont="1" applyBorder="1" applyAlignment="1">
      <alignment horizontal="center" vertical="center"/>
    </xf>
    <xf numFmtId="211" fontId="12" fillId="2" borderId="1" xfId="1" applyNumberFormat="1" applyFont="1" applyFill="1" applyBorder="1" applyAlignment="1">
      <alignment horizontal="center" vertical="center"/>
    </xf>
    <xf numFmtId="212" fontId="12" fillId="0" borderId="1" xfId="0" applyNumberFormat="1" applyFont="1" applyFill="1" applyBorder="1" applyAlignment="1">
      <alignment horizontal="center" vertical="center"/>
    </xf>
    <xf numFmtId="182" fontId="0" fillId="0" borderId="1" xfId="0" applyNumberFormat="1" applyFont="1" applyBorder="1" applyAlignment="1">
      <alignment horizontal="center" vertical="center"/>
    </xf>
    <xf numFmtId="214" fontId="55" fillId="0" borderId="1" xfId="0" applyNumberFormat="1" applyFont="1" applyFill="1" applyBorder="1" applyAlignment="1">
      <alignment horizontal="center" vertical="center" wrapText="1"/>
    </xf>
    <xf numFmtId="182" fontId="0" fillId="0" borderId="4" xfId="0" applyNumberFormat="1" applyFont="1" applyBorder="1" applyAlignment="1">
      <alignment horizontal="center" vertical="center"/>
    </xf>
    <xf numFmtId="182" fontId="61" fillId="0" borderId="1" xfId="0" applyNumberFormat="1" applyFont="1" applyBorder="1" applyAlignment="1">
      <alignment horizontal="center" vertical="center"/>
    </xf>
    <xf numFmtId="215" fontId="0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7" fontId="55" fillId="0" borderId="4" xfId="0" applyNumberFormat="1" applyFont="1" applyFill="1" applyBorder="1" applyAlignment="1">
      <alignment horizontal="center" vertical="center" wrapText="1"/>
    </xf>
    <xf numFmtId="183" fontId="55" fillId="3" borderId="4" xfId="0" applyNumberFormat="1" applyFont="1" applyFill="1" applyBorder="1" applyAlignment="1">
      <alignment horizontal="center" vertical="center" wrapText="1"/>
    </xf>
    <xf numFmtId="184" fontId="55" fillId="0" borderId="4" xfId="0" applyNumberFormat="1" applyFont="1" applyFill="1" applyBorder="1" applyAlignment="1">
      <alignment horizontal="center" vertical="center" wrapText="1"/>
    </xf>
    <xf numFmtId="176" fontId="55" fillId="0" borderId="4" xfId="0" applyNumberFormat="1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179" fontId="9" fillId="0" borderId="19" xfId="0" applyNumberFormat="1" applyFont="1" applyFill="1" applyBorder="1" applyAlignment="1">
      <alignment horizontal="center" vertical="center" wrapText="1"/>
    </xf>
    <xf numFmtId="179" fontId="9" fillId="12" borderId="19" xfId="0" applyNumberFormat="1" applyFont="1" applyFill="1" applyBorder="1" applyAlignment="1">
      <alignment horizontal="center" vertical="center" wrapText="1"/>
    </xf>
    <xf numFmtId="0" fontId="57" fillId="10" borderId="4" xfId="146" applyFont="1" applyFill="1" applyBorder="1" applyAlignment="1">
      <alignment horizontal="center" vertical="center" wrapText="1"/>
    </xf>
    <xf numFmtId="182" fontId="61" fillId="0" borderId="19" xfId="0" applyNumberFormat="1" applyFont="1" applyBorder="1" applyAlignment="1">
      <alignment horizontal="center" vertical="center"/>
    </xf>
    <xf numFmtId="180" fontId="55" fillId="0" borderId="19" xfId="0" applyNumberFormat="1" applyFont="1" applyFill="1" applyBorder="1" applyAlignment="1">
      <alignment horizontal="center" vertical="center" wrapText="1"/>
    </xf>
    <xf numFmtId="181" fontId="56" fillId="0" borderId="19" xfId="0" applyNumberFormat="1" applyFont="1" applyFill="1" applyBorder="1" applyAlignment="1">
      <alignment horizontal="center" vertical="center" wrapText="1"/>
    </xf>
    <xf numFmtId="178" fontId="55" fillId="0" borderId="19" xfId="0" applyNumberFormat="1" applyFont="1" applyFill="1" applyBorder="1" applyAlignment="1">
      <alignment horizontal="center" vertical="center" wrapText="1"/>
    </xf>
    <xf numFmtId="183" fontId="9" fillId="9" borderId="19" xfId="0" applyNumberFormat="1" applyFont="1" applyFill="1" applyBorder="1" applyAlignment="1">
      <alignment horizontal="center" vertical="center" wrapText="1"/>
    </xf>
    <xf numFmtId="176" fontId="55" fillId="0" borderId="19" xfId="0" applyNumberFormat="1" applyFont="1" applyFill="1" applyBorder="1" applyAlignment="1">
      <alignment horizontal="center" vertical="center" wrapText="1"/>
    </xf>
    <xf numFmtId="179" fontId="55" fillId="3" borderId="19" xfId="0" applyNumberFormat="1" applyFont="1" applyFill="1" applyBorder="1" applyAlignment="1">
      <alignment horizontal="center" vertical="center" wrapText="1"/>
    </xf>
    <xf numFmtId="183" fontId="56" fillId="3" borderId="19" xfId="0" applyNumberFormat="1" applyFont="1" applyFill="1" applyBorder="1" applyAlignment="1">
      <alignment horizontal="center" vertical="center" wrapText="1"/>
    </xf>
    <xf numFmtId="177" fontId="55" fillId="0" borderId="19" xfId="0" applyNumberFormat="1" applyFont="1" applyFill="1" applyBorder="1" applyAlignment="1">
      <alignment horizontal="center" vertical="center" wrapText="1"/>
    </xf>
    <xf numFmtId="181" fontId="55" fillId="0" borderId="19" xfId="0" applyNumberFormat="1" applyFont="1" applyFill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/>
    </xf>
    <xf numFmtId="217" fontId="0" fillId="0" borderId="1" xfId="0" applyNumberFormat="1" applyFont="1" applyBorder="1" applyAlignment="1">
      <alignment horizontal="center" vertical="center"/>
    </xf>
    <xf numFmtId="216" fontId="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212" fontId="60" fillId="0" borderId="1" xfId="0" applyNumberFormat="1" applyFont="1" applyBorder="1" applyAlignment="1">
      <alignment horizontal="right" vertical="center" shrinkToFit="1"/>
    </xf>
    <xf numFmtId="215" fontId="0" fillId="0" borderId="1" xfId="0" applyNumberFormat="1" applyFont="1" applyBorder="1" applyAlignment="1">
      <alignment horizontal="right" vertical="center"/>
    </xf>
    <xf numFmtId="182" fontId="0" fillId="0" borderId="1" xfId="0" applyNumberFormat="1" applyFont="1" applyBorder="1" applyAlignment="1">
      <alignment horizontal="right" vertical="center"/>
    </xf>
    <xf numFmtId="218" fontId="0" fillId="0" borderId="4" xfId="0" applyNumberFormat="1" applyFont="1" applyBorder="1" applyAlignment="1">
      <alignment horizontal="center" vertical="center"/>
    </xf>
    <xf numFmtId="0" fontId="0" fillId="0" borderId="0" xfId="0">
      <alignment vertical="center"/>
    </xf>
    <xf numFmtId="179" fontId="9" fillId="12" borderId="4" xfId="0" applyNumberFormat="1" applyFont="1" applyFill="1" applyBorder="1" applyAlignment="1">
      <alignment horizontal="center" vertical="center" wrapText="1"/>
    </xf>
    <xf numFmtId="181" fontId="55" fillId="0" borderId="4" xfId="0" applyNumberFormat="1" applyFont="1" applyFill="1" applyBorder="1" applyAlignment="1">
      <alignment horizontal="center" vertical="center" wrapText="1"/>
    </xf>
    <xf numFmtId="182" fontId="61" fillId="0" borderId="4" xfId="0" applyNumberFormat="1" applyFont="1" applyBorder="1" applyAlignment="1">
      <alignment horizontal="center" vertical="center"/>
    </xf>
    <xf numFmtId="183" fontId="9" fillId="8" borderId="4" xfId="0" applyNumberFormat="1" applyFont="1" applyFill="1" applyBorder="1" applyAlignment="1">
      <alignment horizontal="center" vertical="center" wrapText="1"/>
    </xf>
    <xf numFmtId="180" fontId="55" fillId="0" borderId="4" xfId="0" applyNumberFormat="1" applyFont="1" applyFill="1" applyBorder="1" applyAlignment="1">
      <alignment horizontal="center" vertical="center" wrapText="1"/>
    </xf>
    <xf numFmtId="178" fontId="55" fillId="0" borderId="4" xfId="0" applyNumberFormat="1" applyFont="1" applyFill="1" applyBorder="1" applyAlignment="1">
      <alignment horizontal="center" vertical="center" wrapText="1"/>
    </xf>
    <xf numFmtId="183" fontId="9" fillId="9" borderId="4" xfId="0" applyNumberFormat="1" applyFont="1" applyFill="1" applyBorder="1" applyAlignment="1">
      <alignment horizontal="center" vertical="center" wrapText="1"/>
    </xf>
    <xf numFmtId="183" fontId="56" fillId="3" borderId="4" xfId="0" applyNumberFormat="1" applyFont="1" applyFill="1" applyBorder="1" applyAlignment="1">
      <alignment horizontal="center" vertical="center" wrapText="1"/>
    </xf>
    <xf numFmtId="181" fontId="56" fillId="0" borderId="4" xfId="0" applyNumberFormat="1" applyFont="1" applyFill="1" applyBorder="1" applyAlignment="1">
      <alignment horizontal="center" vertical="center" wrapText="1"/>
    </xf>
    <xf numFmtId="179" fontId="55" fillId="3" borderId="4" xfId="0" applyNumberFormat="1" applyFont="1" applyFill="1" applyBorder="1" applyAlignment="1">
      <alignment horizontal="center" vertical="center" wrapText="1"/>
    </xf>
    <xf numFmtId="182" fontId="0" fillId="0" borderId="19" xfId="0" applyNumberFormat="1" applyFont="1" applyBorder="1" applyAlignment="1">
      <alignment horizontal="right" vertical="center"/>
    </xf>
    <xf numFmtId="183" fontId="9" fillId="8" borderId="19" xfId="0" applyNumberFormat="1" applyFont="1" applyFill="1" applyBorder="1" applyAlignment="1">
      <alignment horizontal="center" vertical="center" wrapText="1"/>
    </xf>
    <xf numFmtId="184" fontId="55" fillId="0" borderId="19" xfId="0" applyNumberFormat="1" applyFont="1" applyFill="1" applyBorder="1" applyAlignment="1">
      <alignment horizontal="center" vertical="center" wrapText="1"/>
    </xf>
    <xf numFmtId="183" fontId="55" fillId="3" borderId="19" xfId="0" applyNumberFormat="1" applyFont="1" applyFill="1" applyBorder="1" applyAlignment="1">
      <alignment horizontal="center" vertical="center" wrapText="1"/>
    </xf>
    <xf numFmtId="211" fontId="12" fillId="11" borderId="4" xfId="1" applyNumberFormat="1" applyFont="1" applyFill="1" applyBorder="1" applyAlignment="1">
      <alignment horizontal="right" vertical="center"/>
    </xf>
    <xf numFmtId="218" fontId="0" fillId="0" borderId="1" xfId="0" applyNumberFormat="1" applyFont="1" applyBorder="1" applyAlignment="1">
      <alignment horizontal="center" vertical="center"/>
    </xf>
    <xf numFmtId="218" fontId="0" fillId="0" borderId="1" xfId="0" applyNumberFormat="1" applyFont="1" applyBorder="1" applyAlignment="1">
      <alignment horizontal="center" vertical="center"/>
    </xf>
    <xf numFmtId="218" fontId="0" fillId="0" borderId="4" xfId="0" applyNumberFormat="1" applyFont="1" applyBorder="1" applyAlignment="1">
      <alignment horizontal="center" vertical="center"/>
    </xf>
    <xf numFmtId="0" fontId="53" fillId="0" borderId="0" xfId="0" applyFont="1">
      <alignment vertical="center"/>
    </xf>
    <xf numFmtId="0" fontId="53" fillId="0" borderId="0" xfId="0" applyFont="1" applyAlignment="1">
      <alignment horizontal="center" vertical="center"/>
    </xf>
    <xf numFmtId="182" fontId="0" fillId="0" borderId="1" xfId="0" applyNumberFormat="1" applyFont="1" applyBorder="1" applyAlignment="1">
      <alignment horizontal="center" vertical="center"/>
    </xf>
    <xf numFmtId="182" fontId="0" fillId="0" borderId="19" xfId="0" applyNumberFormat="1" applyFont="1" applyBorder="1" applyAlignment="1">
      <alignment horizontal="center" vertical="center"/>
    </xf>
    <xf numFmtId="0" fontId="0" fillId="0" borderId="0" xfId="0">
      <alignment vertical="center"/>
    </xf>
    <xf numFmtId="0" fontId="53" fillId="7" borderId="1" xfId="0" applyFont="1" applyFill="1" applyBorder="1" applyAlignment="1">
      <alignment horizontal="center" vertical="center"/>
    </xf>
    <xf numFmtId="179" fontId="62" fillId="2" borderId="19" xfId="0" applyNumberFormat="1" applyFont="1" applyFill="1" applyBorder="1" applyAlignment="1">
      <alignment horizontal="center" vertical="center" wrapText="1"/>
    </xf>
    <xf numFmtId="179" fontId="62" fillId="2" borderId="1" xfId="0" applyNumberFormat="1" applyFont="1" applyFill="1" applyBorder="1" applyAlignment="1">
      <alignment horizontal="center" vertical="center" wrapText="1"/>
    </xf>
    <xf numFmtId="211" fontId="12" fillId="11" borderId="1" xfId="1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0" fontId="65" fillId="0" borderId="0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58" fillId="14" borderId="0" xfId="0" applyFont="1" applyFill="1" applyBorder="1" applyAlignment="1">
      <alignment horizontal="center" vertical="center"/>
    </xf>
    <xf numFmtId="214" fontId="58" fillId="14" borderId="0" xfId="0" applyNumberFormat="1" applyFont="1" applyFill="1" applyBorder="1" applyAlignment="1">
      <alignment horizontal="center" vertical="center" wrapText="1"/>
    </xf>
    <xf numFmtId="212" fontId="12" fillId="14" borderId="0" xfId="0" applyNumberFormat="1" applyFont="1" applyFill="1" applyBorder="1" applyAlignment="1">
      <alignment horizontal="center" vertical="center"/>
    </xf>
    <xf numFmtId="182" fontId="53" fillId="14" borderId="0" xfId="0" applyNumberFormat="1" applyFont="1" applyFill="1" applyBorder="1" applyAlignment="1">
      <alignment horizontal="right" vertical="center"/>
    </xf>
    <xf numFmtId="182" fontId="53" fillId="14" borderId="0" xfId="0" applyNumberFormat="1" applyFont="1" applyFill="1" applyBorder="1" applyAlignment="1">
      <alignment horizontal="center" vertical="center"/>
    </xf>
    <xf numFmtId="218" fontId="53" fillId="14" borderId="0" xfId="0" applyNumberFormat="1" applyFont="1" applyFill="1" applyBorder="1" applyAlignment="1">
      <alignment horizontal="center" vertical="center"/>
    </xf>
    <xf numFmtId="179" fontId="62" fillId="14" borderId="0" xfId="0" applyNumberFormat="1" applyFont="1" applyFill="1" applyBorder="1" applyAlignment="1">
      <alignment horizontal="center" vertical="center" wrapText="1"/>
    </xf>
    <xf numFmtId="211" fontId="12" fillId="14" borderId="0" xfId="1" applyNumberFormat="1" applyFont="1" applyFill="1" applyBorder="1" applyAlignment="1">
      <alignment horizontal="center" vertical="center"/>
    </xf>
    <xf numFmtId="176" fontId="62" fillId="14" borderId="0" xfId="0" applyNumberFormat="1" applyFont="1" applyFill="1" applyBorder="1" applyAlignment="1">
      <alignment horizontal="center" vertical="center" wrapText="1"/>
    </xf>
    <xf numFmtId="184" fontId="62" fillId="14" borderId="0" xfId="0" applyNumberFormat="1" applyFont="1" applyFill="1" applyBorder="1" applyAlignment="1">
      <alignment horizontal="center" vertical="center" wrapText="1"/>
    </xf>
    <xf numFmtId="183" fontId="62" fillId="14" borderId="0" xfId="0" applyNumberFormat="1" applyFont="1" applyFill="1" applyBorder="1" applyAlignment="1">
      <alignment horizontal="center" vertical="center" wrapText="1"/>
    </xf>
    <xf numFmtId="177" fontId="62" fillId="14" borderId="0" xfId="0" applyNumberFormat="1" applyFont="1" applyFill="1" applyBorder="1" applyAlignment="1">
      <alignment horizontal="center" vertical="center" wrapText="1"/>
    </xf>
    <xf numFmtId="211" fontId="12" fillId="14" borderId="0" xfId="1" applyNumberFormat="1" applyFont="1" applyFill="1" applyBorder="1" applyAlignment="1">
      <alignment horizontal="right" vertical="center"/>
    </xf>
    <xf numFmtId="181" fontId="3" fillId="14" borderId="0" xfId="0" applyNumberFormat="1" applyFont="1" applyFill="1" applyBorder="1" applyAlignment="1">
      <alignment horizontal="center" vertical="center" wrapText="1"/>
    </xf>
    <xf numFmtId="183" fontId="3" fillId="14" borderId="0" xfId="0" applyNumberFormat="1" applyFont="1" applyFill="1" applyBorder="1" applyAlignment="1">
      <alignment horizontal="center" vertical="center" wrapText="1"/>
    </xf>
    <xf numFmtId="183" fontId="63" fillId="14" borderId="0" xfId="0" applyNumberFormat="1" applyFont="1" applyFill="1" applyBorder="1" applyAlignment="1">
      <alignment horizontal="center" vertical="center" wrapText="1"/>
    </xf>
    <xf numFmtId="178" fontId="62" fillId="14" borderId="0" xfId="0" applyNumberFormat="1" applyFont="1" applyFill="1" applyBorder="1" applyAlignment="1">
      <alignment horizontal="center" vertical="center" wrapText="1"/>
    </xf>
    <xf numFmtId="180" fontId="62" fillId="14" borderId="0" xfId="0" applyNumberFormat="1" applyFont="1" applyFill="1" applyBorder="1" applyAlignment="1">
      <alignment horizontal="center" vertical="center" wrapText="1"/>
    </xf>
    <xf numFmtId="182" fontId="12" fillId="14" borderId="0" xfId="0" applyNumberFormat="1" applyFont="1" applyFill="1" applyBorder="1" applyAlignment="1">
      <alignment horizontal="center" vertical="center"/>
    </xf>
    <xf numFmtId="181" fontId="62" fillId="14" borderId="0" xfId="0" applyNumberFormat="1" applyFont="1" applyFill="1" applyBorder="1" applyAlignment="1">
      <alignment horizontal="center" vertical="center" wrapText="1"/>
    </xf>
    <xf numFmtId="179" fontId="63" fillId="14" borderId="0" xfId="0" applyNumberFormat="1" applyFont="1" applyFill="1" applyBorder="1" applyAlignment="1">
      <alignment horizontal="center" vertical="center" wrapText="1"/>
    </xf>
    <xf numFmtId="179" fontId="63" fillId="14" borderId="7" xfId="0" applyNumberFormat="1" applyFont="1" applyFill="1" applyBorder="1" applyAlignment="1">
      <alignment horizontal="center" vertical="center" wrapText="1"/>
    </xf>
    <xf numFmtId="211" fontId="12" fillId="0" borderId="1" xfId="1" applyNumberFormat="1" applyFont="1" applyFill="1" applyBorder="1" applyAlignment="1">
      <alignment horizontal="center" vertical="center"/>
    </xf>
    <xf numFmtId="211" fontId="59" fillId="0" borderId="1" xfId="1" applyNumberFormat="1" applyFont="1" applyFill="1" applyBorder="1" applyAlignment="1">
      <alignment horizontal="center" vertical="center"/>
    </xf>
    <xf numFmtId="211" fontId="12" fillId="18" borderId="4" xfId="1" applyNumberFormat="1" applyFont="1" applyFill="1" applyBorder="1" applyAlignment="1">
      <alignment horizontal="right" vertical="center"/>
    </xf>
    <xf numFmtId="211" fontId="12" fillId="0" borderId="4" xfId="1" applyNumberFormat="1" applyFont="1" applyFill="1" applyBorder="1" applyAlignment="1">
      <alignment horizontal="center" vertical="center"/>
    </xf>
    <xf numFmtId="179" fontId="62" fillId="10" borderId="4" xfId="0" applyNumberFormat="1" applyFont="1" applyFill="1" applyBorder="1" applyAlignment="1">
      <alignment horizontal="center" vertical="center" wrapText="1"/>
    </xf>
    <xf numFmtId="182" fontId="0" fillId="10" borderId="4" xfId="0" applyNumberFormat="1" applyFont="1" applyFill="1" applyBorder="1" applyAlignment="1">
      <alignment horizontal="center" vertical="center"/>
    </xf>
    <xf numFmtId="211" fontId="12" fillId="18" borderId="4" xfId="1" applyNumberFormat="1" applyFont="1" applyFill="1" applyBorder="1" applyAlignment="1">
      <alignment horizontal="center" vertical="center"/>
    </xf>
    <xf numFmtId="212" fontId="12" fillId="10" borderId="4" xfId="0" applyNumberFormat="1" applyFont="1" applyFill="1" applyBorder="1" applyAlignment="1">
      <alignment horizontal="center" vertical="center"/>
    </xf>
    <xf numFmtId="221" fontId="12" fillId="2" borderId="19" xfId="0" applyNumberFormat="1" applyFont="1" applyFill="1" applyBorder="1" applyAlignment="1">
      <alignment horizontal="right" vertical="center"/>
    </xf>
    <xf numFmtId="0" fontId="57" fillId="0" borderId="19" xfId="146" applyFont="1" applyFill="1" applyBorder="1" applyAlignment="1">
      <alignment horizontal="center" vertical="center" wrapText="1"/>
    </xf>
    <xf numFmtId="182" fontId="0" fillId="0" borderId="4" xfId="0" applyNumberFormat="1" applyFont="1" applyBorder="1" applyAlignment="1">
      <alignment horizontal="center" vertical="center"/>
    </xf>
    <xf numFmtId="0" fontId="0" fillId="10" borderId="4" xfId="0" applyFont="1" applyFill="1" applyBorder="1" applyAlignment="1">
      <alignment horizontal="center" vertical="center"/>
    </xf>
    <xf numFmtId="182" fontId="0" fillId="10" borderId="4" xfId="0" applyNumberFormat="1" applyFont="1" applyFill="1" applyBorder="1" applyAlignment="1">
      <alignment horizontal="right" vertical="center"/>
    </xf>
    <xf numFmtId="221" fontId="12" fillId="2" borderId="1" xfId="0" applyNumberFormat="1" applyFont="1" applyFill="1" applyBorder="1" applyAlignment="1">
      <alignment horizontal="right" vertical="center"/>
    </xf>
    <xf numFmtId="221" fontId="12" fillId="2" borderId="1" xfId="0" applyNumberFormat="1" applyFont="1" applyFill="1" applyBorder="1" applyAlignment="1">
      <alignment horizontal="right" vertical="center"/>
    </xf>
    <xf numFmtId="221" fontId="12" fillId="2" borderId="1" xfId="0" applyNumberFormat="1" applyFont="1" applyFill="1" applyBorder="1" applyAlignment="1">
      <alignment horizontal="right" vertical="center"/>
    </xf>
    <xf numFmtId="221" fontId="12" fillId="2" borderId="1" xfId="0" applyNumberFormat="1" applyFont="1" applyFill="1" applyBorder="1" applyAlignment="1">
      <alignment horizontal="right" vertical="center"/>
    </xf>
    <xf numFmtId="221" fontId="12" fillId="2" borderId="1" xfId="0" applyNumberFormat="1" applyFont="1" applyFill="1" applyBorder="1" applyAlignment="1">
      <alignment horizontal="right" vertical="center"/>
    </xf>
    <xf numFmtId="212" fontId="53" fillId="0" borderId="20" xfId="0" applyNumberFormat="1" applyFont="1" applyBorder="1" applyAlignment="1">
      <alignment horizontal="right" vertical="center" shrinkToFit="1"/>
    </xf>
    <xf numFmtId="212" fontId="66" fillId="0" borderId="1" xfId="0" applyNumberFormat="1" applyFont="1" applyBorder="1" applyAlignment="1">
      <alignment horizontal="right" vertical="center" shrinkToFit="1"/>
    </xf>
    <xf numFmtId="212" fontId="66" fillId="0" borderId="19" xfId="0" applyNumberFormat="1" applyFont="1" applyBorder="1" applyAlignment="1">
      <alignment horizontal="right" vertical="center" shrinkToFit="1"/>
    </xf>
    <xf numFmtId="212" fontId="66" fillId="0" borderId="22" xfId="0" applyNumberFormat="1" applyFont="1" applyBorder="1" applyAlignment="1">
      <alignment horizontal="right" vertical="center" shrinkToFit="1"/>
    </xf>
    <xf numFmtId="0" fontId="57" fillId="0" borderId="1" xfId="146" applyFont="1" applyFill="1" applyBorder="1" applyAlignment="1">
      <alignment horizontal="center" vertical="center" wrapText="1"/>
    </xf>
    <xf numFmtId="221" fontId="12" fillId="2" borderId="1" xfId="4" applyNumberFormat="1" applyFont="1" applyFill="1" applyBorder="1" applyAlignment="1">
      <alignment horizontal="right" vertical="center"/>
    </xf>
    <xf numFmtId="221" fontId="12" fillId="2" borderId="19" xfId="4" applyNumberFormat="1" applyFont="1" applyFill="1" applyBorder="1" applyAlignment="1">
      <alignment horizontal="right" vertical="center"/>
    </xf>
    <xf numFmtId="221" fontId="12" fillId="2" borderId="1" xfId="0" applyNumberFormat="1" applyFont="1" applyFill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177" fontId="55" fillId="0" borderId="23" xfId="0" applyNumberFormat="1" applyFont="1" applyFill="1" applyBorder="1" applyAlignment="1">
      <alignment horizontal="center" vertical="center" wrapText="1"/>
    </xf>
    <xf numFmtId="0" fontId="12" fillId="17" borderId="20" xfId="0" applyFont="1" applyFill="1" applyBorder="1" applyAlignment="1">
      <alignment horizontal="center" vertical="center"/>
    </xf>
    <xf numFmtId="178" fontId="55" fillId="0" borderId="23" xfId="0" applyNumberFormat="1" applyFont="1" applyFill="1" applyBorder="1" applyAlignment="1">
      <alignment horizontal="center" vertical="center" wrapText="1"/>
    </xf>
    <xf numFmtId="211" fontId="12" fillId="0" borderId="23" xfId="1" applyNumberFormat="1" applyFont="1" applyFill="1" applyBorder="1" applyAlignment="1">
      <alignment horizontal="center" vertical="center"/>
    </xf>
    <xf numFmtId="183" fontId="9" fillId="9" borderId="23" xfId="0" applyNumberFormat="1" applyFont="1" applyFill="1" applyBorder="1" applyAlignment="1">
      <alignment horizontal="center" vertical="center" wrapText="1"/>
    </xf>
    <xf numFmtId="183" fontId="55" fillId="3" borderId="23" xfId="0" applyNumberFormat="1" applyFont="1" applyFill="1" applyBorder="1" applyAlignment="1">
      <alignment horizontal="center" vertical="center" wrapText="1"/>
    </xf>
    <xf numFmtId="183" fontId="56" fillId="3" borderId="23" xfId="0" applyNumberFormat="1" applyFont="1" applyFill="1" applyBorder="1" applyAlignment="1">
      <alignment horizontal="center" vertical="center" wrapText="1"/>
    </xf>
    <xf numFmtId="179" fontId="0" fillId="0" borderId="0" xfId="0" applyNumberFormat="1" applyFont="1">
      <alignment vertical="center"/>
    </xf>
    <xf numFmtId="214" fontId="0" fillId="0" borderId="0" xfId="0" applyNumberFormat="1" applyFont="1">
      <alignment vertical="center"/>
    </xf>
    <xf numFmtId="0" fontId="57" fillId="10" borderId="20" xfId="146" applyFont="1" applyFill="1" applyBorder="1" applyAlignment="1">
      <alignment horizontal="center" vertical="center" wrapText="1"/>
    </xf>
    <xf numFmtId="222" fontId="57" fillId="0" borderId="20" xfId="0" applyNumberFormat="1" applyFont="1" applyBorder="1" applyAlignment="1">
      <alignment horizontal="center" vertical="center"/>
    </xf>
    <xf numFmtId="182" fontId="0" fillId="10" borderId="23" xfId="0" applyNumberFormat="1" applyFont="1" applyFill="1" applyBorder="1" applyAlignment="1">
      <alignment horizontal="right" vertical="center"/>
    </xf>
    <xf numFmtId="184" fontId="55" fillId="0" borderId="23" xfId="0" applyNumberFormat="1" applyFont="1" applyFill="1" applyBorder="1" applyAlignment="1">
      <alignment horizontal="center" vertical="center" wrapText="1"/>
    </xf>
    <xf numFmtId="182" fontId="0" fillId="0" borderId="19" xfId="0" applyNumberFormat="1" applyFont="1" applyBorder="1" applyAlignment="1">
      <alignment horizontal="center" vertical="center"/>
    </xf>
    <xf numFmtId="179" fontId="9" fillId="0" borderId="20" xfId="0" applyNumberFormat="1" applyFont="1" applyFill="1" applyBorder="1" applyAlignment="1">
      <alignment horizontal="center" vertical="center" wrapText="1"/>
    </xf>
    <xf numFmtId="179" fontId="9" fillId="12" borderId="20" xfId="0" applyNumberFormat="1" applyFont="1" applyFill="1" applyBorder="1" applyAlignment="1">
      <alignment horizontal="center" vertical="center" wrapText="1"/>
    </xf>
    <xf numFmtId="181" fontId="55" fillId="0" borderId="20" xfId="0" applyNumberFormat="1" applyFont="1" applyFill="1" applyBorder="1" applyAlignment="1">
      <alignment horizontal="center" vertical="center" wrapText="1"/>
    </xf>
    <xf numFmtId="182" fontId="61" fillId="0" borderId="20" xfId="0" applyNumberFormat="1" applyFont="1" applyBorder="1" applyAlignment="1">
      <alignment horizontal="center" vertical="center"/>
    </xf>
    <xf numFmtId="183" fontId="9" fillId="8" borderId="20" xfId="0" applyNumberFormat="1" applyFont="1" applyFill="1" applyBorder="1" applyAlignment="1">
      <alignment horizontal="center" vertical="center" wrapText="1"/>
    </xf>
    <xf numFmtId="180" fontId="55" fillId="0" borderId="20" xfId="0" applyNumberFormat="1" applyFont="1" applyFill="1" applyBorder="1" applyAlignment="1">
      <alignment horizontal="center" vertical="center" wrapText="1"/>
    </xf>
    <xf numFmtId="181" fontId="56" fillId="0" borderId="20" xfId="0" applyNumberFormat="1" applyFont="1" applyFill="1" applyBorder="1" applyAlignment="1">
      <alignment horizontal="center" vertical="center" wrapText="1"/>
    </xf>
    <xf numFmtId="178" fontId="55" fillId="0" borderId="20" xfId="0" applyNumberFormat="1" applyFont="1" applyFill="1" applyBorder="1" applyAlignment="1">
      <alignment horizontal="center" vertical="center" wrapText="1"/>
    </xf>
    <xf numFmtId="183" fontId="9" fillId="9" borderId="20" xfId="0" applyNumberFormat="1" applyFont="1" applyFill="1" applyBorder="1" applyAlignment="1">
      <alignment horizontal="center" vertical="center" wrapText="1"/>
    </xf>
    <xf numFmtId="183" fontId="56" fillId="3" borderId="20" xfId="0" applyNumberFormat="1" applyFont="1" applyFill="1" applyBorder="1" applyAlignment="1">
      <alignment horizontal="center" vertical="center" wrapText="1"/>
    </xf>
    <xf numFmtId="177" fontId="55" fillId="0" borderId="20" xfId="0" applyNumberFormat="1" applyFont="1" applyFill="1" applyBorder="1" applyAlignment="1">
      <alignment horizontal="center" vertical="center" wrapText="1"/>
    </xf>
    <xf numFmtId="183" fontId="55" fillId="3" borderId="20" xfId="0" applyNumberFormat="1" applyFont="1" applyFill="1" applyBorder="1" applyAlignment="1">
      <alignment horizontal="center" vertical="center" wrapText="1"/>
    </xf>
    <xf numFmtId="184" fontId="55" fillId="0" borderId="20" xfId="0" applyNumberFormat="1" applyFont="1" applyFill="1" applyBorder="1" applyAlignment="1">
      <alignment horizontal="center" vertical="center" wrapText="1"/>
    </xf>
    <xf numFmtId="176" fontId="55" fillId="0" borderId="20" xfId="0" applyNumberFormat="1" applyFont="1" applyFill="1" applyBorder="1" applyAlignment="1">
      <alignment horizontal="center" vertical="center" wrapText="1"/>
    </xf>
    <xf numFmtId="182" fontId="0" fillId="0" borderId="20" xfId="0" applyNumberFormat="1" applyFont="1" applyBorder="1" applyAlignment="1">
      <alignment horizontal="center" vertical="center"/>
    </xf>
    <xf numFmtId="182" fontId="0" fillId="0" borderId="20" xfId="0" applyNumberFormat="1" applyFont="1" applyBorder="1" applyAlignment="1">
      <alignment horizontal="right" vertical="center"/>
    </xf>
    <xf numFmtId="179" fontId="62" fillId="2" borderId="20" xfId="0" applyNumberFormat="1" applyFont="1" applyFill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/>
    </xf>
    <xf numFmtId="182" fontId="0" fillId="0" borderId="1" xfId="0" applyNumberFormat="1" applyFont="1" applyBorder="1" applyAlignment="1">
      <alignment horizontal="center" vertical="center"/>
    </xf>
    <xf numFmtId="0" fontId="12" fillId="17" borderId="4" xfId="0" applyFont="1" applyFill="1" applyBorder="1" applyAlignment="1">
      <alignment horizontal="center" vertical="center"/>
    </xf>
    <xf numFmtId="179" fontId="9" fillId="0" borderId="23" xfId="0" applyNumberFormat="1" applyFont="1" applyFill="1" applyBorder="1" applyAlignment="1">
      <alignment horizontal="center" vertical="center" wrapText="1"/>
    </xf>
    <xf numFmtId="179" fontId="9" fillId="12" borderId="23" xfId="0" applyNumberFormat="1" applyFont="1" applyFill="1" applyBorder="1" applyAlignment="1">
      <alignment horizontal="center" vertical="center" wrapText="1"/>
    </xf>
    <xf numFmtId="181" fontId="55" fillId="0" borderId="23" xfId="0" applyNumberFormat="1" applyFont="1" applyFill="1" applyBorder="1" applyAlignment="1">
      <alignment horizontal="center" vertical="center" wrapText="1"/>
    </xf>
    <xf numFmtId="182" fontId="61" fillId="0" borderId="23" xfId="0" applyNumberFormat="1" applyFont="1" applyBorder="1" applyAlignment="1">
      <alignment horizontal="center" vertical="center"/>
    </xf>
    <xf numFmtId="183" fontId="9" fillId="8" borderId="23" xfId="0" applyNumberFormat="1" applyFont="1" applyFill="1" applyBorder="1" applyAlignment="1">
      <alignment horizontal="center" vertical="center" wrapText="1"/>
    </xf>
    <xf numFmtId="181" fontId="56" fillId="0" borderId="23" xfId="0" applyNumberFormat="1" applyFont="1" applyFill="1" applyBorder="1" applyAlignment="1">
      <alignment horizontal="center" vertical="center" wrapText="1"/>
    </xf>
    <xf numFmtId="179" fontId="62" fillId="10" borderId="23" xfId="0" applyNumberFormat="1" applyFont="1" applyFill="1" applyBorder="1" applyAlignment="1">
      <alignment horizontal="center" vertical="center" wrapText="1"/>
    </xf>
    <xf numFmtId="176" fontId="55" fillId="0" borderId="23" xfId="0" applyNumberFormat="1" applyFont="1" applyFill="1" applyBorder="1" applyAlignment="1">
      <alignment horizontal="center" vertical="center" wrapText="1"/>
    </xf>
    <xf numFmtId="179" fontId="55" fillId="3" borderId="20" xfId="0" applyNumberFormat="1" applyFont="1" applyFill="1" applyBorder="1" applyAlignment="1">
      <alignment horizontal="center" vertical="center" wrapText="1"/>
    </xf>
    <xf numFmtId="180" fontId="55" fillId="0" borderId="23" xfId="0" applyNumberFormat="1" applyFont="1" applyFill="1" applyBorder="1" applyAlignment="1">
      <alignment horizontal="center" vertical="center" wrapText="1"/>
    </xf>
    <xf numFmtId="179" fontId="62" fillId="2" borderId="4" xfId="0" applyNumberFormat="1" applyFont="1" applyFill="1" applyBorder="1" applyAlignment="1">
      <alignment horizontal="center" vertical="center" wrapText="1"/>
    </xf>
    <xf numFmtId="211" fontId="12" fillId="11" borderId="23" xfId="1" applyNumberFormat="1" applyFont="1" applyFill="1" applyBorder="1" applyAlignment="1">
      <alignment horizontal="right" vertical="center"/>
    </xf>
    <xf numFmtId="182" fontId="0" fillId="0" borderId="4" xfId="0" applyNumberFormat="1" applyFont="1" applyBorder="1" applyAlignment="1">
      <alignment horizontal="right" vertical="center"/>
    </xf>
    <xf numFmtId="0" fontId="0" fillId="10" borderId="23" xfId="0" applyFont="1" applyFill="1" applyBorder="1" applyAlignment="1">
      <alignment horizontal="center" vertical="center"/>
    </xf>
    <xf numFmtId="179" fontId="55" fillId="3" borderId="23" xfId="0" applyNumberFormat="1" applyFont="1" applyFill="1" applyBorder="1" applyAlignment="1">
      <alignment horizontal="center" vertical="center" wrapText="1"/>
    </xf>
    <xf numFmtId="212" fontId="66" fillId="0" borderId="20" xfId="0" applyNumberFormat="1" applyFont="1" applyBorder="1" applyAlignment="1">
      <alignment horizontal="right" vertical="center" shrinkToFit="1"/>
    </xf>
    <xf numFmtId="212" fontId="66" fillId="0" borderId="1" xfId="0" applyNumberFormat="1" applyFont="1" applyBorder="1" applyAlignment="1">
      <alignment horizontal="right" vertical="center" shrinkToFit="1"/>
    </xf>
    <xf numFmtId="0" fontId="57" fillId="0" borderId="1" xfId="146" applyFont="1" applyFill="1" applyBorder="1" applyAlignment="1">
      <alignment horizontal="center" vertical="center" wrapText="1"/>
    </xf>
    <xf numFmtId="0" fontId="57" fillId="10" borderId="4" xfId="146" applyFont="1" applyFill="1" applyBorder="1" applyAlignment="1">
      <alignment horizontal="center" vertical="center" wrapText="1"/>
    </xf>
    <xf numFmtId="212" fontId="66" fillId="10" borderId="4" xfId="0" applyNumberFormat="1" applyFont="1" applyFill="1" applyBorder="1" applyAlignment="1">
      <alignment horizontal="right" vertical="center" shrinkToFit="1"/>
    </xf>
    <xf numFmtId="221" fontId="12" fillId="0" borderId="20" xfId="0" applyNumberFormat="1" applyFont="1" applyFill="1" applyBorder="1" applyAlignment="1">
      <alignment horizontal="right" vertical="center"/>
    </xf>
    <xf numFmtId="221" fontId="12" fillId="2" borderId="1" xfId="4" applyNumberFormat="1" applyFont="1" applyFill="1" applyBorder="1" applyAlignment="1">
      <alignment horizontal="right" vertical="center"/>
    </xf>
    <xf numFmtId="221" fontId="12" fillId="2" borderId="4" xfId="4" applyNumberFormat="1" applyFont="1" applyFill="1" applyBorder="1" applyAlignment="1">
      <alignment horizontal="right" vertical="center"/>
    </xf>
    <xf numFmtId="221" fontId="12" fillId="2" borderId="1" xfId="0" applyNumberFormat="1" applyFont="1" applyFill="1" applyBorder="1" applyAlignment="1">
      <alignment horizontal="right" vertical="center"/>
    </xf>
    <xf numFmtId="221" fontId="12" fillId="2" borderId="4" xfId="0" applyNumberFormat="1" applyFont="1" applyFill="1" applyBorder="1" applyAlignment="1">
      <alignment horizontal="right" vertical="center"/>
    </xf>
    <xf numFmtId="221" fontId="12" fillId="2" borderId="20" xfId="4" applyNumberFormat="1" applyFont="1" applyFill="1" applyBorder="1" applyAlignment="1">
      <alignment horizontal="right" vertical="center"/>
    </xf>
    <xf numFmtId="221" fontId="12" fillId="2" borderId="20" xfId="0" applyNumberFormat="1" applyFont="1" applyFill="1" applyBorder="1" applyAlignment="1">
      <alignment horizontal="right" vertical="center"/>
    </xf>
    <xf numFmtId="212" fontId="66" fillId="10" borderId="20" xfId="0" applyNumberFormat="1" applyFont="1" applyFill="1" applyBorder="1" applyAlignment="1">
      <alignment horizontal="right" vertical="center" shrinkToFit="1"/>
    </xf>
    <xf numFmtId="0" fontId="57" fillId="0" borderId="20" xfId="146" applyFont="1" applyFill="1" applyBorder="1" applyAlignment="1">
      <alignment horizontal="center" vertical="center" wrapText="1"/>
    </xf>
    <xf numFmtId="212" fontId="66" fillId="0" borderId="20" xfId="0" applyNumberFormat="1" applyFont="1" applyBorder="1" applyAlignment="1">
      <alignment horizontal="right" vertical="center" shrinkToFit="1"/>
    </xf>
    <xf numFmtId="212" fontId="66" fillId="0" borderId="1" xfId="0" applyNumberFormat="1" applyFont="1" applyBorder="1" applyAlignment="1">
      <alignment horizontal="right" vertical="center" shrinkToFit="1"/>
    </xf>
    <xf numFmtId="212" fontId="66" fillId="0" borderId="4" xfId="0" applyNumberFormat="1" applyFont="1" applyBorder="1" applyAlignment="1">
      <alignment horizontal="right" vertical="center" shrinkToFit="1"/>
    </xf>
    <xf numFmtId="222" fontId="57" fillId="0" borderId="4" xfId="0" applyNumberFormat="1" applyFont="1" applyBorder="1" applyAlignment="1">
      <alignment horizontal="center" vertical="center"/>
    </xf>
    <xf numFmtId="221" fontId="12" fillId="2" borderId="1" xfId="4" applyNumberFormat="1" applyFont="1" applyFill="1" applyBorder="1" applyAlignment="1">
      <alignment horizontal="right" vertical="center"/>
    </xf>
    <xf numFmtId="221" fontId="12" fillId="2" borderId="4" xfId="4" applyNumberFormat="1" applyFont="1" applyFill="1" applyBorder="1" applyAlignment="1">
      <alignment horizontal="right" vertical="center"/>
    </xf>
    <xf numFmtId="221" fontId="12" fillId="2" borderId="4" xfId="0" applyNumberFormat="1" applyFont="1" applyFill="1" applyBorder="1" applyAlignment="1">
      <alignment horizontal="right" vertical="center"/>
    </xf>
    <xf numFmtId="221" fontId="12" fillId="2" borderId="20" xfId="4" applyNumberFormat="1" applyFont="1" applyFill="1" applyBorder="1" applyAlignment="1">
      <alignment horizontal="right" vertical="center"/>
    </xf>
    <xf numFmtId="221" fontId="12" fillId="2" borderId="20" xfId="0" applyNumberFormat="1" applyFont="1" applyFill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0" fillId="16" borderId="4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179" fontId="62" fillId="10" borderId="1" xfId="0" applyNumberFormat="1" applyFont="1" applyFill="1" applyBorder="1" applyAlignment="1">
      <alignment horizontal="center" vertical="center" wrapText="1"/>
    </xf>
    <xf numFmtId="0" fontId="64" fillId="16" borderId="0" xfId="0" applyFont="1" applyFill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182" fontId="0" fillId="10" borderId="1" xfId="0" applyNumberFormat="1" applyFont="1" applyFill="1" applyBorder="1" applyAlignment="1">
      <alignment horizontal="right" vertical="center"/>
    </xf>
    <xf numFmtId="182" fontId="0" fillId="10" borderId="1" xfId="0" applyNumberFormat="1" applyFont="1" applyFill="1" applyBorder="1" applyAlignment="1">
      <alignment horizontal="center" vertical="center"/>
    </xf>
    <xf numFmtId="222" fontId="57" fillId="0" borderId="1" xfId="0" applyNumberFormat="1" applyFont="1" applyBorder="1" applyAlignment="1">
      <alignment horizontal="center" vertical="center"/>
    </xf>
    <xf numFmtId="0" fontId="0" fillId="16" borderId="0" xfId="0" applyFont="1" applyFill="1" applyAlignment="1">
      <alignment horizontal="center" vertical="center"/>
    </xf>
    <xf numFmtId="0" fontId="0" fillId="16" borderId="20" xfId="0" applyFont="1" applyFill="1" applyBorder="1" applyAlignment="1">
      <alignment horizontal="center" vertical="center"/>
    </xf>
    <xf numFmtId="212" fontId="66" fillId="0" borderId="20" xfId="0" applyNumberFormat="1" applyFont="1" applyBorder="1" applyAlignment="1">
      <alignment horizontal="right" vertical="center" shrinkToFit="1"/>
    </xf>
    <xf numFmtId="212" fontId="66" fillId="0" borderId="1" xfId="0" applyNumberFormat="1" applyFont="1" applyBorder="1" applyAlignment="1">
      <alignment horizontal="right" vertical="center" shrinkToFit="1"/>
    </xf>
    <xf numFmtId="212" fontId="66" fillId="0" borderId="4" xfId="0" applyNumberFormat="1" applyFont="1" applyBorder="1" applyAlignment="1">
      <alignment horizontal="right" vertical="center" shrinkToFit="1"/>
    </xf>
    <xf numFmtId="221" fontId="12" fillId="2" borderId="1" xfId="4" applyNumberFormat="1" applyFont="1" applyFill="1" applyBorder="1" applyAlignment="1">
      <alignment horizontal="right" vertical="center"/>
    </xf>
    <xf numFmtId="221" fontId="12" fillId="2" borderId="4" xfId="4" applyNumberFormat="1" applyFont="1" applyFill="1" applyBorder="1" applyAlignment="1">
      <alignment horizontal="right" vertical="center"/>
    </xf>
    <xf numFmtId="221" fontId="12" fillId="2" borderId="1" xfId="0" applyNumberFormat="1" applyFont="1" applyFill="1" applyBorder="1" applyAlignment="1">
      <alignment horizontal="right" vertical="center"/>
    </xf>
    <xf numFmtId="221" fontId="12" fillId="2" borderId="20" xfId="4" applyNumberFormat="1" applyFont="1" applyFill="1" applyBorder="1" applyAlignment="1">
      <alignment horizontal="right" vertical="center"/>
    </xf>
    <xf numFmtId="0" fontId="0" fillId="16" borderId="1" xfId="0" applyFont="1" applyFill="1" applyBorder="1" applyAlignment="1">
      <alignment horizontal="center" vertical="center"/>
    </xf>
    <xf numFmtId="212" fontId="66" fillId="0" borderId="20" xfId="0" applyNumberFormat="1" applyFont="1" applyBorder="1" applyAlignment="1">
      <alignment horizontal="right" vertical="center" shrinkToFit="1"/>
    </xf>
    <xf numFmtId="212" fontId="66" fillId="0" borderId="1" xfId="0" applyNumberFormat="1" applyFont="1" applyBorder="1" applyAlignment="1">
      <alignment horizontal="right" vertical="center" shrinkToFit="1"/>
    </xf>
    <xf numFmtId="0" fontId="57" fillId="0" borderId="1" xfId="146" applyFont="1" applyFill="1" applyBorder="1" applyAlignment="1">
      <alignment horizontal="center" vertical="center" wrapText="1"/>
    </xf>
    <xf numFmtId="0" fontId="57" fillId="10" borderId="1" xfId="146" applyFont="1" applyFill="1" applyBorder="1" applyAlignment="1">
      <alignment horizontal="center" vertical="center" wrapText="1"/>
    </xf>
    <xf numFmtId="212" fontId="66" fillId="10" borderId="1" xfId="0" applyNumberFormat="1" applyFont="1" applyFill="1" applyBorder="1" applyAlignment="1">
      <alignment horizontal="right" vertical="center" shrinkToFit="1"/>
    </xf>
    <xf numFmtId="212" fontId="66" fillId="0" borderId="4" xfId="0" applyNumberFormat="1" applyFont="1" applyBorder="1" applyAlignment="1">
      <alignment horizontal="right" vertical="center" shrinkToFit="1"/>
    </xf>
    <xf numFmtId="222" fontId="57" fillId="0" borderId="4" xfId="0" applyNumberFormat="1" applyFont="1" applyBorder="1" applyAlignment="1">
      <alignment horizontal="center" vertical="center"/>
    </xf>
    <xf numFmtId="221" fontId="12" fillId="2" borderId="1" xfId="4" applyNumberFormat="1" applyFont="1" applyFill="1" applyBorder="1" applyAlignment="1">
      <alignment horizontal="right" vertical="center"/>
    </xf>
    <xf numFmtId="221" fontId="12" fillId="2" borderId="4" xfId="4" applyNumberFormat="1" applyFont="1" applyFill="1" applyBorder="1" applyAlignment="1">
      <alignment horizontal="right" vertical="center"/>
    </xf>
    <xf numFmtId="221" fontId="12" fillId="2" borderId="1" xfId="0" applyNumberFormat="1" applyFont="1" applyFill="1" applyBorder="1" applyAlignment="1">
      <alignment horizontal="right" vertical="center"/>
    </xf>
    <xf numFmtId="221" fontId="12" fillId="2" borderId="20" xfId="4" applyNumberFormat="1" applyFont="1" applyFill="1" applyBorder="1" applyAlignment="1">
      <alignment horizontal="right" vertical="center"/>
    </xf>
    <xf numFmtId="221" fontId="12" fillId="2" borderId="20" xfId="0" applyNumberFormat="1" applyFont="1" applyFill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181" fontId="3" fillId="15" borderId="4" xfId="0" applyNumberFormat="1" applyFont="1" applyFill="1" applyBorder="1" applyAlignment="1">
      <alignment horizontal="center" vertical="center" wrapText="1"/>
    </xf>
    <xf numFmtId="211" fontId="12" fillId="15" borderId="4" xfId="1" applyNumberFormat="1" applyFont="1" applyFill="1" applyBorder="1" applyAlignment="1">
      <alignment horizontal="right" vertical="center"/>
    </xf>
    <xf numFmtId="182" fontId="12" fillId="15" borderId="4" xfId="0" applyNumberFormat="1" applyFont="1" applyFill="1" applyBorder="1" applyAlignment="1">
      <alignment horizontal="center" vertical="center"/>
    </xf>
    <xf numFmtId="184" fontId="62" fillId="15" borderId="4" xfId="0" applyNumberFormat="1" applyFont="1" applyFill="1" applyBorder="1" applyAlignment="1">
      <alignment horizontal="center" vertical="center" wrapText="1"/>
    </xf>
    <xf numFmtId="177" fontId="62" fillId="15" borderId="4" xfId="0" applyNumberFormat="1" applyFont="1" applyFill="1" applyBorder="1" applyAlignment="1">
      <alignment horizontal="center" vertical="center" wrapText="1"/>
    </xf>
    <xf numFmtId="183" fontId="63" fillId="15" borderId="4" xfId="0" applyNumberFormat="1" applyFont="1" applyFill="1" applyBorder="1" applyAlignment="1">
      <alignment horizontal="center" vertical="center" wrapText="1"/>
    </xf>
    <xf numFmtId="180" fontId="62" fillId="15" borderId="4" xfId="0" applyNumberFormat="1" applyFont="1" applyFill="1" applyBorder="1" applyAlignment="1">
      <alignment horizontal="center" vertical="center" wrapText="1"/>
    </xf>
    <xf numFmtId="179" fontId="63" fillId="15" borderId="4" xfId="0" applyNumberFormat="1" applyFont="1" applyFill="1" applyBorder="1" applyAlignment="1">
      <alignment horizontal="center" vertical="center" wrapText="1"/>
    </xf>
    <xf numFmtId="214" fontId="58" fillId="15" borderId="4" xfId="0" applyNumberFormat="1" applyFont="1" applyFill="1" applyBorder="1" applyAlignment="1">
      <alignment horizontal="center" vertical="center" wrapText="1"/>
    </xf>
    <xf numFmtId="182" fontId="68" fillId="0" borderId="1" xfId="0" applyNumberFormat="1" applyFont="1" applyBorder="1" applyAlignment="1">
      <alignment horizontal="center" vertical="center"/>
    </xf>
    <xf numFmtId="222" fontId="57" fillId="0" borderId="19" xfId="0" applyNumberFormat="1" applyFont="1" applyBorder="1" applyAlignment="1">
      <alignment horizontal="center" vertical="center"/>
    </xf>
    <xf numFmtId="178" fontId="62" fillId="15" borderId="4" xfId="0" applyNumberFormat="1" applyFont="1" applyFill="1" applyBorder="1" applyAlignment="1">
      <alignment horizontal="center" vertical="center" wrapText="1"/>
    </xf>
    <xf numFmtId="183" fontId="62" fillId="15" borderId="4" xfId="0" applyNumberFormat="1" applyFont="1" applyFill="1" applyBorder="1" applyAlignment="1">
      <alignment horizontal="center" vertical="center" wrapText="1"/>
    </xf>
    <xf numFmtId="183" fontId="3" fillId="15" borderId="4" xfId="0" applyNumberFormat="1" applyFont="1" applyFill="1" applyBorder="1" applyAlignment="1">
      <alignment horizontal="center" vertical="center" wrapText="1"/>
    </xf>
    <xf numFmtId="176" fontId="62" fillId="15" borderId="4" xfId="0" applyNumberFormat="1" applyFont="1" applyFill="1" applyBorder="1" applyAlignment="1">
      <alignment horizontal="center" vertical="center" wrapText="1"/>
    </xf>
    <xf numFmtId="211" fontId="12" fillId="15" borderId="4" xfId="1" applyNumberFormat="1" applyFont="1" applyFill="1" applyBorder="1" applyAlignment="1">
      <alignment horizontal="center" vertical="center"/>
    </xf>
    <xf numFmtId="0" fontId="58" fillId="15" borderId="4" xfId="0" applyFont="1" applyFill="1" applyBorder="1" applyAlignment="1">
      <alignment horizontal="center" vertical="center"/>
    </xf>
    <xf numFmtId="212" fontId="66" fillId="0" borderId="20" xfId="0" applyNumberFormat="1" applyFont="1" applyBorder="1" applyAlignment="1">
      <alignment horizontal="right" vertical="center" shrinkToFit="1"/>
    </xf>
    <xf numFmtId="212" fontId="66" fillId="0" borderId="1" xfId="0" applyNumberFormat="1" applyFont="1" applyBorder="1" applyAlignment="1">
      <alignment horizontal="right" vertical="center" shrinkToFit="1"/>
    </xf>
    <xf numFmtId="212" fontId="66" fillId="0" borderId="19" xfId="0" applyNumberFormat="1" applyFont="1" applyBorder="1" applyAlignment="1">
      <alignment horizontal="right" vertical="center" shrinkToFit="1"/>
    </xf>
    <xf numFmtId="0" fontId="57" fillId="0" borderId="1" xfId="146" applyFont="1" applyFill="1" applyBorder="1" applyAlignment="1">
      <alignment horizontal="center" vertical="center"/>
    </xf>
    <xf numFmtId="212" fontId="66" fillId="0" borderId="4" xfId="0" applyNumberFormat="1" applyFont="1" applyBorder="1" applyAlignment="1">
      <alignment horizontal="right" vertical="center" shrinkToFit="1"/>
    </xf>
    <xf numFmtId="221" fontId="12" fillId="2" borderId="1" xfId="4" applyNumberFormat="1" applyFont="1" applyFill="1" applyBorder="1" applyAlignment="1">
      <alignment horizontal="right" vertical="center"/>
    </xf>
    <xf numFmtId="221" fontId="12" fillId="2" borderId="19" xfId="4" applyNumberFormat="1" applyFont="1" applyFill="1" applyBorder="1" applyAlignment="1">
      <alignment horizontal="right" vertical="center"/>
    </xf>
    <xf numFmtId="221" fontId="12" fillId="2" borderId="4" xfId="4" applyNumberFormat="1" applyFont="1" applyFill="1" applyBorder="1" applyAlignment="1">
      <alignment horizontal="right" vertical="center"/>
    </xf>
    <xf numFmtId="221" fontId="12" fillId="2" borderId="1" xfId="0" applyNumberFormat="1" applyFont="1" applyFill="1" applyBorder="1" applyAlignment="1">
      <alignment horizontal="right" vertical="center"/>
    </xf>
    <xf numFmtId="221" fontId="12" fillId="2" borderId="20" xfId="4" applyNumberFormat="1" applyFont="1" applyFill="1" applyBorder="1" applyAlignment="1">
      <alignment horizontal="right" vertical="center"/>
    </xf>
    <xf numFmtId="212" fontId="12" fillId="15" borderId="4" xfId="0" applyNumberFormat="1" applyFont="1" applyFill="1" applyBorder="1" applyAlignment="1">
      <alignment horizontal="center" vertical="center"/>
    </xf>
    <xf numFmtId="182" fontId="53" fillId="15" borderId="4" xfId="0" applyNumberFormat="1" applyFont="1" applyFill="1" applyBorder="1" applyAlignment="1">
      <alignment horizontal="right" vertical="center"/>
    </xf>
    <xf numFmtId="182" fontId="53" fillId="15" borderId="4" xfId="0" applyNumberFormat="1" applyFont="1" applyFill="1" applyBorder="1" applyAlignment="1">
      <alignment horizontal="center" vertical="center"/>
    </xf>
    <xf numFmtId="218" fontId="53" fillId="15" borderId="4" xfId="0" applyNumberFormat="1" applyFont="1" applyFill="1" applyBorder="1" applyAlignment="1">
      <alignment horizontal="center" vertical="center"/>
    </xf>
    <xf numFmtId="219" fontId="53" fillId="15" borderId="4" xfId="0" applyNumberFormat="1" applyFont="1" applyFill="1" applyBorder="1" applyAlignment="1">
      <alignment horizontal="center" vertical="center"/>
    </xf>
    <xf numFmtId="179" fontId="62" fillId="15" borderId="4" xfId="0" applyNumberFormat="1" applyFont="1" applyFill="1" applyBorder="1" applyAlignment="1">
      <alignment horizontal="center" vertical="center" wrapText="1"/>
    </xf>
    <xf numFmtId="181" fontId="62" fillId="15" borderId="4" xfId="0" applyNumberFormat="1" applyFont="1" applyFill="1" applyBorder="1" applyAlignment="1">
      <alignment horizontal="center" vertical="center" wrapText="1"/>
    </xf>
    <xf numFmtId="212" fontId="66" fillId="0" borderId="20" xfId="0" applyNumberFormat="1" applyFont="1" applyBorder="1" applyAlignment="1">
      <alignment horizontal="right" vertical="center" shrinkToFit="1"/>
    </xf>
    <xf numFmtId="212" fontId="66" fillId="0" borderId="1" xfId="0" applyNumberFormat="1" applyFont="1" applyBorder="1" applyAlignment="1">
      <alignment horizontal="right" vertical="center" shrinkToFit="1"/>
    </xf>
    <xf numFmtId="0" fontId="57" fillId="10" borderId="1" xfId="146" applyFont="1" applyFill="1" applyBorder="1" applyAlignment="1">
      <alignment horizontal="center" vertical="center" wrapText="1"/>
    </xf>
    <xf numFmtId="212" fontId="66" fillId="10" borderId="1" xfId="0" applyNumberFormat="1" applyFont="1" applyFill="1" applyBorder="1" applyAlignment="1">
      <alignment horizontal="right" vertical="center" shrinkToFit="1"/>
    </xf>
    <xf numFmtId="0" fontId="57" fillId="0" borderId="1" xfId="146" applyFont="1" applyFill="1" applyBorder="1" applyAlignment="1">
      <alignment horizontal="center" vertical="center"/>
    </xf>
    <xf numFmtId="221" fontId="12" fillId="2" borderId="1" xfId="4" applyNumberFormat="1" applyFont="1" applyFill="1" applyBorder="1" applyAlignment="1">
      <alignment horizontal="right" vertical="center"/>
    </xf>
    <xf numFmtId="221" fontId="12" fillId="2" borderId="1" xfId="0" applyNumberFormat="1" applyFont="1" applyFill="1" applyBorder="1" applyAlignment="1">
      <alignment horizontal="right" vertical="center"/>
    </xf>
    <xf numFmtId="221" fontId="12" fillId="2" borderId="20" xfId="4" applyNumberFormat="1" applyFont="1" applyFill="1" applyBorder="1" applyAlignment="1">
      <alignment horizontal="right" vertical="center"/>
    </xf>
    <xf numFmtId="212" fontId="66" fillId="0" borderId="20" xfId="0" applyNumberFormat="1" applyFont="1" applyBorder="1" applyAlignment="1">
      <alignment horizontal="right" vertical="center" shrinkToFit="1"/>
    </xf>
    <xf numFmtId="212" fontId="66" fillId="0" borderId="1" xfId="0" applyNumberFormat="1" applyFont="1" applyBorder="1" applyAlignment="1">
      <alignment horizontal="right" vertical="center" shrinkToFit="1"/>
    </xf>
    <xf numFmtId="0" fontId="57" fillId="0" borderId="4" xfId="146" applyFont="1" applyFill="1" applyBorder="1" applyAlignment="1">
      <alignment horizontal="center" vertical="center"/>
    </xf>
    <xf numFmtId="212" fontId="66" fillId="0" borderId="4" xfId="0" applyNumberFormat="1" applyFont="1" applyBorder="1" applyAlignment="1">
      <alignment horizontal="right" vertical="center" shrinkToFit="1"/>
    </xf>
    <xf numFmtId="222" fontId="12" fillId="0" borderId="1" xfId="0" applyNumberFormat="1" applyFont="1" applyBorder="1" applyAlignment="1">
      <alignment horizontal="center" vertical="center"/>
    </xf>
    <xf numFmtId="221" fontId="12" fillId="2" borderId="1" xfId="4" applyNumberFormat="1" applyFont="1" applyFill="1" applyBorder="1" applyAlignment="1">
      <alignment horizontal="right" vertical="center"/>
    </xf>
    <xf numFmtId="221" fontId="12" fillId="2" borderId="4" xfId="4" applyNumberFormat="1" applyFont="1" applyFill="1" applyBorder="1" applyAlignment="1">
      <alignment horizontal="right" vertical="center"/>
    </xf>
    <xf numFmtId="221" fontId="12" fillId="2" borderId="1" xfId="0" applyNumberFormat="1" applyFont="1" applyFill="1" applyBorder="1" applyAlignment="1">
      <alignment horizontal="right" vertical="center"/>
    </xf>
    <xf numFmtId="222" fontId="12" fillId="0" borderId="20" xfId="0" applyNumberFormat="1" applyFont="1" applyBorder="1" applyAlignment="1">
      <alignment horizontal="center" vertical="center"/>
    </xf>
    <xf numFmtId="221" fontId="12" fillId="2" borderId="20" xfId="4" applyNumberFormat="1" applyFont="1" applyFill="1" applyBorder="1" applyAlignment="1">
      <alignment horizontal="right" vertical="center"/>
    </xf>
    <xf numFmtId="221" fontId="12" fillId="2" borderId="20" xfId="0" applyNumberFormat="1" applyFont="1" applyFill="1" applyBorder="1" applyAlignment="1">
      <alignment horizontal="right" vertical="center"/>
    </xf>
    <xf numFmtId="212" fontId="66" fillId="0" borderId="20" xfId="0" applyNumberFormat="1" applyFont="1" applyBorder="1" applyAlignment="1">
      <alignment horizontal="right" vertical="center" shrinkToFit="1"/>
    </xf>
    <xf numFmtId="212" fontId="66" fillId="0" borderId="1" xfId="0" applyNumberFormat="1" applyFont="1" applyBorder="1" applyAlignment="1">
      <alignment horizontal="right" vertical="center" shrinkToFit="1"/>
    </xf>
    <xf numFmtId="0" fontId="57" fillId="10" borderId="1" xfId="146" applyFont="1" applyFill="1" applyBorder="1" applyAlignment="1">
      <alignment horizontal="center" vertical="center" wrapText="1"/>
    </xf>
    <xf numFmtId="212" fontId="66" fillId="10" borderId="1" xfId="0" applyNumberFormat="1" applyFont="1" applyFill="1" applyBorder="1" applyAlignment="1">
      <alignment horizontal="right" vertical="center" shrinkToFit="1"/>
    </xf>
    <xf numFmtId="212" fontId="66" fillId="0" borderId="4" xfId="0" applyNumberFormat="1" applyFont="1" applyBorder="1" applyAlignment="1">
      <alignment horizontal="right" vertical="center" shrinkToFit="1"/>
    </xf>
    <xf numFmtId="222" fontId="12" fillId="0" borderId="1" xfId="0" applyNumberFormat="1" applyFont="1" applyBorder="1" applyAlignment="1">
      <alignment horizontal="center" vertical="center"/>
    </xf>
    <xf numFmtId="222" fontId="12" fillId="0" borderId="4" xfId="0" applyNumberFormat="1" applyFont="1" applyBorder="1" applyAlignment="1">
      <alignment horizontal="center" vertical="center"/>
    </xf>
    <xf numFmtId="221" fontId="12" fillId="2" borderId="1" xfId="4" applyNumberFormat="1" applyFont="1" applyFill="1" applyBorder="1" applyAlignment="1">
      <alignment horizontal="right" vertical="center"/>
    </xf>
    <xf numFmtId="221" fontId="12" fillId="2" borderId="4" xfId="4" applyNumberFormat="1" applyFont="1" applyFill="1" applyBorder="1" applyAlignment="1">
      <alignment horizontal="right" vertical="center"/>
    </xf>
    <xf numFmtId="221" fontId="12" fillId="2" borderId="1" xfId="0" applyNumberFormat="1" applyFont="1" applyFill="1" applyBorder="1" applyAlignment="1">
      <alignment horizontal="right" vertical="center"/>
    </xf>
    <xf numFmtId="221" fontId="12" fillId="2" borderId="4" xfId="0" applyNumberFormat="1" applyFont="1" applyFill="1" applyBorder="1" applyAlignment="1">
      <alignment horizontal="right" vertical="center"/>
    </xf>
    <xf numFmtId="221" fontId="12" fillId="2" borderId="20" xfId="4" applyNumberFormat="1" applyFont="1" applyFill="1" applyBorder="1" applyAlignment="1">
      <alignment horizontal="right" vertical="center"/>
    </xf>
    <xf numFmtId="212" fontId="66" fillId="0" borderId="20" xfId="0" applyNumberFormat="1" applyFont="1" applyBorder="1" applyAlignment="1">
      <alignment horizontal="right" vertical="center" shrinkToFit="1"/>
    </xf>
    <xf numFmtId="212" fontId="66" fillId="0" borderId="1" xfId="0" applyNumberFormat="1" applyFont="1" applyBorder="1" applyAlignment="1">
      <alignment horizontal="right" vertical="center" shrinkToFit="1"/>
    </xf>
    <xf numFmtId="0" fontId="57" fillId="10" borderId="1" xfId="146" applyFont="1" applyFill="1" applyBorder="1" applyAlignment="1">
      <alignment horizontal="center" vertical="center" wrapText="1"/>
    </xf>
    <xf numFmtId="212" fontId="66" fillId="10" borderId="1" xfId="0" applyNumberFormat="1" applyFont="1" applyFill="1" applyBorder="1" applyAlignment="1">
      <alignment horizontal="right" vertical="center" shrinkToFit="1"/>
    </xf>
    <xf numFmtId="0" fontId="12" fillId="17" borderId="1" xfId="0" applyFont="1" applyFill="1" applyBorder="1" applyAlignment="1">
      <alignment horizontal="center" vertical="center"/>
    </xf>
    <xf numFmtId="0" fontId="57" fillId="0" borderId="1" xfId="146" applyFont="1" applyFill="1" applyBorder="1" applyAlignment="1">
      <alignment horizontal="center" vertical="center"/>
    </xf>
    <xf numFmtId="0" fontId="57" fillId="0" borderId="4" xfId="146" applyFont="1" applyFill="1" applyBorder="1" applyAlignment="1">
      <alignment horizontal="center" vertical="center"/>
    </xf>
    <xf numFmtId="212" fontId="66" fillId="0" borderId="4" xfId="0" applyNumberFormat="1" applyFont="1" applyBorder="1" applyAlignment="1">
      <alignment horizontal="right" vertical="center" shrinkToFit="1"/>
    </xf>
    <xf numFmtId="222" fontId="12" fillId="0" borderId="1" xfId="0" applyNumberFormat="1" applyFont="1" applyBorder="1" applyAlignment="1">
      <alignment horizontal="center" vertical="center"/>
    </xf>
    <xf numFmtId="222" fontId="12" fillId="0" borderId="4" xfId="0" applyNumberFormat="1" applyFont="1" applyBorder="1" applyAlignment="1">
      <alignment horizontal="center" vertical="center"/>
    </xf>
    <xf numFmtId="221" fontId="12" fillId="2" borderId="1" xfId="4" applyNumberFormat="1" applyFont="1" applyFill="1" applyBorder="1" applyAlignment="1">
      <alignment horizontal="right" vertical="center"/>
    </xf>
    <xf numFmtId="221" fontId="12" fillId="2" borderId="4" xfId="4" applyNumberFormat="1" applyFont="1" applyFill="1" applyBorder="1" applyAlignment="1">
      <alignment horizontal="right" vertical="center"/>
    </xf>
    <xf numFmtId="221" fontId="12" fillId="2" borderId="1" xfId="0" applyNumberFormat="1" applyFont="1" applyFill="1" applyBorder="1" applyAlignment="1">
      <alignment horizontal="right" vertical="center"/>
    </xf>
    <xf numFmtId="221" fontId="12" fillId="2" borderId="4" xfId="0" applyNumberFormat="1" applyFont="1" applyFill="1" applyBorder="1" applyAlignment="1">
      <alignment horizontal="right" vertical="center"/>
    </xf>
    <xf numFmtId="221" fontId="12" fillId="2" borderId="20" xfId="4" applyNumberFormat="1" applyFont="1" applyFill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179" fontId="9" fillId="0" borderId="22" xfId="0" applyNumberFormat="1" applyFont="1" applyFill="1" applyBorder="1" applyAlignment="1">
      <alignment horizontal="center" vertical="center" wrapText="1"/>
    </xf>
    <xf numFmtId="179" fontId="9" fillId="12" borderId="22" xfId="0" applyNumberFormat="1" applyFont="1" applyFill="1" applyBorder="1" applyAlignment="1">
      <alignment horizontal="center" vertical="center" wrapText="1"/>
    </xf>
    <xf numFmtId="181" fontId="55" fillId="0" borderId="22" xfId="0" applyNumberFormat="1" applyFont="1" applyFill="1" applyBorder="1" applyAlignment="1">
      <alignment horizontal="center" vertical="center" wrapText="1"/>
    </xf>
    <xf numFmtId="182" fontId="61" fillId="0" borderId="22" xfId="0" applyNumberFormat="1" applyFont="1" applyBorder="1" applyAlignment="1">
      <alignment horizontal="center" vertical="center"/>
    </xf>
    <xf numFmtId="183" fontId="9" fillId="8" borderId="22" xfId="0" applyNumberFormat="1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179" fontId="62" fillId="2" borderId="22" xfId="0" applyNumberFormat="1" applyFont="1" applyFill="1" applyBorder="1" applyAlignment="1">
      <alignment horizontal="center" vertical="center" wrapText="1"/>
    </xf>
    <xf numFmtId="182" fontId="0" fillId="0" borderId="22" xfId="0" applyNumberFormat="1" applyFont="1" applyBorder="1" applyAlignment="1">
      <alignment horizontal="right" vertical="center"/>
    </xf>
    <xf numFmtId="182" fontId="0" fillId="0" borderId="22" xfId="0" applyNumberFormat="1" applyFont="1" applyBorder="1" applyAlignment="1">
      <alignment horizontal="center" vertical="center"/>
    </xf>
    <xf numFmtId="179" fontId="55" fillId="3" borderId="22" xfId="0" applyNumberFormat="1" applyFont="1" applyFill="1" applyBorder="1" applyAlignment="1">
      <alignment horizontal="center" vertical="center" wrapText="1"/>
    </xf>
    <xf numFmtId="176" fontId="55" fillId="0" borderId="22" xfId="0" applyNumberFormat="1" applyFont="1" applyFill="1" applyBorder="1" applyAlignment="1">
      <alignment horizontal="center" vertical="center" wrapText="1"/>
    </xf>
    <xf numFmtId="184" fontId="55" fillId="0" borderId="22" xfId="0" applyNumberFormat="1" applyFont="1" applyFill="1" applyBorder="1" applyAlignment="1">
      <alignment horizontal="center" vertical="center" wrapText="1"/>
    </xf>
    <xf numFmtId="183" fontId="55" fillId="3" borderId="22" xfId="0" applyNumberFormat="1" applyFont="1" applyFill="1" applyBorder="1" applyAlignment="1">
      <alignment horizontal="center" vertical="center" wrapText="1"/>
    </xf>
    <xf numFmtId="177" fontId="55" fillId="0" borderId="22" xfId="0" applyNumberFormat="1" applyFont="1" applyFill="1" applyBorder="1" applyAlignment="1">
      <alignment horizontal="center" vertical="center" wrapText="1"/>
    </xf>
    <xf numFmtId="183" fontId="56" fillId="3" borderId="22" xfId="0" applyNumberFormat="1" applyFont="1" applyFill="1" applyBorder="1" applyAlignment="1">
      <alignment horizontal="center" vertical="center" wrapText="1"/>
    </xf>
    <xf numFmtId="183" fontId="9" fillId="9" borderId="22" xfId="0" applyNumberFormat="1" applyFont="1" applyFill="1" applyBorder="1" applyAlignment="1">
      <alignment horizontal="center" vertical="center" wrapText="1"/>
    </xf>
    <xf numFmtId="218" fontId="0" fillId="0" borderId="0" xfId="0" applyNumberFormat="1" applyFont="1">
      <alignment vertical="center"/>
    </xf>
    <xf numFmtId="178" fontId="55" fillId="0" borderId="22" xfId="0" applyNumberFormat="1" applyFont="1" applyFill="1" applyBorder="1" applyAlignment="1">
      <alignment horizontal="center" vertical="center" wrapText="1"/>
    </xf>
    <xf numFmtId="181" fontId="56" fillId="0" borderId="22" xfId="0" applyNumberFormat="1" applyFont="1" applyFill="1" applyBorder="1" applyAlignment="1">
      <alignment horizontal="center" vertical="center" wrapText="1"/>
    </xf>
    <xf numFmtId="180" fontId="55" fillId="0" borderId="22" xfId="0" applyNumberFormat="1" applyFont="1" applyFill="1" applyBorder="1" applyAlignment="1">
      <alignment horizontal="center" vertical="center" wrapText="1"/>
    </xf>
    <xf numFmtId="0" fontId="57" fillId="0" borderId="4" xfId="146" applyFont="1" applyFill="1" applyBorder="1" applyAlignment="1">
      <alignment horizontal="center" vertical="center"/>
    </xf>
    <xf numFmtId="212" fontId="66" fillId="0" borderId="4" xfId="0" applyNumberFormat="1" applyFont="1" applyBorder="1" applyAlignment="1">
      <alignment horizontal="right" vertical="center" shrinkToFit="1"/>
    </xf>
    <xf numFmtId="221" fontId="12" fillId="2" borderId="4" xfId="4" applyNumberFormat="1" applyFont="1" applyFill="1" applyBorder="1" applyAlignment="1">
      <alignment horizontal="right" vertical="center"/>
    </xf>
    <xf numFmtId="222" fontId="12" fillId="10" borderId="1" xfId="0" applyNumberFormat="1" applyFont="1" applyFill="1" applyBorder="1" applyAlignment="1">
      <alignment horizontal="center" vertical="center"/>
    </xf>
    <xf numFmtId="184" fontId="56" fillId="2" borderId="4" xfId="0" applyNumberFormat="1" applyFont="1" applyFill="1" applyBorder="1" applyAlignment="1">
      <alignment horizontal="center" vertical="center" wrapText="1"/>
    </xf>
    <xf numFmtId="0" fontId="68" fillId="0" borderId="4" xfId="0" applyFont="1" applyBorder="1" applyAlignment="1">
      <alignment horizontal="center" vertical="center"/>
    </xf>
    <xf numFmtId="184" fontId="69" fillId="2" borderId="4" xfId="0" applyNumberFormat="1" applyFont="1" applyFill="1" applyBorder="1" applyAlignment="1">
      <alignment horizontal="center" vertical="center" wrapText="1"/>
    </xf>
    <xf numFmtId="212" fontId="66" fillId="0" borderId="20" xfId="0" applyNumberFormat="1" applyFont="1" applyBorder="1" applyAlignment="1">
      <alignment horizontal="right" vertical="center" shrinkToFit="1"/>
    </xf>
    <xf numFmtId="212" fontId="66" fillId="0" borderId="1" xfId="0" applyNumberFormat="1" applyFont="1" applyBorder="1" applyAlignment="1">
      <alignment horizontal="right" vertical="center" shrinkToFit="1"/>
    </xf>
    <xf numFmtId="212" fontId="66" fillId="0" borderId="19" xfId="0" applyNumberFormat="1" applyFont="1" applyBorder="1" applyAlignment="1">
      <alignment horizontal="right" vertical="center" shrinkToFit="1"/>
    </xf>
    <xf numFmtId="212" fontId="66" fillId="0" borderId="22" xfId="0" applyNumberFormat="1" applyFont="1" applyBorder="1" applyAlignment="1">
      <alignment horizontal="right" vertical="center" shrinkToFit="1"/>
    </xf>
    <xf numFmtId="0" fontId="57" fillId="10" borderId="1" xfId="146" applyFont="1" applyFill="1" applyBorder="1" applyAlignment="1">
      <alignment horizontal="center" vertical="center" wrapText="1"/>
    </xf>
    <xf numFmtId="212" fontId="66" fillId="10" borderId="1" xfId="0" applyNumberFormat="1" applyFont="1" applyFill="1" applyBorder="1" applyAlignment="1">
      <alignment horizontal="right" vertical="center" shrinkToFit="1"/>
    </xf>
    <xf numFmtId="0" fontId="12" fillId="17" borderId="1" xfId="0" applyFont="1" applyFill="1" applyBorder="1" applyAlignment="1">
      <alignment horizontal="center" vertical="center"/>
    </xf>
    <xf numFmtId="0" fontId="57" fillId="0" borderId="1" xfId="146" applyFont="1" applyFill="1" applyBorder="1" applyAlignment="1">
      <alignment horizontal="center" vertical="center"/>
    </xf>
    <xf numFmtId="0" fontId="57" fillId="0" borderId="4" xfId="146" applyFont="1" applyFill="1" applyBorder="1" applyAlignment="1">
      <alignment horizontal="center" vertical="center"/>
    </xf>
    <xf numFmtId="212" fontId="66" fillId="0" borderId="4" xfId="0" applyNumberFormat="1" applyFont="1" applyBorder="1" applyAlignment="1">
      <alignment horizontal="right" vertical="center" shrinkToFit="1"/>
    </xf>
    <xf numFmtId="222" fontId="12" fillId="0" borderId="1" xfId="0" applyNumberFormat="1" applyFont="1" applyBorder="1" applyAlignment="1">
      <alignment horizontal="center" vertical="center"/>
    </xf>
    <xf numFmtId="221" fontId="12" fillId="2" borderId="1" xfId="4" applyNumberFormat="1" applyFont="1" applyFill="1" applyBorder="1" applyAlignment="1">
      <alignment horizontal="right" vertical="center"/>
    </xf>
    <xf numFmtId="221" fontId="12" fillId="2" borderId="19" xfId="4" applyNumberFormat="1" applyFont="1" applyFill="1" applyBorder="1" applyAlignment="1">
      <alignment horizontal="right" vertical="center"/>
    </xf>
    <xf numFmtId="221" fontId="12" fillId="2" borderId="22" xfId="4" applyNumberFormat="1" applyFont="1" applyFill="1" applyBorder="1" applyAlignment="1">
      <alignment horizontal="right" vertical="center"/>
    </xf>
    <xf numFmtId="221" fontId="12" fillId="2" borderId="4" xfId="4" applyNumberFormat="1" applyFont="1" applyFill="1" applyBorder="1" applyAlignment="1">
      <alignment horizontal="right" vertical="center"/>
    </xf>
    <xf numFmtId="221" fontId="12" fillId="2" borderId="1" xfId="0" applyNumberFormat="1" applyFont="1" applyFill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222" fontId="12" fillId="0" borderId="20" xfId="0" applyNumberFormat="1" applyFont="1" applyBorder="1" applyAlignment="1">
      <alignment horizontal="center" vertical="center"/>
    </xf>
    <xf numFmtId="221" fontId="12" fillId="2" borderId="20" xfId="4" applyNumberFormat="1" applyFont="1" applyFill="1" applyBorder="1" applyAlignment="1">
      <alignment horizontal="right" vertical="center"/>
    </xf>
    <xf numFmtId="221" fontId="12" fillId="2" borderId="20" xfId="0" applyNumberFormat="1" applyFont="1" applyFill="1" applyBorder="1" applyAlignment="1">
      <alignment horizontal="right" vertical="center"/>
    </xf>
    <xf numFmtId="0" fontId="57" fillId="0" borderId="20" xfId="146" applyFont="1" applyFill="1" applyBorder="1" applyAlignment="1">
      <alignment horizontal="center" vertical="center"/>
    </xf>
    <xf numFmtId="224" fontId="64" fillId="16" borderId="0" xfId="0" applyNumberFormat="1" applyFont="1" applyFill="1" applyAlignment="1">
      <alignment horizontal="center" vertical="center"/>
    </xf>
    <xf numFmtId="179" fontId="70" fillId="22" borderId="4" xfId="0" applyNumberFormat="1" applyFont="1" applyFill="1" applyBorder="1" applyAlignment="1">
      <alignment horizontal="center" vertical="center" wrapText="1"/>
    </xf>
    <xf numFmtId="182" fontId="68" fillId="21" borderId="5" xfId="0" applyNumberFormat="1" applyFont="1" applyFill="1" applyBorder="1" applyAlignment="1">
      <alignment horizontal="center" vertical="center" wrapText="1"/>
    </xf>
    <xf numFmtId="182" fontId="68" fillId="21" borderId="22" xfId="0" applyNumberFormat="1" applyFont="1" applyFill="1" applyBorder="1" applyAlignment="1">
      <alignment horizontal="center" vertical="center" wrapText="1"/>
    </xf>
    <xf numFmtId="218" fontId="0" fillId="21" borderId="23" xfId="0" applyNumberFormat="1" applyFont="1" applyFill="1" applyBorder="1" applyAlignment="1">
      <alignment horizontal="center" vertical="center"/>
    </xf>
    <xf numFmtId="218" fontId="0" fillId="21" borderId="5" xfId="0" applyNumberFormat="1" applyFont="1" applyFill="1" applyBorder="1" applyAlignment="1">
      <alignment horizontal="center" vertical="center"/>
    </xf>
    <xf numFmtId="218" fontId="0" fillId="21" borderId="21" xfId="0" applyNumberFormat="1" applyFont="1" applyFill="1" applyBorder="1" applyAlignment="1">
      <alignment horizontal="center" vertical="center"/>
    </xf>
    <xf numFmtId="223" fontId="0" fillId="21" borderId="23" xfId="0" applyNumberFormat="1" applyFont="1" applyFill="1" applyBorder="1" applyAlignment="1">
      <alignment horizontal="center" vertical="center"/>
    </xf>
    <xf numFmtId="223" fontId="0" fillId="21" borderId="5" xfId="0" applyNumberFormat="1" applyFont="1" applyFill="1" applyBorder="1" applyAlignment="1">
      <alignment horizontal="center" vertical="center"/>
    </xf>
    <xf numFmtId="223" fontId="0" fillId="21" borderId="21" xfId="0" applyNumberFormat="1" applyFont="1" applyFill="1" applyBorder="1" applyAlignment="1">
      <alignment horizontal="center" vertical="center"/>
    </xf>
    <xf numFmtId="218" fontId="0" fillId="21" borderId="22" xfId="0" applyNumberFormat="1" applyFont="1" applyFill="1" applyBorder="1" applyAlignment="1">
      <alignment horizontal="center" vertical="center"/>
    </xf>
    <xf numFmtId="223" fontId="0" fillId="21" borderId="22" xfId="0" applyNumberFormat="1" applyFont="1" applyFill="1" applyBorder="1" applyAlignment="1">
      <alignment horizontal="center" vertical="center"/>
    </xf>
    <xf numFmtId="211" fontId="12" fillId="9" borderId="1" xfId="1" applyNumberFormat="1" applyFont="1" applyFill="1" applyBorder="1" applyAlignment="1">
      <alignment horizontal="center" vertical="center"/>
    </xf>
    <xf numFmtId="182" fontId="68" fillId="16" borderId="20" xfId="0" applyNumberFormat="1" applyFont="1" applyFill="1" applyBorder="1" applyAlignment="1">
      <alignment horizontal="center" vertical="center" wrapText="1"/>
    </xf>
    <xf numFmtId="182" fontId="3" fillId="16" borderId="1" xfId="0" applyNumberFormat="1" applyFont="1" applyFill="1" applyBorder="1" applyAlignment="1">
      <alignment horizontal="center" vertical="center"/>
    </xf>
    <xf numFmtId="182" fontId="3" fillId="16" borderId="4" xfId="0" applyNumberFormat="1" applyFont="1" applyFill="1" applyBorder="1" applyAlignment="1">
      <alignment horizontal="center" vertical="center"/>
    </xf>
    <xf numFmtId="182" fontId="0" fillId="16" borderId="20" xfId="0" applyNumberFormat="1" applyFont="1" applyFill="1" applyBorder="1" applyAlignment="1">
      <alignment horizontal="center" vertical="center"/>
    </xf>
    <xf numFmtId="182" fontId="0" fillId="16" borderId="1" xfId="0" applyNumberFormat="1" applyFont="1" applyFill="1" applyBorder="1" applyAlignment="1">
      <alignment horizontal="center" vertical="center"/>
    </xf>
    <xf numFmtId="182" fontId="0" fillId="16" borderId="4" xfId="0" applyNumberFormat="1" applyFont="1" applyFill="1" applyBorder="1" applyAlignment="1">
      <alignment horizontal="center" vertical="center"/>
    </xf>
    <xf numFmtId="218" fontId="0" fillId="16" borderId="20" xfId="0" applyNumberFormat="1" applyFont="1" applyFill="1" applyBorder="1" applyAlignment="1">
      <alignment horizontal="center" vertical="center"/>
    </xf>
    <xf numFmtId="218" fontId="0" fillId="16" borderId="1" xfId="0" applyNumberFormat="1" applyFont="1" applyFill="1" applyBorder="1" applyAlignment="1">
      <alignment horizontal="center" vertical="center"/>
    </xf>
    <xf numFmtId="218" fontId="0" fillId="16" borderId="4" xfId="0" applyNumberFormat="1" applyFont="1" applyFill="1" applyBorder="1" applyAlignment="1">
      <alignment horizontal="center" vertical="center"/>
    </xf>
    <xf numFmtId="223" fontId="0" fillId="16" borderId="20" xfId="0" applyNumberFormat="1" applyFont="1" applyFill="1" applyBorder="1" applyAlignment="1">
      <alignment horizontal="center" vertical="center"/>
    </xf>
    <xf numFmtId="223" fontId="0" fillId="16" borderId="1" xfId="0" applyNumberFormat="1" applyFont="1" applyFill="1" applyBorder="1" applyAlignment="1">
      <alignment horizontal="center" vertical="center"/>
    </xf>
    <xf numFmtId="223" fontId="0" fillId="16" borderId="4" xfId="0" applyNumberFormat="1" applyFont="1" applyFill="1" applyBorder="1" applyAlignment="1">
      <alignment horizontal="center" vertical="center"/>
    </xf>
    <xf numFmtId="182" fontId="68" fillId="20" borderId="20" xfId="0" applyNumberFormat="1" applyFont="1" applyFill="1" applyBorder="1" applyAlignment="1">
      <alignment horizontal="center" vertical="center" wrapText="1"/>
    </xf>
    <xf numFmtId="182" fontId="3" fillId="20" borderId="1" xfId="0" applyNumberFormat="1" applyFont="1" applyFill="1" applyBorder="1" applyAlignment="1">
      <alignment horizontal="center" vertical="center"/>
    </xf>
    <xf numFmtId="182" fontId="3" fillId="20" borderId="4" xfId="0" applyNumberFormat="1" applyFont="1" applyFill="1" applyBorder="1" applyAlignment="1">
      <alignment horizontal="center" vertical="center"/>
    </xf>
    <xf numFmtId="182" fontId="0" fillId="20" borderId="20" xfId="0" applyNumberFormat="1" applyFont="1" applyFill="1" applyBorder="1" applyAlignment="1">
      <alignment horizontal="center" vertical="center"/>
    </xf>
    <xf numFmtId="182" fontId="0" fillId="20" borderId="1" xfId="0" applyNumberFormat="1" applyFont="1" applyFill="1" applyBorder="1" applyAlignment="1">
      <alignment horizontal="center" vertical="center"/>
    </xf>
    <xf numFmtId="182" fontId="0" fillId="20" borderId="4" xfId="0" applyNumberFormat="1" applyFont="1" applyFill="1" applyBorder="1" applyAlignment="1">
      <alignment horizontal="center" vertical="center"/>
    </xf>
    <xf numFmtId="218" fontId="0" fillId="20" borderId="20" xfId="0" applyNumberFormat="1" applyFont="1" applyFill="1" applyBorder="1" applyAlignment="1">
      <alignment horizontal="center" vertical="center"/>
    </xf>
    <xf numFmtId="218" fontId="0" fillId="20" borderId="1" xfId="0" applyNumberFormat="1" applyFont="1" applyFill="1" applyBorder="1" applyAlignment="1">
      <alignment horizontal="center" vertical="center"/>
    </xf>
    <xf numFmtId="218" fontId="0" fillId="20" borderId="4" xfId="0" applyNumberFormat="1" applyFont="1" applyFill="1" applyBorder="1" applyAlignment="1">
      <alignment horizontal="center" vertical="center"/>
    </xf>
    <xf numFmtId="182" fontId="0" fillId="21" borderId="20" xfId="0" applyNumberFormat="1" applyFont="1" applyFill="1" applyBorder="1" applyAlignment="1">
      <alignment horizontal="center" vertical="center"/>
    </xf>
    <xf numFmtId="182" fontId="0" fillId="21" borderId="1" xfId="0" applyNumberFormat="1" applyFont="1" applyFill="1" applyBorder="1" applyAlignment="1">
      <alignment horizontal="center" vertical="center"/>
    </xf>
    <xf numFmtId="182" fontId="0" fillId="21" borderId="4" xfId="0" applyNumberFormat="1" applyFont="1" applyFill="1" applyBorder="1" applyAlignment="1">
      <alignment horizontal="center" vertical="center"/>
    </xf>
    <xf numFmtId="182" fontId="68" fillId="20" borderId="4" xfId="0" applyNumberFormat="1" applyFont="1" applyFill="1" applyBorder="1" applyAlignment="1">
      <alignment horizontal="center" vertical="center" wrapText="1"/>
    </xf>
    <xf numFmtId="223" fontId="0" fillId="20" borderId="20" xfId="0" applyNumberFormat="1" applyFont="1" applyFill="1" applyBorder="1" applyAlignment="1">
      <alignment horizontal="center" vertical="center"/>
    </xf>
    <xf numFmtId="223" fontId="0" fillId="20" borderId="4" xfId="0" applyNumberFormat="1" applyFont="1" applyFill="1" applyBorder="1" applyAlignment="1">
      <alignment horizontal="center" vertical="center"/>
    </xf>
    <xf numFmtId="182" fontId="0" fillId="21" borderId="19" xfId="0" applyNumberFormat="1" applyFont="1" applyFill="1" applyBorder="1" applyAlignment="1">
      <alignment horizontal="center" vertical="center"/>
    </xf>
    <xf numFmtId="182" fontId="0" fillId="21" borderId="5" xfId="0" applyNumberFormat="1" applyFont="1" applyFill="1" applyBorder="1" applyAlignment="1">
      <alignment horizontal="center" vertical="center"/>
    </xf>
    <xf numFmtId="182" fontId="0" fillId="21" borderId="22" xfId="0" applyNumberFormat="1" applyFont="1" applyFill="1" applyBorder="1" applyAlignment="1">
      <alignment horizontal="center" vertical="center"/>
    </xf>
    <xf numFmtId="182" fontId="68" fillId="21" borderId="20" xfId="0" applyNumberFormat="1" applyFont="1" applyFill="1" applyBorder="1" applyAlignment="1">
      <alignment horizontal="center" vertical="center" wrapText="1"/>
    </xf>
    <xf numFmtId="182" fontId="68" fillId="21" borderId="1" xfId="0" applyNumberFormat="1" applyFont="1" applyFill="1" applyBorder="1" applyAlignment="1">
      <alignment horizontal="center" vertical="center" wrapText="1"/>
    </xf>
    <xf numFmtId="182" fontId="68" fillId="21" borderId="4" xfId="0" applyNumberFormat="1" applyFont="1" applyFill="1" applyBorder="1" applyAlignment="1">
      <alignment horizontal="center" vertical="center" wrapText="1"/>
    </xf>
    <xf numFmtId="182" fontId="68" fillId="21" borderId="19" xfId="0" applyNumberFormat="1" applyFont="1" applyFill="1" applyBorder="1" applyAlignment="1">
      <alignment horizontal="center" vertical="center" wrapText="1"/>
    </xf>
    <xf numFmtId="0" fontId="65" fillId="0" borderId="0" xfId="0" applyFont="1" applyBorder="1" applyAlignment="1">
      <alignment horizontal="center" vertical="center"/>
    </xf>
    <xf numFmtId="0" fontId="58" fillId="14" borderId="8" xfId="0" applyFont="1" applyFill="1" applyBorder="1" applyAlignment="1">
      <alignment horizontal="center" vertical="center"/>
    </xf>
    <xf numFmtId="0" fontId="58" fillId="14" borderId="0" xfId="0" applyFont="1" applyFill="1" applyBorder="1" applyAlignment="1">
      <alignment horizontal="center" vertical="center"/>
    </xf>
    <xf numFmtId="211" fontId="12" fillId="9" borderId="4" xfId="1" applyNumberFormat="1" applyFont="1" applyFill="1" applyBorder="1" applyAlignment="1">
      <alignment horizontal="center" vertical="center"/>
    </xf>
    <xf numFmtId="223" fontId="0" fillId="20" borderId="1" xfId="0" applyNumberFormat="1" applyFont="1" applyFill="1" applyBorder="1" applyAlignment="1">
      <alignment horizontal="center" vertical="center"/>
    </xf>
    <xf numFmtId="182" fontId="68" fillId="20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/>
    </xf>
    <xf numFmtId="182" fontId="0" fillId="19" borderId="4" xfId="0" applyNumberFormat="1" applyFont="1" applyFill="1" applyBorder="1" applyAlignment="1">
      <alignment horizontal="center" vertical="center" wrapText="1"/>
    </xf>
    <xf numFmtId="182" fontId="0" fillId="19" borderId="5" xfId="0" applyNumberFormat="1" applyFont="1" applyFill="1" applyBorder="1" applyAlignment="1">
      <alignment horizontal="center" vertical="center"/>
    </xf>
    <xf numFmtId="182" fontId="0" fillId="19" borderId="21" xfId="0" applyNumberFormat="1" applyFont="1" applyFill="1" applyBorder="1" applyAlignment="1">
      <alignment horizontal="center" vertical="center"/>
    </xf>
    <xf numFmtId="182" fontId="0" fillId="19" borderId="4" xfId="0" applyNumberFormat="1" applyFont="1" applyFill="1" applyBorder="1" applyAlignment="1">
      <alignment horizontal="center" vertical="center"/>
    </xf>
    <xf numFmtId="223" fontId="64" fillId="16" borderId="20" xfId="0" applyNumberFormat="1" applyFont="1" applyFill="1" applyBorder="1" applyAlignment="1">
      <alignment horizontal="center" vertical="center"/>
    </xf>
    <xf numFmtId="223" fontId="64" fillId="16" borderId="1" xfId="0" applyNumberFormat="1" applyFont="1" applyFill="1" applyBorder="1" applyAlignment="1">
      <alignment horizontal="center" vertical="center"/>
    </xf>
    <xf numFmtId="223" fontId="64" fillId="16" borderId="4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214" fontId="9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82" fontId="68" fillId="19" borderId="20" xfId="0" applyNumberFormat="1" applyFont="1" applyFill="1" applyBorder="1" applyAlignment="1">
      <alignment horizontal="center" vertical="center" wrapText="1"/>
    </xf>
    <xf numFmtId="182" fontId="3" fillId="19" borderId="1" xfId="0" applyNumberFormat="1" applyFont="1" applyFill="1" applyBorder="1" applyAlignment="1">
      <alignment horizontal="center" vertical="center"/>
    </xf>
    <xf numFmtId="182" fontId="3" fillId="19" borderId="4" xfId="0" applyNumberFormat="1" applyFont="1" applyFill="1" applyBorder="1" applyAlignment="1">
      <alignment horizontal="center" vertical="center"/>
    </xf>
    <xf numFmtId="182" fontId="0" fillId="19" borderId="20" xfId="0" applyNumberFormat="1" applyFont="1" applyFill="1" applyBorder="1" applyAlignment="1">
      <alignment horizontal="center" vertical="center"/>
    </xf>
    <xf numFmtId="182" fontId="0" fillId="19" borderId="1" xfId="0" applyNumberFormat="1" applyFont="1" applyFill="1" applyBorder="1" applyAlignment="1">
      <alignment horizontal="center" vertical="center"/>
    </xf>
    <xf numFmtId="218" fontId="0" fillId="19" borderId="20" xfId="0" applyNumberFormat="1" applyFont="1" applyFill="1" applyBorder="1" applyAlignment="1">
      <alignment horizontal="center" vertical="center"/>
    </xf>
    <xf numFmtId="218" fontId="0" fillId="19" borderId="1" xfId="0" applyNumberFormat="1" applyFont="1" applyFill="1" applyBorder="1" applyAlignment="1">
      <alignment horizontal="center" vertical="center"/>
    </xf>
    <xf numFmtId="218" fontId="0" fillId="19" borderId="4" xfId="0" applyNumberFormat="1" applyFont="1" applyFill="1" applyBorder="1" applyAlignment="1">
      <alignment horizontal="center" vertical="center"/>
    </xf>
    <xf numFmtId="223" fontId="0" fillId="19" borderId="20" xfId="0" applyNumberFormat="1" applyFont="1" applyFill="1" applyBorder="1" applyAlignment="1">
      <alignment horizontal="center" vertical="center"/>
    </xf>
    <xf numFmtId="223" fontId="0" fillId="19" borderId="1" xfId="0" applyNumberFormat="1" applyFont="1" applyFill="1" applyBorder="1" applyAlignment="1">
      <alignment horizontal="center" vertical="center"/>
    </xf>
    <xf numFmtId="223" fontId="0" fillId="19" borderId="4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58" fillId="13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 wrapText="1"/>
    </xf>
    <xf numFmtId="0" fontId="58" fillId="15" borderId="4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218" fontId="0" fillId="19" borderId="5" xfId="0" applyNumberFormat="1" applyFont="1" applyFill="1" applyBorder="1" applyAlignment="1">
      <alignment horizontal="center" vertical="center"/>
    </xf>
    <xf numFmtId="218" fontId="0" fillId="19" borderId="21" xfId="0" applyNumberFormat="1" applyFont="1" applyFill="1" applyBorder="1" applyAlignment="1">
      <alignment horizontal="center" vertical="center"/>
    </xf>
    <xf numFmtId="223" fontId="0" fillId="19" borderId="5" xfId="0" applyNumberFormat="1" applyFont="1" applyFill="1" applyBorder="1" applyAlignment="1">
      <alignment horizontal="center" vertical="center"/>
    </xf>
    <xf numFmtId="223" fontId="0" fillId="19" borderId="21" xfId="0" applyNumberFormat="1" applyFont="1" applyFill="1" applyBorder="1" applyAlignment="1">
      <alignment horizontal="center" vertical="center"/>
    </xf>
    <xf numFmtId="182" fontId="0" fillId="20" borderId="20" xfId="0" applyNumberFormat="1" applyFont="1" applyFill="1" applyBorder="1" applyAlignment="1">
      <alignment horizontal="center" vertical="center" wrapText="1"/>
    </xf>
    <xf numFmtId="182" fontId="0" fillId="20" borderId="1" xfId="0" applyNumberFormat="1" applyFont="1" applyFill="1" applyBorder="1" applyAlignment="1">
      <alignment horizontal="center" vertical="center" wrapText="1"/>
    </xf>
    <xf numFmtId="182" fontId="0" fillId="20" borderId="19" xfId="0" applyNumberFormat="1" applyFont="1" applyFill="1" applyBorder="1" applyAlignment="1">
      <alignment horizontal="center" vertical="center" wrapText="1"/>
    </xf>
    <xf numFmtId="182" fontId="0" fillId="20" borderId="19" xfId="0" applyNumberFormat="1" applyFont="1" applyFill="1" applyBorder="1" applyAlignment="1">
      <alignment horizontal="center" vertical="center"/>
    </xf>
    <xf numFmtId="218" fontId="0" fillId="20" borderId="19" xfId="0" applyNumberFormat="1" applyFont="1" applyFill="1" applyBorder="1" applyAlignment="1">
      <alignment horizontal="center" vertical="center"/>
    </xf>
    <xf numFmtId="223" fontId="0" fillId="20" borderId="19" xfId="0" applyNumberFormat="1" applyFont="1" applyFill="1" applyBorder="1" applyAlignment="1">
      <alignment horizontal="center" vertical="center"/>
    </xf>
    <xf numFmtId="211" fontId="12" fillId="9" borderId="23" xfId="1" applyNumberFormat="1" applyFont="1" applyFill="1" applyBorder="1" applyAlignment="1">
      <alignment horizontal="center" vertical="center"/>
    </xf>
    <xf numFmtId="182" fontId="0" fillId="16" borderId="20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/>
    </xf>
    <xf numFmtId="182" fontId="0" fillId="19" borderId="23" xfId="0" applyNumberFormat="1" applyFont="1" applyFill="1" applyBorder="1" applyAlignment="1">
      <alignment horizontal="center" vertical="center" wrapText="1"/>
    </xf>
    <xf numFmtId="182" fontId="0" fillId="19" borderId="23" xfId="0" applyNumberFormat="1" applyFont="1" applyFill="1" applyBorder="1" applyAlignment="1">
      <alignment horizontal="center" vertical="center"/>
    </xf>
    <xf numFmtId="218" fontId="0" fillId="19" borderId="23" xfId="0" applyNumberFormat="1" applyFont="1" applyFill="1" applyBorder="1" applyAlignment="1">
      <alignment horizontal="center" vertical="center"/>
    </xf>
    <xf numFmtId="223" fontId="64" fillId="19" borderId="23" xfId="0" applyNumberFormat="1" applyFont="1" applyFill="1" applyBorder="1" applyAlignment="1">
      <alignment horizontal="center" vertical="center"/>
    </xf>
    <xf numFmtId="223" fontId="64" fillId="19" borderId="5" xfId="0" applyNumberFormat="1" applyFont="1" applyFill="1" applyBorder="1" applyAlignment="1">
      <alignment horizontal="center" vertical="center"/>
    </xf>
    <xf numFmtId="182" fontId="0" fillId="19" borderId="20" xfId="0" applyNumberFormat="1" applyFont="1" applyFill="1" applyBorder="1" applyAlignment="1">
      <alignment horizontal="center" vertical="center" wrapText="1"/>
    </xf>
    <xf numFmtId="223" fontId="64" fillId="19" borderId="20" xfId="0" applyNumberFormat="1" applyFont="1" applyFill="1" applyBorder="1" applyAlignment="1">
      <alignment horizontal="center" vertical="center"/>
    </xf>
    <xf numFmtId="223" fontId="64" fillId="19" borderId="1" xfId="0" applyNumberFormat="1" applyFont="1" applyFill="1" applyBorder="1" applyAlignment="1">
      <alignment horizontal="center" vertical="center"/>
    </xf>
    <xf numFmtId="223" fontId="64" fillId="19" borderId="4" xfId="0" applyNumberFormat="1" applyFont="1" applyFill="1" applyBorder="1" applyAlignment="1">
      <alignment horizontal="center" vertical="center"/>
    </xf>
  </cellXfs>
  <cellStyles count="149">
    <cellStyle name="??&amp;O?&amp;H?_x0008__x000f__x0007_?_x0007__x0001__x0001_" xfId="8"/>
    <cellStyle name="??&amp;O?&amp;H?_x0008_??_x0007__x0001__x0001_" xfId="9"/>
    <cellStyle name="?W?_laroux" xfId="10"/>
    <cellStyle name="’E‰Y [0.00]_laroux" xfId="11"/>
    <cellStyle name="’E‰Y_laroux" xfId="12"/>
    <cellStyle name="2)" xfId="13"/>
    <cellStyle name="ÅëÈ­ [0]_»óºÎ¼ö·®Áý°è " xfId="14"/>
    <cellStyle name="AeE­ [0]_INQUIRY ¿μ¾÷AßAø " xfId="15"/>
    <cellStyle name="ÅëÈ­_»óºÎ¼ö·®Áý°è " xfId="16"/>
    <cellStyle name="AeE­_INQUIRY ¿μ¾÷AßAø " xfId="17"/>
    <cellStyle name="ALIGNMENT" xfId="18"/>
    <cellStyle name="ÄÞ¸¶ [0]_»óºÎ¼ö·®Áý°è " xfId="19"/>
    <cellStyle name="AÞ¸¶ [0]_INQUIRY ¿μ¾÷AßAø " xfId="20"/>
    <cellStyle name="ÄÞ¸¶_»óºÎ¼ö·®Áý°è " xfId="21"/>
    <cellStyle name="AÞ¸¶_INQUIRY ¿μ¾÷AßAø " xfId="22"/>
    <cellStyle name="C￥AØ_¿μ¾÷CoE² " xfId="23"/>
    <cellStyle name="Ç¥ÁØ_»óºÎ¼ö·®Áý°è " xfId="24"/>
    <cellStyle name="Calc Currency (0)" xfId="25"/>
    <cellStyle name="category" xfId="26"/>
    <cellStyle name="Comma" xfId="27"/>
    <cellStyle name="Comma [0]_ SG&amp;A Bridge " xfId="28"/>
    <cellStyle name="comma zerodec" xfId="29"/>
    <cellStyle name="Comma_ SG&amp;A Bridge " xfId="30"/>
    <cellStyle name="Comma0" xfId="31"/>
    <cellStyle name="Currenby_Cash&amp;DSO Chart" xfId="32"/>
    <cellStyle name="Currency" xfId="33"/>
    <cellStyle name="Currency [0]_ SG&amp;A Bridge " xfId="34"/>
    <cellStyle name="Currency_ SG&amp;A Bridge " xfId="35"/>
    <cellStyle name="Currency0" xfId="36"/>
    <cellStyle name="Currency1" xfId="37"/>
    <cellStyle name="Date" xfId="38"/>
    <cellStyle name="Dollar (zero dec)" xfId="39"/>
    <cellStyle name="F2" xfId="40"/>
    <cellStyle name="F3" xfId="41"/>
    <cellStyle name="F4" xfId="42"/>
    <cellStyle name="F5" xfId="43"/>
    <cellStyle name="F6" xfId="44"/>
    <cellStyle name="F7" xfId="45"/>
    <cellStyle name="F8" xfId="46"/>
    <cellStyle name="Fixed" xfId="47"/>
    <cellStyle name="Grey" xfId="48"/>
    <cellStyle name="HEADER" xfId="49"/>
    <cellStyle name="Header1" xfId="50"/>
    <cellStyle name="Header2" xfId="51"/>
    <cellStyle name="Heading 1" xfId="52"/>
    <cellStyle name="Heading 2" xfId="53"/>
    <cellStyle name="Heading1" xfId="54"/>
    <cellStyle name="Heading2" xfId="55"/>
    <cellStyle name="Hyperlink_NEGS" xfId="56"/>
    <cellStyle name="Input [yellow]" xfId="57"/>
    <cellStyle name="Midtitle" xfId="58"/>
    <cellStyle name="Milliers [0]_Arabian Spec" xfId="59"/>
    <cellStyle name="Milliers_Arabian Spec" xfId="60"/>
    <cellStyle name="Model" xfId="61"/>
    <cellStyle name="Mon?aire [0]_Arabian Spec" xfId="62"/>
    <cellStyle name="Mon?aire_Arabian Spec" xfId="63"/>
    <cellStyle name="normal" xfId="64"/>
    <cellStyle name="Normal - Style1" xfId="65"/>
    <cellStyle name="Normal_ SG&amp;A Bridge " xfId="66"/>
    <cellStyle name="Œ…?æ맖?e [0.00]_laroux" xfId="67"/>
    <cellStyle name="Œ…?æ맖?e_laroux" xfId="68"/>
    <cellStyle name="Percent" xfId="69"/>
    <cellStyle name="Percent [2]" xfId="70"/>
    <cellStyle name="Percent_00_전체토공수량" xfId="71"/>
    <cellStyle name="subhead" xfId="72"/>
    <cellStyle name="testtitle" xfId="73"/>
    <cellStyle name="title [1]" xfId="74"/>
    <cellStyle name="title [2]" xfId="75"/>
    <cellStyle name="Total" xfId="76"/>
    <cellStyle name="UM" xfId="77"/>
    <cellStyle name="고정소숫점" xfId="78"/>
    <cellStyle name="고정출력1" xfId="79"/>
    <cellStyle name="고정출력2" xfId="80"/>
    <cellStyle name="공종-규격" xfId="81"/>
    <cellStyle name="날짜" xfId="82"/>
    <cellStyle name="단위-&quot;*&quot;" xfId="83"/>
    <cellStyle name="단위-%" xfId="84"/>
    <cellStyle name="단위-kg" xfId="85"/>
    <cellStyle name="단위-m" xfId="86"/>
    <cellStyle name="단위-㎡" xfId="87"/>
    <cellStyle name="단위-㎡/개소" xfId="88"/>
    <cellStyle name="단위-㎡_관보호공" xfId="89"/>
    <cellStyle name="단위-㎥" xfId="90"/>
    <cellStyle name="단위-t=" xfId="91"/>
    <cellStyle name="달러" xfId="92"/>
    <cellStyle name="대공종" xfId="93"/>
    <cellStyle name="뒤에 오는 하이퍼링크_1차포장공1" xfId="94"/>
    <cellStyle name="똿뗦먛귟 [0.00]_PRODUCT DETAIL Q1" xfId="95"/>
    <cellStyle name="똿뗦먛귟_PRODUCT DETAIL Q1" xfId="96"/>
    <cellStyle name="믅됞 [0.00]_PRODUCT DETAIL Q1" xfId="97"/>
    <cellStyle name="믅됞_PRODUCT DETAIL Q1" xfId="98"/>
    <cellStyle name="백분율 [0]" xfId="99"/>
    <cellStyle name="백분율 [2]" xfId="100"/>
    <cellStyle name="뷭?_BOOKSHIP" xfId="101"/>
    <cellStyle name="산출식" xfId="102"/>
    <cellStyle name="선택영역" xfId="103"/>
    <cellStyle name="선택영역 가운데" xfId="104"/>
    <cellStyle name="선택영역_토공수량" xfId="105"/>
    <cellStyle name="선택영역의 가운데" xfId="106"/>
    <cellStyle name="선택영영" xfId="107"/>
    <cellStyle name="소공종" xfId="108"/>
    <cellStyle name="소숫점0" xfId="109"/>
    <cellStyle name="소숫점3" xfId="110"/>
    <cellStyle name="수량산출" xfId="111"/>
    <cellStyle name="숫자" xfId="112"/>
    <cellStyle name="숫자(R)" xfId="113"/>
    <cellStyle name="숫자1" xfId="114"/>
    <cellStyle name="숫자3" xfId="115"/>
    <cellStyle name="숫자3R" xfId="116"/>
    <cellStyle name="숫자3자리" xfId="117"/>
    <cellStyle name="쉼표 [0]" xfId="1" builtinId="6"/>
    <cellStyle name="쉼표 [0] 2" xfId="2"/>
    <cellStyle name="쉼표 [0] 2 2" xfId="139"/>
    <cellStyle name="쉼표 [0] 3" xfId="147"/>
    <cellStyle name="쉼표 [0] 6" xfId="3"/>
    <cellStyle name="쉼표 [0] 6 2" xfId="140"/>
    <cellStyle name="쉼표 [0] 6 3" xfId="118"/>
    <cellStyle name="스타일 1" xfId="119"/>
    <cellStyle name="안건회계법인" xfId="120"/>
    <cellStyle name="양식-타이틀" xfId="121"/>
    <cellStyle name="유1" xfId="122"/>
    <cellStyle name="일반" xfId="123"/>
    <cellStyle name="자리수" xfId="124"/>
    <cellStyle name="자리수0" xfId="125"/>
    <cellStyle name="지정되지 않음" xfId="126"/>
    <cellStyle name="콤마 [0]_ 4.하중계산  " xfId="127"/>
    <cellStyle name="콤마 [1]" xfId="128"/>
    <cellStyle name="콤마 [2]" xfId="129"/>
    <cellStyle name="콤마_ 4.하중계산  " xfId="130"/>
    <cellStyle name="통화 [0] 2" xfId="131"/>
    <cellStyle name="통화 [0㉝〸" xfId="132"/>
    <cellStyle name="퍼센트" xfId="133"/>
    <cellStyle name="표준" xfId="0" builtinId="0"/>
    <cellStyle name="표준 12" xfId="143"/>
    <cellStyle name="표준 2" xfId="4"/>
    <cellStyle name="표준 2 3" xfId="5"/>
    <cellStyle name="표준 2 3 2" xfId="141"/>
    <cellStyle name="표준 3" xfId="138"/>
    <cellStyle name="표준 3 2" xfId="144"/>
    <cellStyle name="표준 4" xfId="6"/>
    <cellStyle name="표준 5" xfId="7"/>
    <cellStyle name="표준 5 2" xfId="142"/>
    <cellStyle name="표준 5 3" xfId="134"/>
    <cellStyle name="표준 6" xfId="145"/>
    <cellStyle name="표준 6 2" xfId="148"/>
    <cellStyle name="표준_55" xfId="146"/>
    <cellStyle name="합산" xfId="135"/>
    <cellStyle name="화폐기호" xfId="136"/>
    <cellStyle name="화폐기호0" xfId="137"/>
  </cellStyles>
  <dxfs count="0"/>
  <tableStyles count="0" defaultTableStyle="TableStyleMedium2" defaultPivotStyle="PivotStyleLight16"/>
  <colors>
    <mruColors>
      <color rgb="FFFF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112"/>
  <sheetViews>
    <sheetView showGridLines="0" tabSelected="1" zoomScale="55" zoomScaleNormal="55" zoomScaleSheetLayoutView="40" workbookViewId="0">
      <selection activeCell="AE93" sqref="AE93"/>
    </sheetView>
  </sheetViews>
  <sheetFormatPr defaultRowHeight="16.5"/>
  <cols>
    <col min="1" max="1" width="5.125" style="23" customWidth="1"/>
    <col min="2" max="2" width="6" style="23" customWidth="1"/>
    <col min="3" max="3" width="32.625" customWidth="1"/>
    <col min="4" max="4" width="9.25" bestFit="1" customWidth="1"/>
    <col min="5" max="5" width="13.875" bestFit="1" customWidth="1"/>
    <col min="6" max="6" width="20.125" bestFit="1" customWidth="1"/>
    <col min="7" max="8" width="16.625" customWidth="1"/>
    <col min="9" max="9" width="10.25" style="62" bestFit="1" customWidth="1"/>
    <col min="10" max="10" width="10.75" style="62" customWidth="1"/>
    <col min="11" max="11" width="26.125" style="24" customWidth="1"/>
    <col min="12" max="12" width="10" style="28" bestFit="1" customWidth="1"/>
    <col min="13" max="13" width="10.75" style="28" bestFit="1" customWidth="1"/>
    <col min="14" max="14" width="9.375" style="28" customWidth="1"/>
    <col min="15" max="15" width="9.375" style="90" customWidth="1"/>
    <col min="16" max="16" width="8.125" customWidth="1"/>
    <col min="17" max="17" width="9.375" bestFit="1" customWidth="1"/>
    <col min="18" max="18" width="9.625" customWidth="1"/>
    <col min="19" max="20" width="8.125" customWidth="1"/>
    <col min="21" max="21" width="10.25" bestFit="1" customWidth="1"/>
    <col min="22" max="22" width="11.125" bestFit="1" customWidth="1"/>
    <col min="23" max="23" width="9.25" bestFit="1" customWidth="1"/>
    <col min="24" max="24" width="8.125" customWidth="1"/>
    <col min="25" max="25" width="11.25" bestFit="1" customWidth="1"/>
    <col min="26" max="26" width="9.875" bestFit="1" customWidth="1"/>
    <col min="27" max="28" width="8.125" customWidth="1"/>
    <col min="29" max="29" width="10.25" bestFit="1" customWidth="1"/>
    <col min="30" max="33" width="8.125" customWidth="1"/>
    <col min="34" max="34" width="10.125" bestFit="1" customWidth="1"/>
    <col min="35" max="37" width="8.125" customWidth="1"/>
    <col min="38" max="38" width="10.625" bestFit="1" customWidth="1"/>
    <col min="39" max="39" width="11.125" bestFit="1" customWidth="1"/>
    <col min="40" max="41" width="8.25" customWidth="1"/>
    <col min="42" max="42" width="11.125" style="17" bestFit="1" customWidth="1"/>
    <col min="43" max="46" width="8.25" customWidth="1"/>
    <col min="47" max="47" width="9.625" bestFit="1" customWidth="1"/>
    <col min="48" max="51" width="8.25" customWidth="1"/>
    <col min="52" max="52" width="10.625" style="16" bestFit="1" customWidth="1"/>
    <col min="53" max="53" width="12.5" style="16" bestFit="1" customWidth="1"/>
    <col min="54" max="55" width="8.25" style="16" customWidth="1"/>
    <col min="56" max="59" width="8.25" customWidth="1"/>
    <col min="60" max="60" width="9.625" bestFit="1" customWidth="1"/>
    <col min="61" max="61" width="10.25" bestFit="1" customWidth="1"/>
    <col min="62" max="63" width="8.25" customWidth="1"/>
    <col min="64" max="64" width="10.625" bestFit="1" customWidth="1"/>
    <col min="65" max="65" width="11.125" bestFit="1" customWidth="1"/>
    <col min="66" max="68" width="8.25" customWidth="1"/>
    <col min="69" max="69" width="11.125" bestFit="1" customWidth="1"/>
    <col min="70" max="70" width="9.625" bestFit="1" customWidth="1"/>
    <col min="71" max="71" width="11.125" bestFit="1" customWidth="1"/>
    <col min="72" max="73" width="8.25" customWidth="1"/>
    <col min="74" max="74" width="9.625" bestFit="1" customWidth="1"/>
    <col min="75" max="75" width="11.125" bestFit="1" customWidth="1"/>
    <col min="76" max="77" width="8.25" customWidth="1"/>
    <col min="78" max="79" width="9.625" bestFit="1" customWidth="1"/>
    <col min="80" max="81" width="8.25" customWidth="1"/>
    <col min="82" max="82" width="11.5" bestFit="1" customWidth="1"/>
    <col min="83" max="83" width="11.625" bestFit="1" customWidth="1"/>
    <col min="84" max="85" width="8.25" customWidth="1"/>
    <col min="86" max="86" width="9.625" bestFit="1" customWidth="1"/>
    <col min="87" max="87" width="9.75" bestFit="1" customWidth="1"/>
    <col min="88" max="89" width="8.25" customWidth="1"/>
    <col min="90" max="90" width="10.25" bestFit="1" customWidth="1"/>
    <col min="91" max="95" width="8.25" customWidth="1"/>
    <col min="96" max="96" width="8.25" style="22" customWidth="1"/>
    <col min="97" max="97" width="8.25" customWidth="1"/>
    <col min="99" max="99" width="2.625" customWidth="1"/>
    <col min="101" max="101" width="19.25" bestFit="1" customWidth="1"/>
    <col min="102" max="102" width="12.25" customWidth="1"/>
    <col min="103" max="103" width="10.375" style="23" bestFit="1" customWidth="1"/>
    <col min="109" max="109" width="1.625" style="67" customWidth="1"/>
    <col min="110" max="110" width="14.75" style="23" customWidth="1"/>
    <col min="111" max="112" width="9" style="67"/>
  </cols>
  <sheetData>
    <row r="1" spans="1:112" ht="33" customHeight="1">
      <c r="B1" s="429" t="s">
        <v>77</v>
      </c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429"/>
      <c r="P1" s="429"/>
      <c r="Q1" s="429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</row>
    <row r="2" spans="1:112" ht="45">
      <c r="B2" s="429" t="s">
        <v>78</v>
      </c>
      <c r="C2" s="429"/>
      <c r="D2" s="429"/>
      <c r="E2" s="429"/>
      <c r="F2" s="429"/>
      <c r="G2" s="429"/>
      <c r="H2" s="429"/>
      <c r="I2" s="429"/>
      <c r="J2" s="429"/>
      <c r="K2" s="429"/>
      <c r="L2" s="429"/>
      <c r="M2" s="429"/>
      <c r="N2" s="429"/>
      <c r="O2" s="429"/>
      <c r="P2" s="96"/>
      <c r="Q2" s="96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</row>
    <row r="3" spans="1:112" ht="24.95" customHeight="1">
      <c r="C3" s="2"/>
      <c r="D3" s="2"/>
      <c r="E3" s="3"/>
      <c r="F3" s="3"/>
      <c r="O3" s="97" t="s">
        <v>213</v>
      </c>
      <c r="AH3" s="1"/>
    </row>
    <row r="4" spans="1:112" ht="24.95" customHeight="1">
      <c r="C4" s="2"/>
      <c r="D4" s="2"/>
      <c r="E4" s="3"/>
      <c r="F4" s="3"/>
      <c r="AH4" s="1"/>
    </row>
    <row r="5" spans="1:112" s="6" customFormat="1" ht="17.25" customHeight="1">
      <c r="A5" s="480"/>
      <c r="B5" s="436" t="s">
        <v>1</v>
      </c>
      <c r="C5" s="436"/>
      <c r="D5" s="436"/>
      <c r="E5" s="436"/>
      <c r="F5" s="436"/>
      <c r="G5" s="436" t="s">
        <v>15</v>
      </c>
      <c r="H5" s="436"/>
      <c r="I5" s="435" t="s">
        <v>47</v>
      </c>
      <c r="J5" s="435" t="s">
        <v>48</v>
      </c>
      <c r="K5" s="435" t="s">
        <v>50</v>
      </c>
      <c r="L5" s="435" t="s">
        <v>51</v>
      </c>
      <c r="M5" s="435" t="s">
        <v>52</v>
      </c>
      <c r="N5" s="435" t="s">
        <v>64</v>
      </c>
      <c r="O5" s="435" t="s">
        <v>75</v>
      </c>
      <c r="P5" s="458" t="s">
        <v>27</v>
      </c>
      <c r="Q5" s="458"/>
      <c r="R5" s="458"/>
      <c r="S5" s="458"/>
      <c r="T5" s="458"/>
      <c r="U5" s="458"/>
      <c r="V5" s="458"/>
      <c r="W5" s="458"/>
      <c r="X5" s="458"/>
      <c r="Y5" s="458"/>
      <c r="Z5" s="458"/>
      <c r="AA5" s="458"/>
      <c r="AB5" s="458"/>
      <c r="AC5" s="458"/>
      <c r="AD5" s="458"/>
      <c r="AE5" s="458"/>
      <c r="AF5" s="458"/>
      <c r="AG5" s="458"/>
      <c r="AH5" s="458"/>
      <c r="AI5" s="458"/>
      <c r="AJ5" s="458"/>
      <c r="AK5" s="458"/>
      <c r="AL5" s="458"/>
      <c r="AM5" s="458"/>
      <c r="AN5" s="458"/>
      <c r="AO5" s="458"/>
      <c r="AP5" s="458"/>
      <c r="AQ5" s="467" t="s">
        <v>32</v>
      </c>
      <c r="AR5" s="467"/>
      <c r="AS5" s="467"/>
      <c r="AT5" s="467"/>
      <c r="AU5" s="467"/>
      <c r="AV5" s="467"/>
      <c r="AW5" s="467"/>
      <c r="AX5" s="467"/>
      <c r="AY5" s="467"/>
      <c r="AZ5" s="467"/>
      <c r="BA5" s="467"/>
      <c r="BB5" s="467"/>
      <c r="BC5" s="467"/>
      <c r="BD5" s="467"/>
      <c r="BE5" s="467"/>
      <c r="BF5" s="467"/>
      <c r="BG5" s="467"/>
      <c r="BH5" s="467"/>
      <c r="BI5" s="467"/>
      <c r="BJ5" s="467"/>
      <c r="BK5" s="467"/>
      <c r="BL5" s="467"/>
      <c r="BM5" s="467"/>
      <c r="BN5" s="467"/>
      <c r="BO5" s="467"/>
      <c r="BP5" s="467"/>
      <c r="BQ5" s="467"/>
      <c r="BR5" s="461" t="s">
        <v>24</v>
      </c>
      <c r="BS5" s="461"/>
      <c r="BT5" s="461"/>
      <c r="BU5" s="461"/>
      <c r="BV5" s="461"/>
      <c r="BW5" s="461"/>
      <c r="BX5" s="461"/>
      <c r="BY5" s="461"/>
      <c r="BZ5" s="461"/>
      <c r="CA5" s="461"/>
      <c r="CB5" s="461"/>
      <c r="CC5" s="461"/>
      <c r="CD5" s="461"/>
      <c r="CE5" s="461"/>
      <c r="CF5" s="461"/>
      <c r="CG5" s="461"/>
      <c r="CH5" s="461"/>
      <c r="CI5" s="461"/>
      <c r="CJ5" s="461"/>
      <c r="CK5" s="461"/>
      <c r="CL5" s="461"/>
      <c r="CM5" s="461"/>
      <c r="CN5" s="461"/>
      <c r="CO5" s="461"/>
      <c r="CP5" s="461"/>
      <c r="CQ5" s="460" t="s">
        <v>76</v>
      </c>
      <c r="CR5" s="460"/>
      <c r="CS5" s="460"/>
      <c r="CT5" s="460"/>
      <c r="CV5" s="446" t="s">
        <v>63</v>
      </c>
      <c r="CW5" s="446"/>
      <c r="CX5" s="7" t="s">
        <v>62</v>
      </c>
      <c r="CY5" s="7" t="s">
        <v>59</v>
      </c>
      <c r="CZ5" s="7" t="s">
        <v>60</v>
      </c>
      <c r="DA5" s="7" t="s">
        <v>61</v>
      </c>
      <c r="DB5" s="7" t="s">
        <v>67</v>
      </c>
      <c r="DC5" s="7" t="s">
        <v>68</v>
      </c>
      <c r="DD5" s="7" t="s">
        <v>69</v>
      </c>
      <c r="DF5" s="40"/>
      <c r="DG5" s="444" t="s">
        <v>65</v>
      </c>
      <c r="DH5" s="444"/>
    </row>
    <row r="6" spans="1:112" s="6" customFormat="1" ht="17.25" customHeight="1">
      <c r="A6" s="480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6"/>
      <c r="M6" s="436"/>
      <c r="N6" s="436"/>
      <c r="O6" s="436"/>
      <c r="P6" s="466" t="s">
        <v>38</v>
      </c>
      <c r="Q6" s="466" t="s">
        <v>28</v>
      </c>
      <c r="R6" s="466"/>
      <c r="S6" s="466"/>
      <c r="T6" s="466"/>
      <c r="U6" s="466" t="s">
        <v>29</v>
      </c>
      <c r="V6" s="466"/>
      <c r="W6" s="466"/>
      <c r="X6" s="466"/>
      <c r="Y6" s="466" t="s">
        <v>8</v>
      </c>
      <c r="Z6" s="466"/>
      <c r="AA6" s="466"/>
      <c r="AB6" s="466"/>
      <c r="AC6" s="466"/>
      <c r="AD6" s="466"/>
      <c r="AE6" s="466"/>
      <c r="AF6" s="466"/>
      <c r="AG6" s="466"/>
      <c r="AH6" s="466"/>
      <c r="AI6" s="466"/>
      <c r="AJ6" s="466"/>
      <c r="AK6" s="466"/>
      <c r="AL6" s="466" t="s">
        <v>35</v>
      </c>
      <c r="AM6" s="466"/>
      <c r="AN6" s="466"/>
      <c r="AO6" s="466"/>
      <c r="AP6" s="459" t="s">
        <v>33</v>
      </c>
      <c r="AQ6" s="467" t="s">
        <v>9</v>
      </c>
      <c r="AR6" s="467"/>
      <c r="AS6" s="467"/>
      <c r="AT6" s="467"/>
      <c r="AU6" s="467"/>
      <c r="AV6" s="467"/>
      <c r="AW6" s="467"/>
      <c r="AX6" s="467"/>
      <c r="AY6" s="467"/>
      <c r="AZ6" s="467" t="s">
        <v>23</v>
      </c>
      <c r="BA6" s="467"/>
      <c r="BB6" s="467"/>
      <c r="BC6" s="467"/>
      <c r="BD6" s="467"/>
      <c r="BE6" s="467"/>
      <c r="BF6" s="467"/>
      <c r="BG6" s="467"/>
      <c r="BH6" s="467"/>
      <c r="BI6" s="467"/>
      <c r="BJ6" s="467"/>
      <c r="BK6" s="467"/>
      <c r="BL6" s="467"/>
      <c r="BM6" s="467"/>
      <c r="BN6" s="467"/>
      <c r="BO6" s="467"/>
      <c r="BP6" s="467"/>
      <c r="BQ6" s="462" t="s">
        <v>40</v>
      </c>
      <c r="BR6" s="461" t="s">
        <v>12</v>
      </c>
      <c r="BS6" s="461"/>
      <c r="BT6" s="461"/>
      <c r="BU6" s="461"/>
      <c r="BV6" s="461" t="s">
        <v>10</v>
      </c>
      <c r="BW6" s="461"/>
      <c r="BX6" s="461"/>
      <c r="BY6" s="461"/>
      <c r="BZ6" s="461" t="s">
        <v>11</v>
      </c>
      <c r="CA6" s="461"/>
      <c r="CB6" s="461"/>
      <c r="CC6" s="461"/>
      <c r="CD6" s="461" t="s">
        <v>13</v>
      </c>
      <c r="CE6" s="461"/>
      <c r="CF6" s="461"/>
      <c r="CG6" s="461"/>
      <c r="CH6" s="461" t="s">
        <v>14</v>
      </c>
      <c r="CI6" s="461"/>
      <c r="CJ6" s="461"/>
      <c r="CK6" s="461"/>
      <c r="CL6" s="461" t="s">
        <v>39</v>
      </c>
      <c r="CM6" s="461"/>
      <c r="CN6" s="461"/>
      <c r="CO6" s="461"/>
      <c r="CP6" s="464" t="s">
        <v>41</v>
      </c>
      <c r="CQ6" s="460"/>
      <c r="CR6" s="460"/>
      <c r="CS6" s="460"/>
      <c r="CT6" s="460"/>
      <c r="CV6" s="446" t="s">
        <v>57</v>
      </c>
      <c r="CW6" s="446"/>
      <c r="CX6" s="64">
        <v>5776.95</v>
      </c>
      <c r="CY6" s="39">
        <v>1000</v>
      </c>
      <c r="CZ6" s="61">
        <f>CX6/CY6</f>
        <v>5.7769500000000003</v>
      </c>
      <c r="DA6" s="60">
        <v>3</v>
      </c>
      <c r="DB6" s="61">
        <f>CZ6/DA6</f>
        <v>1.9256500000000001</v>
      </c>
      <c r="DC6" s="36">
        <v>10</v>
      </c>
      <c r="DD6" s="36">
        <f>DB6*DC6</f>
        <v>19.256500000000003</v>
      </c>
      <c r="DF6" s="40" t="s">
        <v>70</v>
      </c>
      <c r="DG6" s="445">
        <f>42-4</f>
        <v>38</v>
      </c>
      <c r="DH6" s="445"/>
    </row>
    <row r="7" spans="1:112" s="6" customFormat="1" ht="17.25" customHeight="1">
      <c r="A7" s="480"/>
      <c r="B7" s="436"/>
      <c r="C7" s="436"/>
      <c r="D7" s="436"/>
      <c r="E7" s="436"/>
      <c r="F7" s="436"/>
      <c r="G7" s="436"/>
      <c r="H7" s="436"/>
      <c r="I7" s="436"/>
      <c r="J7" s="436"/>
      <c r="K7" s="436"/>
      <c r="L7" s="436"/>
      <c r="M7" s="436"/>
      <c r="N7" s="436"/>
      <c r="O7" s="436"/>
      <c r="P7" s="466"/>
      <c r="Q7" s="466"/>
      <c r="R7" s="466"/>
      <c r="S7" s="466"/>
      <c r="T7" s="466"/>
      <c r="U7" s="466"/>
      <c r="V7" s="466"/>
      <c r="W7" s="466"/>
      <c r="X7" s="466"/>
      <c r="Y7" s="466" t="s">
        <v>31</v>
      </c>
      <c r="Z7" s="466"/>
      <c r="AA7" s="466"/>
      <c r="AB7" s="466"/>
      <c r="AC7" s="466" t="s">
        <v>30</v>
      </c>
      <c r="AD7" s="466"/>
      <c r="AE7" s="466"/>
      <c r="AF7" s="466"/>
      <c r="AG7" s="466" t="s">
        <v>22</v>
      </c>
      <c r="AH7" s="466"/>
      <c r="AI7" s="466"/>
      <c r="AJ7" s="466"/>
      <c r="AK7" s="466" t="s">
        <v>19</v>
      </c>
      <c r="AL7" s="466"/>
      <c r="AM7" s="466"/>
      <c r="AN7" s="466"/>
      <c r="AO7" s="466"/>
      <c r="AP7" s="458"/>
      <c r="AQ7" s="467" t="s">
        <v>34</v>
      </c>
      <c r="AR7" s="467"/>
      <c r="AS7" s="467"/>
      <c r="AT7" s="467"/>
      <c r="AU7" s="467" t="s">
        <v>36</v>
      </c>
      <c r="AV7" s="467"/>
      <c r="AW7" s="467"/>
      <c r="AX7" s="467"/>
      <c r="AY7" s="467" t="s">
        <v>37</v>
      </c>
      <c r="AZ7" s="467" t="s">
        <v>53</v>
      </c>
      <c r="BA7" s="467"/>
      <c r="BB7" s="467"/>
      <c r="BC7" s="467"/>
      <c r="BD7" s="467" t="s">
        <v>21</v>
      </c>
      <c r="BE7" s="467"/>
      <c r="BF7" s="467"/>
      <c r="BG7" s="467"/>
      <c r="BH7" s="467" t="s">
        <v>20</v>
      </c>
      <c r="BI7" s="467"/>
      <c r="BJ7" s="467"/>
      <c r="BK7" s="467"/>
      <c r="BL7" s="467" t="s">
        <v>22</v>
      </c>
      <c r="BM7" s="467"/>
      <c r="BN7" s="467"/>
      <c r="BO7" s="467"/>
      <c r="BP7" s="467" t="s">
        <v>7</v>
      </c>
      <c r="BQ7" s="463"/>
      <c r="BR7" s="461"/>
      <c r="BS7" s="461"/>
      <c r="BT7" s="461"/>
      <c r="BU7" s="461"/>
      <c r="BV7" s="461"/>
      <c r="BW7" s="461"/>
      <c r="BX7" s="461"/>
      <c r="BY7" s="461"/>
      <c r="BZ7" s="461"/>
      <c r="CA7" s="461"/>
      <c r="CB7" s="461"/>
      <c r="CC7" s="461"/>
      <c r="CD7" s="461"/>
      <c r="CE7" s="461"/>
      <c r="CF7" s="461"/>
      <c r="CG7" s="461"/>
      <c r="CH7" s="461"/>
      <c r="CI7" s="461"/>
      <c r="CJ7" s="461"/>
      <c r="CK7" s="461"/>
      <c r="CL7" s="461"/>
      <c r="CM7" s="461"/>
      <c r="CN7" s="461"/>
      <c r="CO7" s="461"/>
      <c r="CP7" s="461"/>
      <c r="CQ7" s="460" t="s">
        <v>42</v>
      </c>
      <c r="CR7" s="460" t="s">
        <v>43</v>
      </c>
      <c r="CS7" s="460" t="s">
        <v>44</v>
      </c>
      <c r="CT7" s="460" t="s">
        <v>45</v>
      </c>
      <c r="CV7" s="446" t="s">
        <v>58</v>
      </c>
      <c r="CW7" s="446"/>
      <c r="CX7" s="64">
        <v>6616.59</v>
      </c>
      <c r="CY7" s="39">
        <v>1000</v>
      </c>
      <c r="CZ7" s="61">
        <f>CX7/CY7</f>
        <v>6.6165900000000004</v>
      </c>
      <c r="DA7" s="60">
        <v>3</v>
      </c>
      <c r="DB7" s="61">
        <f>CZ7/DA7</f>
        <v>2.20553</v>
      </c>
      <c r="DC7" s="36">
        <v>10</v>
      </c>
      <c r="DD7" s="36">
        <f>DB7*DC7</f>
        <v>22.055299999999999</v>
      </c>
      <c r="DF7" s="40" t="s">
        <v>71</v>
      </c>
      <c r="DG7" s="445">
        <f>42-4-8.5</f>
        <v>29.5</v>
      </c>
      <c r="DH7" s="445"/>
    </row>
    <row r="8" spans="1:112" s="6" customFormat="1" ht="17.25" customHeight="1">
      <c r="A8" s="40"/>
      <c r="B8" s="31" t="s">
        <v>46</v>
      </c>
      <c r="C8" s="31" t="s">
        <v>16</v>
      </c>
      <c r="D8" s="31" t="s">
        <v>25</v>
      </c>
      <c r="E8" s="31" t="s">
        <v>17</v>
      </c>
      <c r="F8" s="91" t="s">
        <v>26</v>
      </c>
      <c r="G8" s="31" t="s">
        <v>2</v>
      </c>
      <c r="H8" s="31" t="s">
        <v>3</v>
      </c>
      <c r="I8" s="436"/>
      <c r="J8" s="436"/>
      <c r="K8" s="436"/>
      <c r="L8" s="436"/>
      <c r="M8" s="436"/>
      <c r="N8" s="436"/>
      <c r="O8" s="436"/>
      <c r="P8" s="466"/>
      <c r="Q8" s="30" t="s">
        <v>6</v>
      </c>
      <c r="R8" s="30" t="s">
        <v>4</v>
      </c>
      <c r="S8" s="30" t="s">
        <v>0</v>
      </c>
      <c r="T8" s="30" t="s">
        <v>5</v>
      </c>
      <c r="U8" s="30" t="s">
        <v>6</v>
      </c>
      <c r="V8" s="30" t="s">
        <v>4</v>
      </c>
      <c r="W8" s="30" t="s">
        <v>0</v>
      </c>
      <c r="X8" s="30" t="s">
        <v>5</v>
      </c>
      <c r="Y8" s="30" t="s">
        <v>6</v>
      </c>
      <c r="Z8" s="30" t="s">
        <v>4</v>
      </c>
      <c r="AA8" s="30" t="s">
        <v>0</v>
      </c>
      <c r="AB8" s="30" t="s">
        <v>5</v>
      </c>
      <c r="AC8" s="30" t="s">
        <v>6</v>
      </c>
      <c r="AD8" s="30" t="s">
        <v>4</v>
      </c>
      <c r="AE8" s="30" t="s">
        <v>0</v>
      </c>
      <c r="AF8" s="30" t="s">
        <v>5</v>
      </c>
      <c r="AG8" s="30" t="s">
        <v>6</v>
      </c>
      <c r="AH8" s="30" t="s">
        <v>4</v>
      </c>
      <c r="AI8" s="30" t="s">
        <v>0</v>
      </c>
      <c r="AJ8" s="30" t="s">
        <v>5</v>
      </c>
      <c r="AK8" s="466"/>
      <c r="AL8" s="30" t="s">
        <v>6</v>
      </c>
      <c r="AM8" s="30" t="s">
        <v>4</v>
      </c>
      <c r="AN8" s="30" t="s">
        <v>0</v>
      </c>
      <c r="AO8" s="30" t="s">
        <v>5</v>
      </c>
      <c r="AP8" s="458"/>
      <c r="AQ8" s="27" t="s">
        <v>6</v>
      </c>
      <c r="AR8" s="27" t="s">
        <v>4</v>
      </c>
      <c r="AS8" s="27" t="s">
        <v>0</v>
      </c>
      <c r="AT8" s="27" t="s">
        <v>5</v>
      </c>
      <c r="AU8" s="27" t="s">
        <v>6</v>
      </c>
      <c r="AV8" s="27" t="s">
        <v>4</v>
      </c>
      <c r="AW8" s="27" t="s">
        <v>0</v>
      </c>
      <c r="AX8" s="27" t="s">
        <v>5</v>
      </c>
      <c r="AY8" s="467"/>
      <c r="AZ8" s="27" t="s">
        <v>6</v>
      </c>
      <c r="BA8" s="27" t="s">
        <v>4</v>
      </c>
      <c r="BB8" s="27" t="s">
        <v>0</v>
      </c>
      <c r="BC8" s="27" t="s">
        <v>5</v>
      </c>
      <c r="BD8" s="27" t="s">
        <v>6</v>
      </c>
      <c r="BE8" s="27" t="s">
        <v>4</v>
      </c>
      <c r="BF8" s="27" t="s">
        <v>0</v>
      </c>
      <c r="BG8" s="27" t="s">
        <v>5</v>
      </c>
      <c r="BH8" s="27" t="s">
        <v>6</v>
      </c>
      <c r="BI8" s="27" t="s">
        <v>4</v>
      </c>
      <c r="BJ8" s="27" t="s">
        <v>0</v>
      </c>
      <c r="BK8" s="27" t="s">
        <v>5</v>
      </c>
      <c r="BL8" s="27" t="s">
        <v>6</v>
      </c>
      <c r="BM8" s="27" t="s">
        <v>4</v>
      </c>
      <c r="BN8" s="27" t="s">
        <v>0</v>
      </c>
      <c r="BO8" s="27" t="s">
        <v>5</v>
      </c>
      <c r="BP8" s="467"/>
      <c r="BQ8" s="463"/>
      <c r="BR8" s="26" t="s">
        <v>6</v>
      </c>
      <c r="BS8" s="26" t="s">
        <v>4</v>
      </c>
      <c r="BT8" s="26" t="s">
        <v>0</v>
      </c>
      <c r="BU8" s="26" t="s">
        <v>5</v>
      </c>
      <c r="BV8" s="26" t="s">
        <v>6</v>
      </c>
      <c r="BW8" s="26" t="s">
        <v>4</v>
      </c>
      <c r="BX8" s="26" t="s">
        <v>0</v>
      </c>
      <c r="BY8" s="26" t="s">
        <v>5</v>
      </c>
      <c r="BZ8" s="26" t="s">
        <v>6</v>
      </c>
      <c r="CA8" s="26" t="s">
        <v>4</v>
      </c>
      <c r="CB8" s="26" t="s">
        <v>0</v>
      </c>
      <c r="CC8" s="26" t="s">
        <v>5</v>
      </c>
      <c r="CD8" s="26" t="s">
        <v>6</v>
      </c>
      <c r="CE8" s="26" t="s">
        <v>4</v>
      </c>
      <c r="CF8" s="26" t="s">
        <v>0</v>
      </c>
      <c r="CG8" s="26" t="s">
        <v>5</v>
      </c>
      <c r="CH8" s="26" t="s">
        <v>6</v>
      </c>
      <c r="CI8" s="26" t="s">
        <v>4</v>
      </c>
      <c r="CJ8" s="26" t="s">
        <v>0</v>
      </c>
      <c r="CK8" s="26" t="s">
        <v>5</v>
      </c>
      <c r="CL8" s="26" t="s">
        <v>6</v>
      </c>
      <c r="CM8" s="26" t="s">
        <v>4</v>
      </c>
      <c r="CN8" s="26" t="s">
        <v>0</v>
      </c>
      <c r="CO8" s="26" t="s">
        <v>5</v>
      </c>
      <c r="CP8" s="461"/>
      <c r="CQ8" s="460"/>
      <c r="CR8" s="460"/>
      <c r="CS8" s="460"/>
      <c r="CT8" s="460"/>
      <c r="CV8" s="446" t="s">
        <v>66</v>
      </c>
      <c r="CW8" s="446"/>
      <c r="CX8" s="64">
        <f>CX6+CX7</f>
        <v>12393.54</v>
      </c>
      <c r="CY8" s="39">
        <v>1000</v>
      </c>
      <c r="CZ8" s="61">
        <f>CX8/CY8</f>
        <v>12.393540000000002</v>
      </c>
      <c r="DA8" s="60">
        <v>3</v>
      </c>
      <c r="DB8" s="61">
        <f>CZ8/DA8</f>
        <v>4.1311800000000005</v>
      </c>
      <c r="DC8" s="36">
        <v>10</v>
      </c>
      <c r="DD8" s="36">
        <f>DB8*DC8</f>
        <v>41.311800000000005</v>
      </c>
      <c r="DF8" s="40"/>
    </row>
    <row r="9" spans="1:112" s="6" customFormat="1" ht="17.25" hidden="1" customHeight="1">
      <c r="A9" s="40"/>
      <c r="B9" s="7">
        <v>0</v>
      </c>
      <c r="C9" s="7" t="s">
        <v>55</v>
      </c>
      <c r="D9" s="7"/>
      <c r="E9" s="7" t="s">
        <v>18</v>
      </c>
      <c r="F9" s="93"/>
      <c r="G9" s="34"/>
      <c r="H9" s="63"/>
      <c r="I9" s="65">
        <f>H9-G9</f>
        <v>0</v>
      </c>
      <c r="J9" s="65">
        <f>I9</f>
        <v>0</v>
      </c>
      <c r="K9" s="32"/>
      <c r="L9" s="35"/>
      <c r="M9" s="35"/>
      <c r="N9" s="83"/>
      <c r="O9" s="84"/>
      <c r="P9" s="19">
        <v>3</v>
      </c>
      <c r="Q9" s="33"/>
      <c r="R9" s="8">
        <v>53.9</v>
      </c>
      <c r="S9" s="9">
        <v>2</v>
      </c>
      <c r="T9" s="10">
        <f t="shared" ref="T9:T10" si="0">CEILING(Q9/R9/S9,0.5)</f>
        <v>0</v>
      </c>
      <c r="U9" s="33"/>
      <c r="V9" s="11">
        <v>190</v>
      </c>
      <c r="W9" s="9">
        <v>2</v>
      </c>
      <c r="X9" s="10">
        <f t="shared" ref="X9:X10" si="1">CEILING(U9/V9/W9,0.5)</f>
        <v>0</v>
      </c>
      <c r="Y9" s="33"/>
      <c r="Z9" s="11">
        <v>42</v>
      </c>
      <c r="AA9" s="9">
        <v>2</v>
      </c>
      <c r="AB9" s="12" t="str">
        <f>IF(Y9="","",CEILING(Y9/Z9/AA9,0.5)+1)</f>
        <v/>
      </c>
      <c r="AC9" s="33"/>
      <c r="AD9" s="11">
        <v>40</v>
      </c>
      <c r="AE9" s="9">
        <v>2</v>
      </c>
      <c r="AF9" s="10">
        <f>CEILING(AC9/AD9/AE9,0.5)</f>
        <v>0</v>
      </c>
      <c r="AG9" s="33"/>
      <c r="AH9" s="11">
        <v>130</v>
      </c>
      <c r="AI9" s="9">
        <v>1</v>
      </c>
      <c r="AJ9" s="12" t="str">
        <f>IF(AG9="","",ROUNDUP(AG9/AH9/AI9,0)+1)</f>
        <v/>
      </c>
      <c r="AK9" s="19">
        <f t="shared" ref="AK9" si="2">IF(E9="보통",2,IF(E9="조강",1,""))</f>
        <v>2</v>
      </c>
      <c r="AL9" s="33"/>
      <c r="AM9" s="11">
        <v>225</v>
      </c>
      <c r="AN9" s="9">
        <v>1</v>
      </c>
      <c r="AO9" s="10">
        <f>CEILING(AL9/AM9/AN9,0.5)</f>
        <v>0</v>
      </c>
      <c r="AP9" s="18">
        <f>ROUNDUP(SUM(P9,T9,X9,AB9,AF9,AJ9,AK9,AO9),0)</f>
        <v>5</v>
      </c>
      <c r="AQ9" s="29"/>
      <c r="AR9" s="13">
        <v>40</v>
      </c>
      <c r="AS9" s="9">
        <v>1</v>
      </c>
      <c r="AT9" s="10">
        <f t="shared" ref="AT9:AT10" si="3">CEILING(AQ9/AR9/AS9,0.5)</f>
        <v>0</v>
      </c>
      <c r="AU9" s="29"/>
      <c r="AV9" s="11">
        <v>130</v>
      </c>
      <c r="AW9" s="9">
        <v>1</v>
      </c>
      <c r="AX9" s="12" t="str">
        <f t="shared" ref="AX9:AX10" si="4">IF(AU9="","",ROUNDUP(AU9/AV9/AW9,0)+1)</f>
        <v/>
      </c>
      <c r="AY9" s="19">
        <f t="shared" ref="AY9" si="5">IF(E9="보통",5,IF(E9="조강",2,""))</f>
        <v>5</v>
      </c>
      <c r="AZ9" s="29"/>
      <c r="BA9" s="25">
        <f t="shared" ref="BA9:BA81" si="6">20*(10+1)</f>
        <v>220</v>
      </c>
      <c r="BB9" s="9">
        <v>1</v>
      </c>
      <c r="BC9" s="10">
        <f t="shared" ref="BC9:BC10" si="7">CEILING(AZ9/BA9/BB9,0.5)</f>
        <v>0</v>
      </c>
      <c r="BD9" s="29"/>
      <c r="BE9" s="13">
        <v>35</v>
      </c>
      <c r="BF9" s="9">
        <v>2</v>
      </c>
      <c r="BG9" s="12" t="str">
        <f>IF(BD9="","",2)</f>
        <v/>
      </c>
      <c r="BH9" s="29"/>
      <c r="BI9" s="14">
        <v>3.4</v>
      </c>
      <c r="BJ9" s="9">
        <v>2</v>
      </c>
      <c r="BK9" s="10">
        <f t="shared" ref="BK9:BK10" si="8">CEILING(BH9/BI9/BJ9,0.5)</f>
        <v>0</v>
      </c>
      <c r="BL9" s="29"/>
      <c r="BM9" s="11">
        <v>125</v>
      </c>
      <c r="BN9" s="9">
        <v>1</v>
      </c>
      <c r="BO9" s="12" t="str">
        <f>IF(BL9="","",ROUNDUP(BL9/BM9/BN9,0)+1)</f>
        <v/>
      </c>
      <c r="BP9" s="19">
        <f t="shared" ref="BP9" si="9">IF(E9="보통",7,IF(E9="조강",3,""))</f>
        <v>7</v>
      </c>
      <c r="BQ9" s="21">
        <f>ROUNDUP(SUM(AT9,AX9,AY9,BC9,BG9,BK9,BO9,BP9),0)</f>
        <v>12</v>
      </c>
      <c r="BR9" s="29"/>
      <c r="BS9" s="11">
        <v>165</v>
      </c>
      <c r="BT9" s="9">
        <v>1</v>
      </c>
      <c r="BU9" s="10">
        <f>CEILING(BR9/BS9/BT9,0.5)</f>
        <v>0</v>
      </c>
      <c r="BV9" s="29"/>
      <c r="BW9" s="11">
        <v>150</v>
      </c>
      <c r="BX9" s="9">
        <v>2</v>
      </c>
      <c r="BY9" s="10">
        <f>CEILING(BV9/BW9/BX9,0.5)</f>
        <v>0</v>
      </c>
      <c r="BZ9" s="29"/>
      <c r="CA9" s="13">
        <v>320</v>
      </c>
      <c r="CB9" s="9">
        <v>2</v>
      </c>
      <c r="CC9" s="10">
        <f>CEILING(BZ9/CA9/CB9,0.5)</f>
        <v>0</v>
      </c>
      <c r="CD9" s="29"/>
      <c r="CE9" s="13">
        <v>8000</v>
      </c>
      <c r="CF9" s="9">
        <v>1</v>
      </c>
      <c r="CG9" s="10">
        <f>CEILING(CD9/CE9/CF9,0.5)</f>
        <v>0</v>
      </c>
      <c r="CH9" s="29"/>
      <c r="CI9" s="13">
        <v>300</v>
      </c>
      <c r="CJ9" s="9">
        <v>2</v>
      </c>
      <c r="CK9" s="10">
        <f>CEILING(CH9/CI9/CJ9,0.5)</f>
        <v>0</v>
      </c>
      <c r="CL9" s="38">
        <f t="shared" ref="CL9" si="10">I9</f>
        <v>0</v>
      </c>
      <c r="CM9" s="15">
        <v>50</v>
      </c>
      <c r="CN9" s="9">
        <v>1</v>
      </c>
      <c r="CO9" s="10">
        <f>CEILING(CL9/CM9/CN9,0.5)</f>
        <v>0</v>
      </c>
      <c r="CP9" s="20">
        <f>ROUNDUP(SUM(BU9,BY9,CC9,CG9,CK9,CO9),0)</f>
        <v>0</v>
      </c>
      <c r="CQ9" s="5">
        <f t="shared" ref="CQ9" si="11">AP9</f>
        <v>5</v>
      </c>
      <c r="CR9" s="5">
        <f t="shared" ref="CR9" si="12">BQ9</f>
        <v>12</v>
      </c>
      <c r="CS9" s="5">
        <f>CP9</f>
        <v>0</v>
      </c>
      <c r="CT9" s="5">
        <f>SUM(CQ9:CS9)</f>
        <v>17</v>
      </c>
      <c r="CY9" s="40"/>
      <c r="DF9" s="40"/>
    </row>
    <row r="10" spans="1:112" s="6" customFormat="1" ht="17.25" hidden="1" customHeight="1">
      <c r="A10" s="40"/>
      <c r="B10" s="133">
        <v>0</v>
      </c>
      <c r="C10" s="48" t="s">
        <v>54</v>
      </c>
      <c r="D10" s="48"/>
      <c r="E10" s="133" t="s">
        <v>18</v>
      </c>
      <c r="F10" s="126"/>
      <c r="G10" s="129"/>
      <c r="H10" s="129"/>
      <c r="I10" s="134">
        <f t="shared" ref="I10" si="13">H10-G10</f>
        <v>0</v>
      </c>
      <c r="J10" s="134">
        <f>I10</f>
        <v>0</v>
      </c>
      <c r="K10" s="127" t="s">
        <v>56</v>
      </c>
      <c r="L10" s="37"/>
      <c r="M10" s="37"/>
      <c r="N10" s="66"/>
      <c r="O10" s="85"/>
      <c r="P10" s="77">
        <v>3</v>
      </c>
      <c r="Q10" s="128"/>
      <c r="R10" s="44">
        <v>53.9</v>
      </c>
      <c r="S10" s="43">
        <v>2</v>
      </c>
      <c r="T10" s="42">
        <f t="shared" si="0"/>
        <v>0</v>
      </c>
      <c r="U10" s="125"/>
      <c r="V10" s="41">
        <v>190</v>
      </c>
      <c r="W10" s="43">
        <v>2</v>
      </c>
      <c r="X10" s="42">
        <f t="shared" si="1"/>
        <v>0</v>
      </c>
      <c r="Y10" s="432" t="s">
        <v>49</v>
      </c>
      <c r="Z10" s="432"/>
      <c r="AA10" s="432"/>
      <c r="AB10" s="432"/>
      <c r="AC10" s="82">
        <f>I10*2</f>
        <v>0</v>
      </c>
      <c r="AD10" s="76">
        <v>20</v>
      </c>
      <c r="AE10" s="43">
        <v>2</v>
      </c>
      <c r="AF10" s="42">
        <f t="shared" ref="AF10" si="14">CEILING(AC10/AD10/AE10,0.5)</f>
        <v>0</v>
      </c>
      <c r="AG10" s="125"/>
      <c r="AH10" s="41"/>
      <c r="AI10" s="43"/>
      <c r="AJ10" s="75"/>
      <c r="AK10" s="77"/>
      <c r="AL10" s="125"/>
      <c r="AM10" s="41">
        <v>225</v>
      </c>
      <c r="AN10" s="43">
        <v>1</v>
      </c>
      <c r="AO10" s="42">
        <f t="shared" ref="AO10" si="15">ROUND(AL10/AM10/AN10,0)</f>
        <v>0</v>
      </c>
      <c r="AP10" s="74">
        <f>ROUNDUP(SUM(T10,X10,AF10,AJ10,AK10,AO10,P10),0)</f>
        <v>3</v>
      </c>
      <c r="AQ10" s="125"/>
      <c r="AR10" s="73">
        <v>40</v>
      </c>
      <c r="AS10" s="43">
        <v>1</v>
      </c>
      <c r="AT10" s="42">
        <f t="shared" si="3"/>
        <v>0</v>
      </c>
      <c r="AU10" s="125"/>
      <c r="AV10" s="41">
        <v>130</v>
      </c>
      <c r="AW10" s="43">
        <v>1</v>
      </c>
      <c r="AX10" s="75" t="str">
        <f t="shared" si="4"/>
        <v/>
      </c>
      <c r="AY10" s="19"/>
      <c r="AZ10" s="124"/>
      <c r="BA10" s="76">
        <f t="shared" si="6"/>
        <v>220</v>
      </c>
      <c r="BB10" s="43">
        <v>1</v>
      </c>
      <c r="BC10" s="42">
        <f t="shared" si="7"/>
        <v>0</v>
      </c>
      <c r="BD10" s="135"/>
      <c r="BE10" s="73">
        <v>35</v>
      </c>
      <c r="BF10" s="43">
        <v>2</v>
      </c>
      <c r="BG10" s="75" t="str">
        <f t="shared" ref="BG10" si="16">IF(BD10="","",2)</f>
        <v/>
      </c>
      <c r="BH10" s="136"/>
      <c r="BI10" s="72">
        <v>3.4</v>
      </c>
      <c r="BJ10" s="43">
        <v>2</v>
      </c>
      <c r="BK10" s="42">
        <f t="shared" si="8"/>
        <v>0</v>
      </c>
      <c r="BL10" s="137"/>
      <c r="BM10" s="41">
        <v>125</v>
      </c>
      <c r="BN10" s="43">
        <v>1</v>
      </c>
      <c r="BO10" s="75" t="str">
        <f t="shared" ref="BO10" si="17">IF(BL10="","",ROUNDUP(BL10/BM10/BN10,0)+1)</f>
        <v/>
      </c>
      <c r="BP10" s="77">
        <f t="shared" ref="BP10" si="18">IF(E10="보통",7,IF(E10="조강",3,""))</f>
        <v>7</v>
      </c>
      <c r="BQ10" s="71">
        <f t="shared" ref="BQ10" si="19">ROUNDUP(SUM(AT10,AX10,AY10,BC10,BG10,BK10,BO10,BP10),0)</f>
        <v>7</v>
      </c>
      <c r="BR10" s="125"/>
      <c r="BS10" s="41">
        <v>165</v>
      </c>
      <c r="BT10" s="43">
        <v>1</v>
      </c>
      <c r="BU10" s="42">
        <f t="shared" ref="BU10" si="20">CEILING(BR10/BS10/BT10,0.5)</f>
        <v>0</v>
      </c>
      <c r="BV10" s="138"/>
      <c r="BW10" s="41">
        <v>150</v>
      </c>
      <c r="BX10" s="43">
        <v>2</v>
      </c>
      <c r="BY10" s="42">
        <f t="shared" ref="BY10" si="21">CEILING(BV10/BW10/BX10,0.5)</f>
        <v>0</v>
      </c>
      <c r="BZ10" s="139"/>
      <c r="CA10" s="73">
        <v>320</v>
      </c>
      <c r="CB10" s="43">
        <v>2</v>
      </c>
      <c r="CC10" s="42">
        <f t="shared" ref="CC10" si="22">CEILING(BZ10/CA10/CB10,0.5)</f>
        <v>0</v>
      </c>
      <c r="CD10" s="33"/>
      <c r="CE10" s="73">
        <v>8000</v>
      </c>
      <c r="CF10" s="43">
        <v>1</v>
      </c>
      <c r="CG10" s="42">
        <f t="shared" ref="CG10" si="23">CEILING(CD10/CE10/CF10,0.5)</f>
        <v>0</v>
      </c>
      <c r="CH10" s="33"/>
      <c r="CI10" s="73">
        <v>300</v>
      </c>
      <c r="CJ10" s="43">
        <v>2</v>
      </c>
      <c r="CK10" s="42">
        <f t="shared" ref="CK10" si="24">CEILING(CH10/CI10/CJ10,0.5)</f>
        <v>0</v>
      </c>
      <c r="CL10" s="70">
        <f t="shared" ref="CL10" si="25">I10</f>
        <v>0</v>
      </c>
      <c r="CM10" s="69">
        <v>50</v>
      </c>
      <c r="CN10" s="43">
        <v>1</v>
      </c>
      <c r="CO10" s="42">
        <f t="shared" ref="CO10" si="26">CEILING(CL10/CM10/CN10,0.5)</f>
        <v>0</v>
      </c>
      <c r="CP10" s="68">
        <f t="shared" ref="CP10" si="27">ROUNDUP(SUM(BU10,BY10,CC10,CG10,CK10,CO10),0)</f>
        <v>0</v>
      </c>
      <c r="CQ10" s="4">
        <f t="shared" ref="CQ10" si="28">AP10</f>
        <v>3</v>
      </c>
      <c r="CR10" s="4">
        <f t="shared" ref="CR10" si="29">BQ10</f>
        <v>7</v>
      </c>
      <c r="CS10" s="4">
        <f t="shared" ref="CS10" si="30">CP10</f>
        <v>0</v>
      </c>
      <c r="CT10" s="4">
        <f t="shared" ref="CT10" si="31">SUM(CQ10:CS10)</f>
        <v>10</v>
      </c>
      <c r="CY10" s="40"/>
      <c r="DF10" s="40"/>
    </row>
    <row r="11" spans="1:112" s="86" customFormat="1" ht="17.25" customHeight="1" thickBot="1">
      <c r="A11" s="87"/>
      <c r="B11" s="430" t="s">
        <v>72</v>
      </c>
      <c r="C11" s="431"/>
      <c r="D11" s="431"/>
      <c r="E11" s="100" t="s">
        <v>73</v>
      </c>
      <c r="F11" s="101">
        <f>53-4-8.5-2-8</f>
        <v>30.5</v>
      </c>
      <c r="G11" s="102"/>
      <c r="H11" s="102"/>
      <c r="I11" s="103"/>
      <c r="J11" s="103"/>
      <c r="K11" s="104"/>
      <c r="L11" s="104"/>
      <c r="M11" s="104"/>
      <c r="N11" s="105"/>
      <c r="O11" s="105"/>
      <c r="P11" s="106"/>
      <c r="Q11" s="107"/>
      <c r="R11" s="108"/>
      <c r="S11" s="109"/>
      <c r="T11" s="110"/>
      <c r="U11" s="107"/>
      <c r="V11" s="111"/>
      <c r="W11" s="109"/>
      <c r="X11" s="110"/>
      <c r="Y11" s="107"/>
      <c r="Z11" s="107"/>
      <c r="AA11" s="107"/>
      <c r="AB11" s="107"/>
      <c r="AC11" s="112"/>
      <c r="AD11" s="113"/>
      <c r="AE11" s="109"/>
      <c r="AF11" s="110"/>
      <c r="AG11" s="107"/>
      <c r="AH11" s="111"/>
      <c r="AI11" s="109"/>
      <c r="AJ11" s="114"/>
      <c r="AK11" s="106"/>
      <c r="AL11" s="107"/>
      <c r="AM11" s="111"/>
      <c r="AN11" s="109"/>
      <c r="AO11" s="110"/>
      <c r="AP11" s="115"/>
      <c r="AQ11" s="107"/>
      <c r="AR11" s="116"/>
      <c r="AS11" s="109"/>
      <c r="AT11" s="110"/>
      <c r="AU11" s="107"/>
      <c r="AV11" s="111"/>
      <c r="AW11" s="109"/>
      <c r="AX11" s="114"/>
      <c r="AY11" s="106"/>
      <c r="AZ11" s="112"/>
      <c r="BA11" s="113"/>
      <c r="BB11" s="109"/>
      <c r="BC11" s="110"/>
      <c r="BD11" s="112"/>
      <c r="BE11" s="116"/>
      <c r="BF11" s="109"/>
      <c r="BG11" s="114"/>
      <c r="BH11" s="112"/>
      <c r="BI11" s="117"/>
      <c r="BJ11" s="109"/>
      <c r="BK11" s="110"/>
      <c r="BL11" s="112"/>
      <c r="BM11" s="111"/>
      <c r="BN11" s="109"/>
      <c r="BO11" s="114"/>
      <c r="BP11" s="106"/>
      <c r="BQ11" s="115"/>
      <c r="BR11" s="107"/>
      <c r="BS11" s="111"/>
      <c r="BT11" s="109"/>
      <c r="BU11" s="110"/>
      <c r="BV11" s="112"/>
      <c r="BW11" s="111"/>
      <c r="BX11" s="109"/>
      <c r="BY11" s="110"/>
      <c r="BZ11" s="112"/>
      <c r="CA11" s="116"/>
      <c r="CB11" s="109"/>
      <c r="CC11" s="110"/>
      <c r="CD11" s="112"/>
      <c r="CE11" s="116"/>
      <c r="CF11" s="109"/>
      <c r="CG11" s="110"/>
      <c r="CH11" s="112"/>
      <c r="CI11" s="116"/>
      <c r="CJ11" s="109"/>
      <c r="CK11" s="110"/>
      <c r="CL11" s="118"/>
      <c r="CM11" s="119"/>
      <c r="CN11" s="109"/>
      <c r="CO11" s="110"/>
      <c r="CP11" s="120"/>
      <c r="CQ11" s="120"/>
      <c r="CR11" s="120"/>
      <c r="CS11" s="120"/>
      <c r="CT11" s="121"/>
      <c r="CY11" s="87"/>
      <c r="DF11" s="87"/>
    </row>
    <row r="12" spans="1:112" s="6" customFormat="1" ht="17.25" customHeight="1">
      <c r="A12" s="40"/>
      <c r="B12" s="98">
        <v>1</v>
      </c>
      <c r="C12" s="98" t="s">
        <v>79</v>
      </c>
      <c r="D12" s="98" t="s">
        <v>82</v>
      </c>
      <c r="E12" s="98" t="s">
        <v>18</v>
      </c>
      <c r="F12" s="93"/>
      <c r="G12" s="140" t="s">
        <v>80</v>
      </c>
      <c r="H12" s="141">
        <v>128.809</v>
      </c>
      <c r="I12" s="65">
        <f t="shared" ref="I12:I18" si="32">H12-G12</f>
        <v>128.809</v>
      </c>
      <c r="J12" s="65">
        <f>I12</f>
        <v>128.809</v>
      </c>
      <c r="K12" s="88" t="s">
        <v>99</v>
      </c>
      <c r="L12" s="437" t="s">
        <v>89</v>
      </c>
      <c r="M12" s="440">
        <f>SUM(I12:I18)</f>
        <v>1043.4289999999996</v>
      </c>
      <c r="N12" s="454">
        <f>SUM(CQ12:CQ18,CR17:CS17)/18.4</f>
        <v>10.32608695652174</v>
      </c>
      <c r="O12" s="457">
        <v>12</v>
      </c>
      <c r="P12" s="19">
        <v>3</v>
      </c>
      <c r="Q12" s="145">
        <v>505.05813000000001</v>
      </c>
      <c r="R12" s="8">
        <v>53.9</v>
      </c>
      <c r="S12" s="9">
        <v>2</v>
      </c>
      <c r="T12" s="10">
        <f t="shared" ref="T12:T31" si="33">CEILING(Q12/R12/S12,0.5)</f>
        <v>5</v>
      </c>
      <c r="U12" s="145">
        <v>1736.6454799999999</v>
      </c>
      <c r="V12" s="11">
        <v>190</v>
      </c>
      <c r="W12" s="9">
        <v>2</v>
      </c>
      <c r="X12" s="10">
        <f t="shared" ref="X12:X31" si="34">CEILING(U12/V12/W12,0.5)</f>
        <v>5</v>
      </c>
      <c r="Y12" s="145">
        <v>278.87904000000003</v>
      </c>
      <c r="Z12" s="11">
        <v>42</v>
      </c>
      <c r="AA12" s="9">
        <v>2</v>
      </c>
      <c r="AB12" s="12">
        <f t="shared" ref="AB12:AB18" si="35">IF(Y12="","",CEILING(Y12/Z12/AA12,0.5)+1)</f>
        <v>4.5</v>
      </c>
      <c r="AC12" s="145">
        <v>166.97200000000001</v>
      </c>
      <c r="AD12" s="11">
        <v>40</v>
      </c>
      <c r="AE12" s="9">
        <v>2</v>
      </c>
      <c r="AF12" s="10">
        <f t="shared" ref="AF12:AF18" si="36">CEILING(AC12/AD12/AE12,0.5)</f>
        <v>2.5</v>
      </c>
      <c r="AG12" s="145">
        <v>75.1374</v>
      </c>
      <c r="AH12" s="11">
        <v>130</v>
      </c>
      <c r="AI12" s="9">
        <v>1</v>
      </c>
      <c r="AJ12" s="12">
        <f t="shared" ref="AJ12:AJ18" si="37">IF(AG12="","",ROUNDUP(AG12/AH12/AI12,0)+1)</f>
        <v>2</v>
      </c>
      <c r="AK12" s="19">
        <f t="shared" ref="AK12:AK18" si="38">IF(E12="보통",2,IF(E12="조강",1,""))</f>
        <v>2</v>
      </c>
      <c r="AL12" s="145">
        <v>381.82042000000001</v>
      </c>
      <c r="AM12" s="11">
        <v>225</v>
      </c>
      <c r="AN12" s="9">
        <v>1</v>
      </c>
      <c r="AO12" s="10">
        <f t="shared" ref="AO12:AO18" si="39">CEILING(AL12/AM12/AN12,0.5)</f>
        <v>2</v>
      </c>
      <c r="AP12" s="18">
        <f t="shared" ref="AP12:AP18" si="40">ROUNDUP(SUM(P12,T12,X12,AB12,AF12,AJ12,AK12,AO12),0)</f>
        <v>26</v>
      </c>
      <c r="AQ12" s="145">
        <v>51.523600000000002</v>
      </c>
      <c r="AR12" s="13">
        <v>40</v>
      </c>
      <c r="AS12" s="9">
        <v>1</v>
      </c>
      <c r="AT12" s="10">
        <f t="shared" ref="AT12:AT31" si="41">CEILING(AQ12/AR12/AS12,0.5)</f>
        <v>1.5</v>
      </c>
      <c r="AU12" s="145">
        <v>56.675960000000003</v>
      </c>
      <c r="AV12" s="11">
        <v>130</v>
      </c>
      <c r="AW12" s="9">
        <v>1</v>
      </c>
      <c r="AX12" s="12">
        <f t="shared" ref="AX12:AX31" si="42">IF(AU12="","",ROUNDUP(AU12/AV12/AW12,0)+1)</f>
        <v>2</v>
      </c>
      <c r="AY12" s="19">
        <f t="shared" ref="AY12:AY20" si="43">IF(E12="보통",5,IF(E12="조강",2,""))</f>
        <v>5</v>
      </c>
      <c r="AZ12" s="145">
        <v>515.23599999999999</v>
      </c>
      <c r="BA12" s="25">
        <f t="shared" si="6"/>
        <v>220</v>
      </c>
      <c r="BB12" s="9">
        <v>1</v>
      </c>
      <c r="BC12" s="10">
        <f t="shared" ref="BC12:BC31" si="44">CEILING(AZ12/BA12/BB12,0.5)</f>
        <v>2.5</v>
      </c>
      <c r="BD12" s="145">
        <v>194.24397199999999</v>
      </c>
      <c r="BE12" s="13">
        <v>35</v>
      </c>
      <c r="BF12" s="9">
        <v>2</v>
      </c>
      <c r="BG12" s="12">
        <f t="shared" ref="BG12:BG18" si="45">IF(BD12="","",2)</f>
        <v>2</v>
      </c>
      <c r="BH12" s="145">
        <v>32.975104000000002</v>
      </c>
      <c r="BI12" s="14">
        <v>3.4</v>
      </c>
      <c r="BJ12" s="9">
        <v>2</v>
      </c>
      <c r="BK12" s="10">
        <f t="shared" ref="BK12:BK31" si="46">CEILING(BH12/BI12/BJ12,0.5)</f>
        <v>5</v>
      </c>
      <c r="BL12" s="145">
        <v>176.72594800000002</v>
      </c>
      <c r="BM12" s="11">
        <v>125</v>
      </c>
      <c r="BN12" s="9">
        <v>1</v>
      </c>
      <c r="BO12" s="12">
        <f t="shared" ref="BO12:BO18" si="47">IF(BL12="","",ROUNDUP(BL12/BM12/BN12,0)+1)</f>
        <v>3</v>
      </c>
      <c r="BP12" s="19">
        <f t="shared" ref="BP12:BP31" si="48">IF(E12="보통",7,IF(E12="조강",3,""))</f>
        <v>7</v>
      </c>
      <c r="BQ12" s="21">
        <f t="shared" ref="BQ12:BQ18" si="49">ROUNDUP(SUM(AT12,AX12,AY12,BC12,BG12,BK12,BO12,BP12),0)</f>
        <v>28</v>
      </c>
      <c r="BR12" s="145">
        <v>172.52975000000001</v>
      </c>
      <c r="BS12" s="11">
        <v>165</v>
      </c>
      <c r="BT12" s="9">
        <v>1</v>
      </c>
      <c r="BU12" s="10">
        <f t="shared" ref="BU12:BU18" si="50">CEILING(BR12/BS12/BT12,0.5)</f>
        <v>1.5</v>
      </c>
      <c r="BV12" s="145">
        <v>229.02852799999999</v>
      </c>
      <c r="BW12" s="11">
        <v>150</v>
      </c>
      <c r="BX12" s="9">
        <v>2</v>
      </c>
      <c r="BY12" s="10">
        <f t="shared" ref="BY12:BY18" si="51">CEILING(BV12/BW12/BX12,0.5)</f>
        <v>1</v>
      </c>
      <c r="BZ12" s="145">
        <v>1379.0270399999999</v>
      </c>
      <c r="CA12" s="13">
        <v>320</v>
      </c>
      <c r="CB12" s="9">
        <v>2</v>
      </c>
      <c r="CC12" s="10">
        <f t="shared" ref="CC12:CC18" si="52">CEILING(BZ12/CA12/CB12,0.5)</f>
        <v>2.5</v>
      </c>
      <c r="CD12" s="145">
        <v>4137.0811199999998</v>
      </c>
      <c r="CE12" s="13">
        <v>8000</v>
      </c>
      <c r="CF12" s="9">
        <v>1</v>
      </c>
      <c r="CG12" s="10">
        <f t="shared" ref="CG12:CG18" si="53">CEILING(CD12/CE12/CF12,0.5)</f>
        <v>1</v>
      </c>
      <c r="CH12" s="145">
        <v>2758.0540799999999</v>
      </c>
      <c r="CI12" s="13">
        <v>300</v>
      </c>
      <c r="CJ12" s="9">
        <v>2</v>
      </c>
      <c r="CK12" s="10">
        <f t="shared" ref="CK12:CK18" si="54">CEILING(CH12/CI12/CJ12,0.5)</f>
        <v>5</v>
      </c>
      <c r="CL12" s="38">
        <f t="shared" ref="CL12:CL31" si="55">I12</f>
        <v>128.809</v>
      </c>
      <c r="CM12" s="15">
        <v>50</v>
      </c>
      <c r="CN12" s="9">
        <v>1</v>
      </c>
      <c r="CO12" s="10">
        <f t="shared" ref="CO12:CO18" si="56">CEILING(CL12/CM12/CN12,0.5)</f>
        <v>3</v>
      </c>
      <c r="CP12" s="20">
        <f t="shared" ref="CP12:CP18" si="57">ROUNDUP(SUM(BU12,BY12,CC12,CG12,CK12,CO12),0)</f>
        <v>14</v>
      </c>
      <c r="CQ12" s="5">
        <f t="shared" ref="CQ12:CQ31" si="58">AP12</f>
        <v>26</v>
      </c>
      <c r="CR12" s="5">
        <f t="shared" ref="CR12:CR31" si="59">BQ12</f>
        <v>28</v>
      </c>
      <c r="CS12" s="5">
        <f t="shared" ref="CS12:CS18" si="60">CP12</f>
        <v>14</v>
      </c>
      <c r="CT12" s="5">
        <f t="shared" ref="CT12:CT18" si="61">SUM(CQ12:CS12)</f>
        <v>68</v>
      </c>
      <c r="CY12" s="40"/>
      <c r="DF12" s="40"/>
    </row>
    <row r="13" spans="1:112" s="6" customFormat="1" ht="17.25" customHeight="1">
      <c r="A13" s="40"/>
      <c r="B13" s="98">
        <v>2</v>
      </c>
      <c r="C13" s="98" t="s">
        <v>83</v>
      </c>
      <c r="D13" s="98"/>
      <c r="E13" s="98" t="s">
        <v>18</v>
      </c>
      <c r="F13" s="93">
        <v>62</v>
      </c>
      <c r="G13" s="143">
        <v>166.89599999999999</v>
      </c>
      <c r="H13" s="143">
        <v>317.61099999999999</v>
      </c>
      <c r="I13" s="65">
        <f t="shared" si="32"/>
        <v>150.715</v>
      </c>
      <c r="J13" s="65">
        <f t="shared" ref="J13:J18" si="62">J12+I13</f>
        <v>279.524</v>
      </c>
      <c r="K13" s="88"/>
      <c r="L13" s="438"/>
      <c r="M13" s="438"/>
      <c r="N13" s="468"/>
      <c r="O13" s="470"/>
      <c r="P13" s="19">
        <v>3</v>
      </c>
      <c r="Q13" s="145">
        <v>227.57965000000002</v>
      </c>
      <c r="R13" s="8">
        <v>53.9</v>
      </c>
      <c r="S13" s="9">
        <v>2</v>
      </c>
      <c r="T13" s="10">
        <f t="shared" si="33"/>
        <v>2.5</v>
      </c>
      <c r="U13" s="147">
        <v>831.94679999999994</v>
      </c>
      <c r="V13" s="11">
        <v>190</v>
      </c>
      <c r="W13" s="9">
        <v>2</v>
      </c>
      <c r="X13" s="10">
        <f t="shared" si="34"/>
        <v>2.5</v>
      </c>
      <c r="Y13" s="147">
        <v>201.95810000000003</v>
      </c>
      <c r="Z13" s="11">
        <v>42</v>
      </c>
      <c r="AA13" s="9">
        <v>2</v>
      </c>
      <c r="AB13" s="12">
        <f t="shared" si="35"/>
        <v>3.5</v>
      </c>
      <c r="AC13" s="147">
        <v>120.572</v>
      </c>
      <c r="AD13" s="11">
        <v>40</v>
      </c>
      <c r="AE13" s="9">
        <v>2</v>
      </c>
      <c r="AF13" s="10">
        <f t="shared" si="36"/>
        <v>2</v>
      </c>
      <c r="AG13" s="147">
        <v>54.257400000000004</v>
      </c>
      <c r="AH13" s="11">
        <v>130</v>
      </c>
      <c r="AI13" s="9">
        <v>1</v>
      </c>
      <c r="AJ13" s="12">
        <f t="shared" si="37"/>
        <v>2</v>
      </c>
      <c r="AK13" s="19">
        <f t="shared" si="38"/>
        <v>2</v>
      </c>
      <c r="AL13" s="147">
        <v>171.81510000000003</v>
      </c>
      <c r="AM13" s="11">
        <v>225</v>
      </c>
      <c r="AN13" s="9">
        <v>1</v>
      </c>
      <c r="AO13" s="10">
        <f t="shared" si="39"/>
        <v>1</v>
      </c>
      <c r="AP13" s="18">
        <f t="shared" si="40"/>
        <v>19</v>
      </c>
      <c r="AQ13" s="147">
        <v>60.286000000000001</v>
      </c>
      <c r="AR13" s="13">
        <v>40</v>
      </c>
      <c r="AS13" s="9">
        <v>1</v>
      </c>
      <c r="AT13" s="10">
        <f t="shared" si="41"/>
        <v>2</v>
      </c>
      <c r="AU13" s="147">
        <v>66.314600000000013</v>
      </c>
      <c r="AV13" s="11">
        <v>130</v>
      </c>
      <c r="AW13" s="9">
        <v>1</v>
      </c>
      <c r="AX13" s="12">
        <f t="shared" si="42"/>
        <v>2</v>
      </c>
      <c r="AY13" s="19">
        <f t="shared" si="43"/>
        <v>5</v>
      </c>
      <c r="AZ13" s="147">
        <v>602.86</v>
      </c>
      <c r="BA13" s="25">
        <f t="shared" si="6"/>
        <v>220</v>
      </c>
      <c r="BB13" s="9">
        <v>1</v>
      </c>
      <c r="BC13" s="10">
        <f t="shared" si="44"/>
        <v>3</v>
      </c>
      <c r="BD13" s="147">
        <v>227.27822</v>
      </c>
      <c r="BE13" s="13">
        <v>35</v>
      </c>
      <c r="BF13" s="9">
        <v>2</v>
      </c>
      <c r="BG13" s="12">
        <f t="shared" si="45"/>
        <v>2</v>
      </c>
      <c r="BH13" s="147">
        <v>38.583040000000004</v>
      </c>
      <c r="BI13" s="14">
        <v>3.4</v>
      </c>
      <c r="BJ13" s="9">
        <v>2</v>
      </c>
      <c r="BK13" s="10">
        <f t="shared" si="46"/>
        <v>6</v>
      </c>
      <c r="BL13" s="147">
        <v>206.78098000000003</v>
      </c>
      <c r="BM13" s="11">
        <v>125</v>
      </c>
      <c r="BN13" s="9">
        <v>1</v>
      </c>
      <c r="BO13" s="12">
        <f t="shared" si="47"/>
        <v>3</v>
      </c>
      <c r="BP13" s="19">
        <f t="shared" si="48"/>
        <v>7</v>
      </c>
      <c r="BQ13" s="21">
        <f t="shared" si="49"/>
        <v>30</v>
      </c>
      <c r="BR13" s="147">
        <v>74.453209999999999</v>
      </c>
      <c r="BS13" s="11">
        <v>165</v>
      </c>
      <c r="BT13" s="9">
        <v>1</v>
      </c>
      <c r="BU13" s="10">
        <f t="shared" si="50"/>
        <v>0.5</v>
      </c>
      <c r="BV13" s="147">
        <v>100.97905000000002</v>
      </c>
      <c r="BW13" s="11">
        <v>150</v>
      </c>
      <c r="BX13" s="9">
        <v>2</v>
      </c>
      <c r="BY13" s="10">
        <f t="shared" si="51"/>
        <v>0.5</v>
      </c>
      <c r="BZ13" s="147">
        <v>614.91719999999998</v>
      </c>
      <c r="CA13" s="13">
        <v>320</v>
      </c>
      <c r="CB13" s="9">
        <v>2</v>
      </c>
      <c r="CC13" s="10">
        <f t="shared" si="52"/>
        <v>1</v>
      </c>
      <c r="CD13" s="147">
        <v>1844.7516000000001</v>
      </c>
      <c r="CE13" s="13">
        <v>8000</v>
      </c>
      <c r="CF13" s="9">
        <v>1</v>
      </c>
      <c r="CG13" s="10">
        <f t="shared" si="53"/>
        <v>0.5</v>
      </c>
      <c r="CH13" s="147">
        <v>1229.8344</v>
      </c>
      <c r="CI13" s="13">
        <v>300</v>
      </c>
      <c r="CJ13" s="9">
        <v>2</v>
      </c>
      <c r="CK13" s="10">
        <f t="shared" si="54"/>
        <v>2.5</v>
      </c>
      <c r="CL13" s="38">
        <f t="shared" si="55"/>
        <v>150.715</v>
      </c>
      <c r="CM13" s="15">
        <v>50</v>
      </c>
      <c r="CN13" s="9">
        <v>1</v>
      </c>
      <c r="CO13" s="10">
        <f t="shared" si="56"/>
        <v>3.5</v>
      </c>
      <c r="CP13" s="20">
        <f t="shared" si="57"/>
        <v>9</v>
      </c>
      <c r="CQ13" s="5">
        <f t="shared" si="58"/>
        <v>19</v>
      </c>
      <c r="CR13" s="5">
        <f t="shared" si="59"/>
        <v>30</v>
      </c>
      <c r="CS13" s="5">
        <f t="shared" si="60"/>
        <v>9</v>
      </c>
      <c r="CT13" s="5">
        <f t="shared" si="61"/>
        <v>58</v>
      </c>
      <c r="CY13" s="40"/>
      <c r="DF13" s="40"/>
    </row>
    <row r="14" spans="1:112" s="6" customFormat="1" ht="17.25" customHeight="1">
      <c r="A14" s="40"/>
      <c r="B14" s="98">
        <v>3</v>
      </c>
      <c r="C14" s="98" t="s">
        <v>84</v>
      </c>
      <c r="D14" s="98" t="s">
        <v>82</v>
      </c>
      <c r="E14" s="98" t="s">
        <v>18</v>
      </c>
      <c r="F14" s="93"/>
      <c r="G14" s="141">
        <v>354.07299999999998</v>
      </c>
      <c r="H14" s="141">
        <v>441.58499999999998</v>
      </c>
      <c r="I14" s="65">
        <f t="shared" si="32"/>
        <v>87.512</v>
      </c>
      <c r="J14" s="65">
        <f t="shared" si="62"/>
        <v>367.036</v>
      </c>
      <c r="K14" s="88"/>
      <c r="L14" s="438"/>
      <c r="M14" s="438"/>
      <c r="N14" s="468"/>
      <c r="O14" s="470"/>
      <c r="P14" s="19">
        <v>3</v>
      </c>
      <c r="Q14" s="145">
        <v>132.14312000000001</v>
      </c>
      <c r="R14" s="8">
        <v>53.9</v>
      </c>
      <c r="S14" s="9">
        <v>2</v>
      </c>
      <c r="T14" s="10">
        <f t="shared" si="33"/>
        <v>1.5</v>
      </c>
      <c r="U14" s="147">
        <v>483.06623999999999</v>
      </c>
      <c r="V14" s="11">
        <v>190</v>
      </c>
      <c r="W14" s="9">
        <v>2</v>
      </c>
      <c r="X14" s="10">
        <f t="shared" si="34"/>
        <v>1.5</v>
      </c>
      <c r="Y14" s="147">
        <v>117.26608</v>
      </c>
      <c r="Z14" s="11">
        <v>42</v>
      </c>
      <c r="AA14" s="9">
        <v>2</v>
      </c>
      <c r="AB14" s="12">
        <f t="shared" si="35"/>
        <v>2.5</v>
      </c>
      <c r="AC14" s="147">
        <v>70.009600000000006</v>
      </c>
      <c r="AD14" s="11">
        <v>40</v>
      </c>
      <c r="AE14" s="9">
        <v>2</v>
      </c>
      <c r="AF14" s="10">
        <f t="shared" si="36"/>
        <v>1</v>
      </c>
      <c r="AG14" s="147">
        <v>31.504320000000003</v>
      </c>
      <c r="AH14" s="11">
        <v>130</v>
      </c>
      <c r="AI14" s="9">
        <v>1</v>
      </c>
      <c r="AJ14" s="12">
        <f t="shared" si="37"/>
        <v>2</v>
      </c>
      <c r="AK14" s="19">
        <f t="shared" si="38"/>
        <v>2</v>
      </c>
      <c r="AL14" s="147">
        <v>99.763680000000008</v>
      </c>
      <c r="AM14" s="11">
        <v>225</v>
      </c>
      <c r="AN14" s="9">
        <v>1</v>
      </c>
      <c r="AO14" s="10">
        <f t="shared" si="39"/>
        <v>0.5</v>
      </c>
      <c r="AP14" s="18">
        <f t="shared" si="40"/>
        <v>14</v>
      </c>
      <c r="AQ14" s="147">
        <v>35.004800000000003</v>
      </c>
      <c r="AR14" s="13">
        <v>40</v>
      </c>
      <c r="AS14" s="9">
        <v>1</v>
      </c>
      <c r="AT14" s="10">
        <f t="shared" si="41"/>
        <v>1</v>
      </c>
      <c r="AU14" s="147">
        <v>38.505280000000006</v>
      </c>
      <c r="AV14" s="11">
        <v>130</v>
      </c>
      <c r="AW14" s="9">
        <v>1</v>
      </c>
      <c r="AX14" s="12">
        <f t="shared" si="42"/>
        <v>2</v>
      </c>
      <c r="AY14" s="19">
        <f t="shared" si="43"/>
        <v>5</v>
      </c>
      <c r="AZ14" s="147">
        <v>350.048</v>
      </c>
      <c r="BA14" s="25">
        <f t="shared" si="6"/>
        <v>220</v>
      </c>
      <c r="BB14" s="9">
        <v>1</v>
      </c>
      <c r="BC14" s="10">
        <f t="shared" si="44"/>
        <v>2</v>
      </c>
      <c r="BD14" s="147">
        <v>131.968096</v>
      </c>
      <c r="BE14" s="13">
        <v>35</v>
      </c>
      <c r="BF14" s="9">
        <v>2</v>
      </c>
      <c r="BG14" s="12">
        <f t="shared" si="45"/>
        <v>2</v>
      </c>
      <c r="BH14" s="147">
        <v>22.403072000000002</v>
      </c>
      <c r="BI14" s="14">
        <v>3.4</v>
      </c>
      <c r="BJ14" s="9">
        <v>2</v>
      </c>
      <c r="BK14" s="10">
        <f t="shared" si="46"/>
        <v>3.5</v>
      </c>
      <c r="BL14" s="147">
        <v>120.06646400000001</v>
      </c>
      <c r="BM14" s="11">
        <v>125</v>
      </c>
      <c r="BN14" s="9">
        <v>1</v>
      </c>
      <c r="BO14" s="12">
        <f t="shared" si="47"/>
        <v>2</v>
      </c>
      <c r="BP14" s="19">
        <f t="shared" si="48"/>
        <v>7</v>
      </c>
      <c r="BQ14" s="21">
        <f t="shared" si="49"/>
        <v>25</v>
      </c>
      <c r="BR14" s="147">
        <v>43.230927999999999</v>
      </c>
      <c r="BS14" s="11">
        <v>165</v>
      </c>
      <c r="BT14" s="9">
        <v>1</v>
      </c>
      <c r="BU14" s="10">
        <f t="shared" si="50"/>
        <v>0.5</v>
      </c>
      <c r="BV14" s="147">
        <v>58.633040000000001</v>
      </c>
      <c r="BW14" s="11">
        <v>150</v>
      </c>
      <c r="BX14" s="9">
        <v>2</v>
      </c>
      <c r="BY14" s="10">
        <f t="shared" si="51"/>
        <v>0.5</v>
      </c>
      <c r="BZ14" s="147">
        <v>357.04896000000002</v>
      </c>
      <c r="CA14" s="13">
        <v>320</v>
      </c>
      <c r="CB14" s="9">
        <v>2</v>
      </c>
      <c r="CC14" s="10">
        <f t="shared" si="52"/>
        <v>1</v>
      </c>
      <c r="CD14" s="147">
        <v>1071.14688</v>
      </c>
      <c r="CE14" s="13">
        <v>8000</v>
      </c>
      <c r="CF14" s="9">
        <v>1</v>
      </c>
      <c r="CG14" s="10">
        <f t="shared" si="53"/>
        <v>0.5</v>
      </c>
      <c r="CH14" s="147">
        <v>714.09792000000004</v>
      </c>
      <c r="CI14" s="13">
        <v>300</v>
      </c>
      <c r="CJ14" s="9">
        <v>2</v>
      </c>
      <c r="CK14" s="10">
        <f t="shared" si="54"/>
        <v>1.5</v>
      </c>
      <c r="CL14" s="38">
        <f t="shared" si="55"/>
        <v>87.512</v>
      </c>
      <c r="CM14" s="15">
        <v>50</v>
      </c>
      <c r="CN14" s="9">
        <v>1</v>
      </c>
      <c r="CO14" s="10">
        <f t="shared" si="56"/>
        <v>2</v>
      </c>
      <c r="CP14" s="20">
        <f t="shared" si="57"/>
        <v>6</v>
      </c>
      <c r="CQ14" s="5">
        <f t="shared" si="58"/>
        <v>14</v>
      </c>
      <c r="CR14" s="5">
        <f t="shared" si="59"/>
        <v>25</v>
      </c>
      <c r="CS14" s="5">
        <f t="shared" si="60"/>
        <v>6</v>
      </c>
      <c r="CT14" s="5">
        <f t="shared" si="61"/>
        <v>45</v>
      </c>
      <c r="CY14" s="40"/>
      <c r="DF14" s="40"/>
    </row>
    <row r="15" spans="1:112" s="6" customFormat="1" ht="17.25" customHeight="1">
      <c r="A15" s="40"/>
      <c r="B15" s="98">
        <v>4</v>
      </c>
      <c r="C15" s="144" t="s">
        <v>85</v>
      </c>
      <c r="D15" s="98" t="s">
        <v>82</v>
      </c>
      <c r="E15" s="98" t="s">
        <v>18</v>
      </c>
      <c r="F15" s="93"/>
      <c r="G15" s="141">
        <v>466.92700000000002</v>
      </c>
      <c r="H15" s="141">
        <v>623.42100000000005</v>
      </c>
      <c r="I15" s="65">
        <f t="shared" si="32"/>
        <v>156.49400000000003</v>
      </c>
      <c r="J15" s="65">
        <f t="shared" si="62"/>
        <v>523.53</v>
      </c>
      <c r="K15" s="88"/>
      <c r="L15" s="438"/>
      <c r="M15" s="438"/>
      <c r="N15" s="468"/>
      <c r="O15" s="470"/>
      <c r="P15" s="19">
        <v>3</v>
      </c>
      <c r="Q15" s="145">
        <v>236.30594000000005</v>
      </c>
      <c r="R15" s="8">
        <v>53.9</v>
      </c>
      <c r="S15" s="9">
        <v>2</v>
      </c>
      <c r="T15" s="10">
        <f t="shared" si="33"/>
        <v>2.5</v>
      </c>
      <c r="U15" s="147">
        <v>863.84688000000006</v>
      </c>
      <c r="V15" s="11">
        <v>190</v>
      </c>
      <c r="W15" s="9">
        <v>2</v>
      </c>
      <c r="X15" s="10">
        <f t="shared" si="34"/>
        <v>2.5</v>
      </c>
      <c r="Y15" s="147">
        <v>209.70196000000004</v>
      </c>
      <c r="Z15" s="11">
        <v>42</v>
      </c>
      <c r="AA15" s="9">
        <v>2</v>
      </c>
      <c r="AB15" s="12">
        <f t="shared" si="35"/>
        <v>3.5</v>
      </c>
      <c r="AC15" s="147">
        <v>125.19520000000003</v>
      </c>
      <c r="AD15" s="11">
        <v>40</v>
      </c>
      <c r="AE15" s="9">
        <v>2</v>
      </c>
      <c r="AF15" s="10">
        <f t="shared" si="36"/>
        <v>2</v>
      </c>
      <c r="AG15" s="147">
        <v>56.337840000000014</v>
      </c>
      <c r="AH15" s="11">
        <v>130</v>
      </c>
      <c r="AI15" s="9">
        <v>1</v>
      </c>
      <c r="AJ15" s="12">
        <f t="shared" si="37"/>
        <v>2</v>
      </c>
      <c r="AK15" s="19">
        <f t="shared" si="38"/>
        <v>2</v>
      </c>
      <c r="AL15" s="147">
        <v>178.40316000000004</v>
      </c>
      <c r="AM15" s="11">
        <v>225</v>
      </c>
      <c r="AN15" s="9">
        <v>1</v>
      </c>
      <c r="AO15" s="10">
        <f t="shared" si="39"/>
        <v>1</v>
      </c>
      <c r="AP15" s="18">
        <f t="shared" si="40"/>
        <v>19</v>
      </c>
      <c r="AQ15" s="147">
        <v>62.597600000000014</v>
      </c>
      <c r="AR15" s="13">
        <v>40</v>
      </c>
      <c r="AS15" s="9">
        <v>1</v>
      </c>
      <c r="AT15" s="10">
        <f t="shared" si="41"/>
        <v>2</v>
      </c>
      <c r="AU15" s="147">
        <v>68.857360000000028</v>
      </c>
      <c r="AV15" s="11">
        <v>130</v>
      </c>
      <c r="AW15" s="9">
        <v>1</v>
      </c>
      <c r="AX15" s="12">
        <f t="shared" si="42"/>
        <v>2</v>
      </c>
      <c r="AY15" s="19">
        <f t="shared" si="43"/>
        <v>5</v>
      </c>
      <c r="AZ15" s="147">
        <v>625.97600000000011</v>
      </c>
      <c r="BA15" s="25">
        <f t="shared" si="6"/>
        <v>220</v>
      </c>
      <c r="BB15" s="9">
        <v>1</v>
      </c>
      <c r="BC15" s="10">
        <f t="shared" si="44"/>
        <v>3</v>
      </c>
      <c r="BD15" s="147">
        <v>235.99295200000003</v>
      </c>
      <c r="BE15" s="13">
        <v>35</v>
      </c>
      <c r="BF15" s="9">
        <v>2</v>
      </c>
      <c r="BG15" s="12">
        <f t="shared" si="45"/>
        <v>2</v>
      </c>
      <c r="BH15" s="147">
        <v>40.062464000000006</v>
      </c>
      <c r="BI15" s="14">
        <v>3.4</v>
      </c>
      <c r="BJ15" s="9">
        <v>2</v>
      </c>
      <c r="BK15" s="10">
        <f t="shared" si="46"/>
        <v>6</v>
      </c>
      <c r="BL15" s="147">
        <v>214.70976800000005</v>
      </c>
      <c r="BM15" s="11">
        <v>125</v>
      </c>
      <c r="BN15" s="9">
        <v>1</v>
      </c>
      <c r="BO15" s="12">
        <f t="shared" si="47"/>
        <v>3</v>
      </c>
      <c r="BP15" s="19">
        <f t="shared" si="48"/>
        <v>7</v>
      </c>
      <c r="BQ15" s="21">
        <f t="shared" si="49"/>
        <v>30</v>
      </c>
      <c r="BR15" s="147">
        <v>77.308036000000016</v>
      </c>
      <c r="BS15" s="11">
        <v>165</v>
      </c>
      <c r="BT15" s="9">
        <v>1</v>
      </c>
      <c r="BU15" s="10">
        <f t="shared" si="50"/>
        <v>0.5</v>
      </c>
      <c r="BV15" s="147">
        <v>104.85098000000002</v>
      </c>
      <c r="BW15" s="11">
        <v>150</v>
      </c>
      <c r="BX15" s="9">
        <v>2</v>
      </c>
      <c r="BY15" s="10">
        <f t="shared" si="51"/>
        <v>0.5</v>
      </c>
      <c r="BZ15" s="147">
        <v>638.49552000000017</v>
      </c>
      <c r="CA15" s="13">
        <v>320</v>
      </c>
      <c r="CB15" s="9">
        <v>2</v>
      </c>
      <c r="CC15" s="10">
        <f t="shared" si="52"/>
        <v>1</v>
      </c>
      <c r="CD15" s="147">
        <v>1915.4865600000005</v>
      </c>
      <c r="CE15" s="13">
        <v>8000</v>
      </c>
      <c r="CF15" s="9">
        <v>1</v>
      </c>
      <c r="CG15" s="10">
        <f t="shared" si="53"/>
        <v>0.5</v>
      </c>
      <c r="CH15" s="147">
        <v>1276.9910400000003</v>
      </c>
      <c r="CI15" s="13">
        <v>300</v>
      </c>
      <c r="CJ15" s="9">
        <v>2</v>
      </c>
      <c r="CK15" s="10">
        <f t="shared" si="54"/>
        <v>2.5</v>
      </c>
      <c r="CL15" s="38">
        <f t="shared" si="55"/>
        <v>156.49400000000003</v>
      </c>
      <c r="CM15" s="15">
        <v>50</v>
      </c>
      <c r="CN15" s="9">
        <v>1</v>
      </c>
      <c r="CO15" s="10">
        <f t="shared" si="56"/>
        <v>3.5</v>
      </c>
      <c r="CP15" s="20">
        <f t="shared" si="57"/>
        <v>9</v>
      </c>
      <c r="CQ15" s="5">
        <f t="shared" si="58"/>
        <v>19</v>
      </c>
      <c r="CR15" s="5">
        <f t="shared" si="59"/>
        <v>30</v>
      </c>
      <c r="CS15" s="5">
        <f t="shared" si="60"/>
        <v>9</v>
      </c>
      <c r="CT15" s="5">
        <f t="shared" si="61"/>
        <v>58</v>
      </c>
      <c r="CY15" s="40"/>
      <c r="DF15" s="40"/>
    </row>
    <row r="16" spans="1:112" s="6" customFormat="1" ht="17.25" customHeight="1">
      <c r="A16" s="40"/>
      <c r="B16" s="98">
        <v>5</v>
      </c>
      <c r="C16" s="144" t="s">
        <v>86</v>
      </c>
      <c r="D16" s="144" t="s">
        <v>81</v>
      </c>
      <c r="E16" s="98" t="s">
        <v>18</v>
      </c>
      <c r="F16" s="93"/>
      <c r="G16" s="141">
        <v>667.05600000000004</v>
      </c>
      <c r="H16" s="141">
        <v>818.99599999999998</v>
      </c>
      <c r="I16" s="65">
        <f t="shared" si="32"/>
        <v>151.93999999999994</v>
      </c>
      <c r="J16" s="65">
        <f t="shared" si="62"/>
        <v>675.46999999999991</v>
      </c>
      <c r="K16" s="88"/>
      <c r="L16" s="438"/>
      <c r="M16" s="438"/>
      <c r="N16" s="468"/>
      <c r="O16" s="470"/>
      <c r="P16" s="19">
        <v>3</v>
      </c>
      <c r="Q16" s="145">
        <v>229.4293999999999</v>
      </c>
      <c r="R16" s="8">
        <v>53.9</v>
      </c>
      <c r="S16" s="9">
        <v>2</v>
      </c>
      <c r="T16" s="10">
        <f t="shared" si="33"/>
        <v>2.5</v>
      </c>
      <c r="U16" s="147">
        <v>838.70879999999966</v>
      </c>
      <c r="V16" s="11">
        <v>190</v>
      </c>
      <c r="W16" s="9">
        <v>2</v>
      </c>
      <c r="X16" s="10">
        <f t="shared" si="34"/>
        <v>2.5</v>
      </c>
      <c r="Y16" s="147">
        <v>203.59959999999992</v>
      </c>
      <c r="Z16" s="11">
        <v>42</v>
      </c>
      <c r="AA16" s="9">
        <v>2</v>
      </c>
      <c r="AB16" s="12">
        <f t="shared" si="35"/>
        <v>3.5</v>
      </c>
      <c r="AC16" s="147">
        <v>121.55199999999996</v>
      </c>
      <c r="AD16" s="11">
        <v>40</v>
      </c>
      <c r="AE16" s="9">
        <v>2</v>
      </c>
      <c r="AF16" s="10">
        <f t="shared" si="36"/>
        <v>2</v>
      </c>
      <c r="AG16" s="147">
        <v>54.698399999999985</v>
      </c>
      <c r="AH16" s="11">
        <v>130</v>
      </c>
      <c r="AI16" s="9">
        <v>1</v>
      </c>
      <c r="AJ16" s="12">
        <f t="shared" si="37"/>
        <v>2</v>
      </c>
      <c r="AK16" s="19">
        <f t="shared" si="38"/>
        <v>2</v>
      </c>
      <c r="AL16" s="147">
        <v>173.21159999999995</v>
      </c>
      <c r="AM16" s="11">
        <v>225</v>
      </c>
      <c r="AN16" s="9">
        <v>1</v>
      </c>
      <c r="AO16" s="10">
        <f t="shared" si="39"/>
        <v>1</v>
      </c>
      <c r="AP16" s="18">
        <f t="shared" si="40"/>
        <v>19</v>
      </c>
      <c r="AQ16" s="147">
        <v>60.775999999999982</v>
      </c>
      <c r="AR16" s="13">
        <v>40</v>
      </c>
      <c r="AS16" s="9">
        <v>1</v>
      </c>
      <c r="AT16" s="10">
        <f t="shared" si="41"/>
        <v>2</v>
      </c>
      <c r="AU16" s="147">
        <v>66.853599999999986</v>
      </c>
      <c r="AV16" s="11">
        <v>130</v>
      </c>
      <c r="AW16" s="9">
        <v>1</v>
      </c>
      <c r="AX16" s="12">
        <f t="shared" si="42"/>
        <v>2</v>
      </c>
      <c r="AY16" s="19">
        <f t="shared" si="43"/>
        <v>5</v>
      </c>
      <c r="AZ16" s="147">
        <v>607.75999999999976</v>
      </c>
      <c r="BA16" s="25">
        <f t="shared" si="6"/>
        <v>220</v>
      </c>
      <c r="BB16" s="9">
        <v>1</v>
      </c>
      <c r="BC16" s="10">
        <f t="shared" si="44"/>
        <v>3</v>
      </c>
      <c r="BD16" s="147">
        <v>229.12551999999991</v>
      </c>
      <c r="BE16" s="13">
        <v>35</v>
      </c>
      <c r="BF16" s="9">
        <v>2</v>
      </c>
      <c r="BG16" s="12">
        <f t="shared" si="45"/>
        <v>2</v>
      </c>
      <c r="BH16" s="147">
        <v>38.896639999999984</v>
      </c>
      <c r="BI16" s="14">
        <v>3.4</v>
      </c>
      <c r="BJ16" s="9">
        <v>2</v>
      </c>
      <c r="BK16" s="10">
        <f t="shared" si="46"/>
        <v>6</v>
      </c>
      <c r="BL16" s="147">
        <v>208.46167999999994</v>
      </c>
      <c r="BM16" s="11">
        <v>125</v>
      </c>
      <c r="BN16" s="9">
        <v>1</v>
      </c>
      <c r="BO16" s="12">
        <f t="shared" si="47"/>
        <v>3</v>
      </c>
      <c r="BP16" s="19">
        <f t="shared" si="48"/>
        <v>7</v>
      </c>
      <c r="BQ16" s="21">
        <f t="shared" si="49"/>
        <v>30</v>
      </c>
      <c r="BR16" s="147">
        <v>75.058359999999965</v>
      </c>
      <c r="BS16" s="11">
        <v>165</v>
      </c>
      <c r="BT16" s="9">
        <v>1</v>
      </c>
      <c r="BU16" s="10">
        <f t="shared" si="50"/>
        <v>0.5</v>
      </c>
      <c r="BV16" s="147">
        <v>101.79979999999996</v>
      </c>
      <c r="BW16" s="11">
        <v>150</v>
      </c>
      <c r="BX16" s="9">
        <v>2</v>
      </c>
      <c r="BY16" s="10">
        <f t="shared" si="51"/>
        <v>0.5</v>
      </c>
      <c r="BZ16" s="147">
        <v>619.9151999999998</v>
      </c>
      <c r="CA16" s="13">
        <v>320</v>
      </c>
      <c r="CB16" s="9">
        <v>2</v>
      </c>
      <c r="CC16" s="10">
        <f t="shared" si="52"/>
        <v>1</v>
      </c>
      <c r="CD16" s="147">
        <v>1859.7455999999993</v>
      </c>
      <c r="CE16" s="13">
        <v>8000</v>
      </c>
      <c r="CF16" s="9">
        <v>1</v>
      </c>
      <c r="CG16" s="10">
        <f t="shared" si="53"/>
        <v>0.5</v>
      </c>
      <c r="CH16" s="147">
        <v>1239.8303999999996</v>
      </c>
      <c r="CI16" s="13">
        <v>300</v>
      </c>
      <c r="CJ16" s="9">
        <v>2</v>
      </c>
      <c r="CK16" s="10">
        <f t="shared" si="54"/>
        <v>2.5</v>
      </c>
      <c r="CL16" s="38">
        <f t="shared" si="55"/>
        <v>151.93999999999994</v>
      </c>
      <c r="CM16" s="15">
        <v>50</v>
      </c>
      <c r="CN16" s="9">
        <v>1</v>
      </c>
      <c r="CO16" s="10">
        <f t="shared" si="56"/>
        <v>3.5</v>
      </c>
      <c r="CP16" s="20">
        <f t="shared" si="57"/>
        <v>9</v>
      </c>
      <c r="CQ16" s="5">
        <f t="shared" si="58"/>
        <v>19</v>
      </c>
      <c r="CR16" s="5">
        <f t="shared" si="59"/>
        <v>30</v>
      </c>
      <c r="CS16" s="5">
        <f t="shared" si="60"/>
        <v>9</v>
      </c>
      <c r="CT16" s="5">
        <f t="shared" si="61"/>
        <v>58</v>
      </c>
      <c r="CY16" s="40"/>
      <c r="DF16" s="40"/>
    </row>
    <row r="17" spans="1:110" s="6" customFormat="1" ht="17.25" customHeight="1">
      <c r="A17" s="40"/>
      <c r="B17" s="98">
        <v>6</v>
      </c>
      <c r="C17" s="144" t="s">
        <v>87</v>
      </c>
      <c r="D17" s="144"/>
      <c r="E17" s="98" t="s">
        <v>18</v>
      </c>
      <c r="F17" s="93">
        <v>62</v>
      </c>
      <c r="G17" s="141">
        <v>871.93100000000004</v>
      </c>
      <c r="H17" s="141">
        <v>1133.4449999999999</v>
      </c>
      <c r="I17" s="65">
        <f t="shared" si="32"/>
        <v>261.5139999999999</v>
      </c>
      <c r="J17" s="65">
        <f t="shared" si="62"/>
        <v>936.98399999999981</v>
      </c>
      <c r="K17" s="88"/>
      <c r="L17" s="438"/>
      <c r="M17" s="438"/>
      <c r="N17" s="468"/>
      <c r="O17" s="470"/>
      <c r="P17" s="19">
        <v>3</v>
      </c>
      <c r="Q17" s="145">
        <v>394.88613999999984</v>
      </c>
      <c r="R17" s="8">
        <v>53.9</v>
      </c>
      <c r="S17" s="9">
        <v>2</v>
      </c>
      <c r="T17" s="10">
        <f t="shared" si="33"/>
        <v>4</v>
      </c>
      <c r="U17" s="147">
        <v>1443.5572799999995</v>
      </c>
      <c r="V17" s="11">
        <v>190</v>
      </c>
      <c r="W17" s="9">
        <v>2</v>
      </c>
      <c r="X17" s="10">
        <f t="shared" si="34"/>
        <v>4</v>
      </c>
      <c r="Y17" s="147">
        <v>350.4287599999999</v>
      </c>
      <c r="Z17" s="11">
        <v>42</v>
      </c>
      <c r="AA17" s="9">
        <v>2</v>
      </c>
      <c r="AB17" s="12">
        <f t="shared" si="35"/>
        <v>5.5</v>
      </c>
      <c r="AC17" s="147">
        <v>209.21119999999993</v>
      </c>
      <c r="AD17" s="11">
        <v>40</v>
      </c>
      <c r="AE17" s="9">
        <v>2</v>
      </c>
      <c r="AF17" s="10">
        <f t="shared" si="36"/>
        <v>3</v>
      </c>
      <c r="AG17" s="147">
        <v>94.14503999999998</v>
      </c>
      <c r="AH17" s="11">
        <v>130</v>
      </c>
      <c r="AI17" s="9">
        <v>1</v>
      </c>
      <c r="AJ17" s="12">
        <f t="shared" si="37"/>
        <v>2</v>
      </c>
      <c r="AK17" s="19">
        <f t="shared" si="38"/>
        <v>2</v>
      </c>
      <c r="AL17" s="147">
        <v>298.12595999999991</v>
      </c>
      <c r="AM17" s="11">
        <v>225</v>
      </c>
      <c r="AN17" s="9">
        <v>1</v>
      </c>
      <c r="AO17" s="10">
        <f t="shared" si="39"/>
        <v>1.5</v>
      </c>
      <c r="AP17" s="18">
        <f t="shared" si="40"/>
        <v>25</v>
      </c>
      <c r="AQ17" s="147">
        <v>104.60559999999997</v>
      </c>
      <c r="AR17" s="13">
        <v>40</v>
      </c>
      <c r="AS17" s="9">
        <v>1</v>
      </c>
      <c r="AT17" s="10">
        <f t="shared" si="41"/>
        <v>3</v>
      </c>
      <c r="AU17" s="147">
        <v>115.06615999999997</v>
      </c>
      <c r="AV17" s="11">
        <v>130</v>
      </c>
      <c r="AW17" s="9">
        <v>1</v>
      </c>
      <c r="AX17" s="12">
        <f t="shared" si="42"/>
        <v>2</v>
      </c>
      <c r="AY17" s="19">
        <f t="shared" si="43"/>
        <v>5</v>
      </c>
      <c r="AZ17" s="147">
        <v>1046.0559999999996</v>
      </c>
      <c r="BA17" s="25">
        <f t="shared" si="6"/>
        <v>220</v>
      </c>
      <c r="BB17" s="9">
        <v>1</v>
      </c>
      <c r="BC17" s="10">
        <f t="shared" si="44"/>
        <v>5</v>
      </c>
      <c r="BD17" s="147">
        <v>394.36311199999983</v>
      </c>
      <c r="BE17" s="13">
        <v>35</v>
      </c>
      <c r="BF17" s="9">
        <v>2</v>
      </c>
      <c r="BG17" s="12">
        <f t="shared" si="45"/>
        <v>2</v>
      </c>
      <c r="BH17" s="147">
        <v>66.947583999999978</v>
      </c>
      <c r="BI17" s="14">
        <v>3.4</v>
      </c>
      <c r="BJ17" s="9">
        <v>2</v>
      </c>
      <c r="BK17" s="10">
        <f t="shared" si="46"/>
        <v>10</v>
      </c>
      <c r="BL17" s="147">
        <v>358.7972079999999</v>
      </c>
      <c r="BM17" s="11">
        <v>125</v>
      </c>
      <c r="BN17" s="9">
        <v>1</v>
      </c>
      <c r="BO17" s="12">
        <f t="shared" si="47"/>
        <v>4</v>
      </c>
      <c r="BP17" s="19">
        <f t="shared" si="48"/>
        <v>7</v>
      </c>
      <c r="BQ17" s="21">
        <f t="shared" si="49"/>
        <v>38</v>
      </c>
      <c r="BR17" s="147">
        <v>129.18791599999994</v>
      </c>
      <c r="BS17" s="11">
        <v>165</v>
      </c>
      <c r="BT17" s="9">
        <v>1</v>
      </c>
      <c r="BU17" s="10">
        <f t="shared" si="50"/>
        <v>1</v>
      </c>
      <c r="BV17" s="147">
        <v>175.21437999999995</v>
      </c>
      <c r="BW17" s="11">
        <v>150</v>
      </c>
      <c r="BX17" s="9">
        <v>2</v>
      </c>
      <c r="BY17" s="10">
        <f t="shared" si="51"/>
        <v>1</v>
      </c>
      <c r="BZ17" s="147">
        <v>1066.9771199999996</v>
      </c>
      <c r="CA17" s="13">
        <v>320</v>
      </c>
      <c r="CB17" s="9">
        <v>2</v>
      </c>
      <c r="CC17" s="10">
        <f t="shared" si="52"/>
        <v>2</v>
      </c>
      <c r="CD17" s="147">
        <v>3200.9313599999987</v>
      </c>
      <c r="CE17" s="13">
        <v>8000</v>
      </c>
      <c r="CF17" s="9">
        <v>1</v>
      </c>
      <c r="CG17" s="10">
        <f t="shared" si="53"/>
        <v>0.5</v>
      </c>
      <c r="CH17" s="147">
        <v>2133.9542399999991</v>
      </c>
      <c r="CI17" s="13">
        <v>300</v>
      </c>
      <c r="CJ17" s="9">
        <v>2</v>
      </c>
      <c r="CK17" s="10">
        <f t="shared" si="54"/>
        <v>4</v>
      </c>
      <c r="CL17" s="38">
        <f t="shared" si="55"/>
        <v>261.5139999999999</v>
      </c>
      <c r="CM17" s="15">
        <v>50</v>
      </c>
      <c r="CN17" s="9">
        <v>1</v>
      </c>
      <c r="CO17" s="10">
        <f t="shared" si="56"/>
        <v>5.5</v>
      </c>
      <c r="CP17" s="20">
        <f t="shared" si="57"/>
        <v>14</v>
      </c>
      <c r="CQ17" s="5">
        <f t="shared" si="58"/>
        <v>25</v>
      </c>
      <c r="CR17" s="5">
        <f t="shared" si="59"/>
        <v>38</v>
      </c>
      <c r="CS17" s="5">
        <f t="shared" si="60"/>
        <v>14</v>
      </c>
      <c r="CT17" s="5">
        <f t="shared" si="61"/>
        <v>77</v>
      </c>
      <c r="CY17" s="40"/>
      <c r="DF17" s="40"/>
    </row>
    <row r="18" spans="1:110" s="6" customFormat="1" ht="17.25" customHeight="1" thickBot="1">
      <c r="A18" s="40"/>
      <c r="B18" s="59">
        <v>7</v>
      </c>
      <c r="C18" s="131" t="s">
        <v>88</v>
      </c>
      <c r="D18" s="131" t="s">
        <v>81</v>
      </c>
      <c r="E18" s="59" t="s">
        <v>18</v>
      </c>
      <c r="F18" s="92"/>
      <c r="G18" s="142">
        <v>1159.604</v>
      </c>
      <c r="H18" s="142">
        <v>1266.049</v>
      </c>
      <c r="I18" s="78">
        <f t="shared" si="32"/>
        <v>106.44499999999994</v>
      </c>
      <c r="J18" s="78">
        <f t="shared" si="62"/>
        <v>1043.4289999999996</v>
      </c>
      <c r="K18" s="89"/>
      <c r="L18" s="439"/>
      <c r="M18" s="439"/>
      <c r="N18" s="469"/>
      <c r="O18" s="471"/>
      <c r="P18" s="55">
        <v>3</v>
      </c>
      <c r="Q18" s="146">
        <v>160.7319499999999</v>
      </c>
      <c r="R18" s="54">
        <v>53.9</v>
      </c>
      <c r="S18" s="80">
        <v>2</v>
      </c>
      <c r="T18" s="81">
        <f t="shared" si="33"/>
        <v>1.5</v>
      </c>
      <c r="U18" s="130">
        <v>587.57639999999969</v>
      </c>
      <c r="V18" s="57">
        <v>190</v>
      </c>
      <c r="W18" s="80">
        <v>2</v>
      </c>
      <c r="X18" s="81">
        <f t="shared" si="34"/>
        <v>2</v>
      </c>
      <c r="Y18" s="130">
        <v>142.63629999999992</v>
      </c>
      <c r="Z18" s="57">
        <v>42</v>
      </c>
      <c r="AA18" s="80">
        <v>2</v>
      </c>
      <c r="AB18" s="56">
        <f t="shared" si="35"/>
        <v>3</v>
      </c>
      <c r="AC18" s="130">
        <v>85.155999999999949</v>
      </c>
      <c r="AD18" s="57">
        <v>40</v>
      </c>
      <c r="AE18" s="80">
        <v>2</v>
      </c>
      <c r="AF18" s="81">
        <f t="shared" si="36"/>
        <v>1.5</v>
      </c>
      <c r="AG18" s="130">
        <v>38.320199999999979</v>
      </c>
      <c r="AH18" s="57">
        <v>130</v>
      </c>
      <c r="AI18" s="80">
        <v>1</v>
      </c>
      <c r="AJ18" s="56">
        <f t="shared" si="37"/>
        <v>2</v>
      </c>
      <c r="AK18" s="55">
        <f t="shared" si="38"/>
        <v>2</v>
      </c>
      <c r="AL18" s="130">
        <v>121.34729999999995</v>
      </c>
      <c r="AM18" s="57">
        <v>225</v>
      </c>
      <c r="AN18" s="80">
        <v>1</v>
      </c>
      <c r="AO18" s="81">
        <f t="shared" si="39"/>
        <v>1</v>
      </c>
      <c r="AP18" s="53">
        <f t="shared" si="40"/>
        <v>16</v>
      </c>
      <c r="AQ18" s="130">
        <v>42.577999999999975</v>
      </c>
      <c r="AR18" s="52">
        <v>40</v>
      </c>
      <c r="AS18" s="80">
        <v>1</v>
      </c>
      <c r="AT18" s="81">
        <f t="shared" si="41"/>
        <v>1.5</v>
      </c>
      <c r="AU18" s="130">
        <v>46.835799999999978</v>
      </c>
      <c r="AV18" s="57">
        <v>130</v>
      </c>
      <c r="AW18" s="80">
        <v>1</v>
      </c>
      <c r="AX18" s="56">
        <f t="shared" si="42"/>
        <v>2</v>
      </c>
      <c r="AY18" s="55">
        <f t="shared" si="43"/>
        <v>5</v>
      </c>
      <c r="AZ18" s="130">
        <v>425.77999999999975</v>
      </c>
      <c r="BA18" s="51">
        <f t="shared" si="6"/>
        <v>220</v>
      </c>
      <c r="BB18" s="80">
        <v>1</v>
      </c>
      <c r="BC18" s="81">
        <f t="shared" si="44"/>
        <v>2</v>
      </c>
      <c r="BD18" s="130">
        <v>160.51905999999991</v>
      </c>
      <c r="BE18" s="52">
        <v>35</v>
      </c>
      <c r="BF18" s="80">
        <v>2</v>
      </c>
      <c r="BG18" s="56">
        <f t="shared" si="45"/>
        <v>2</v>
      </c>
      <c r="BH18" s="130">
        <v>27.249919999999985</v>
      </c>
      <c r="BI18" s="50">
        <v>3.4</v>
      </c>
      <c r="BJ18" s="80">
        <v>2</v>
      </c>
      <c r="BK18" s="81">
        <f t="shared" si="46"/>
        <v>4.5</v>
      </c>
      <c r="BL18" s="130">
        <v>146.04253999999992</v>
      </c>
      <c r="BM18" s="57">
        <v>125</v>
      </c>
      <c r="BN18" s="80">
        <v>1</v>
      </c>
      <c r="BO18" s="56">
        <f t="shared" si="47"/>
        <v>3</v>
      </c>
      <c r="BP18" s="55">
        <f t="shared" si="48"/>
        <v>7</v>
      </c>
      <c r="BQ18" s="79">
        <f t="shared" si="49"/>
        <v>27</v>
      </c>
      <c r="BR18" s="130">
        <v>52.583829999999971</v>
      </c>
      <c r="BS18" s="57">
        <v>165</v>
      </c>
      <c r="BT18" s="80">
        <v>1</v>
      </c>
      <c r="BU18" s="81">
        <f t="shared" si="50"/>
        <v>0.5</v>
      </c>
      <c r="BV18" s="130">
        <v>71.31814999999996</v>
      </c>
      <c r="BW18" s="57">
        <v>150</v>
      </c>
      <c r="BX18" s="80">
        <v>2</v>
      </c>
      <c r="BY18" s="81">
        <f t="shared" si="51"/>
        <v>0.5</v>
      </c>
      <c r="BZ18" s="130">
        <v>434.29559999999975</v>
      </c>
      <c r="CA18" s="52">
        <v>320</v>
      </c>
      <c r="CB18" s="80">
        <v>2</v>
      </c>
      <c r="CC18" s="81">
        <f t="shared" si="52"/>
        <v>1</v>
      </c>
      <c r="CD18" s="130">
        <v>1302.8867999999993</v>
      </c>
      <c r="CE18" s="52">
        <v>8000</v>
      </c>
      <c r="CF18" s="80">
        <v>1</v>
      </c>
      <c r="CG18" s="81">
        <f t="shared" si="53"/>
        <v>0.5</v>
      </c>
      <c r="CH18" s="130">
        <v>868.5911999999995</v>
      </c>
      <c r="CI18" s="52">
        <v>300</v>
      </c>
      <c r="CJ18" s="80">
        <v>2</v>
      </c>
      <c r="CK18" s="81">
        <f t="shared" si="54"/>
        <v>1.5</v>
      </c>
      <c r="CL18" s="49">
        <f t="shared" si="55"/>
        <v>106.44499999999994</v>
      </c>
      <c r="CM18" s="58">
        <v>50</v>
      </c>
      <c r="CN18" s="80">
        <v>1</v>
      </c>
      <c r="CO18" s="81">
        <f t="shared" si="56"/>
        <v>2.5</v>
      </c>
      <c r="CP18" s="47">
        <f t="shared" si="57"/>
        <v>7</v>
      </c>
      <c r="CQ18" s="46">
        <f t="shared" si="58"/>
        <v>16</v>
      </c>
      <c r="CR18" s="46">
        <f t="shared" si="59"/>
        <v>27</v>
      </c>
      <c r="CS18" s="46">
        <f t="shared" si="60"/>
        <v>7</v>
      </c>
      <c r="CT18" s="46">
        <f t="shared" si="61"/>
        <v>50</v>
      </c>
      <c r="CY18" s="40"/>
      <c r="DF18" s="40"/>
    </row>
    <row r="19" spans="1:110" s="6" customFormat="1" ht="17.25" customHeight="1">
      <c r="A19" s="40"/>
      <c r="B19" s="196">
        <v>8</v>
      </c>
      <c r="C19" s="158" t="s">
        <v>90</v>
      </c>
      <c r="D19" s="158" t="s">
        <v>81</v>
      </c>
      <c r="E19" s="196" t="s">
        <v>18</v>
      </c>
      <c r="F19" s="189"/>
      <c r="G19" s="210">
        <v>1266.049</v>
      </c>
      <c r="H19" s="210">
        <v>1741.489</v>
      </c>
      <c r="I19" s="160">
        <f t="shared" ref="I19" si="63">H19-G19</f>
        <v>475.44000000000005</v>
      </c>
      <c r="J19" s="160">
        <f>I19</f>
        <v>475.44000000000005</v>
      </c>
      <c r="K19" s="150" t="s">
        <v>91</v>
      </c>
      <c r="L19" s="481" t="s">
        <v>95</v>
      </c>
      <c r="M19" s="482">
        <f>SUM(I19:I21)</f>
        <v>1455.3449999999998</v>
      </c>
      <c r="N19" s="483">
        <f>SUM(CQ19:CQ21,CR21,CS21)/18.4</f>
        <v>10.108695652173914</v>
      </c>
      <c r="O19" s="484">
        <v>14</v>
      </c>
      <c r="P19" s="197">
        <v>3</v>
      </c>
      <c r="Q19" s="208">
        <v>285.26400000000001</v>
      </c>
      <c r="R19" s="190">
        <v>53.9</v>
      </c>
      <c r="S19" s="161">
        <v>2</v>
      </c>
      <c r="T19" s="154">
        <f t="shared" si="33"/>
        <v>3</v>
      </c>
      <c r="U19" s="152"/>
      <c r="V19" s="149">
        <v>190</v>
      </c>
      <c r="W19" s="161">
        <v>2</v>
      </c>
      <c r="X19" s="154">
        <f t="shared" si="34"/>
        <v>0</v>
      </c>
      <c r="Y19" s="478" t="s">
        <v>49</v>
      </c>
      <c r="Z19" s="478"/>
      <c r="AA19" s="478"/>
      <c r="AB19" s="478"/>
      <c r="AC19" s="194">
        <f>I19*2</f>
        <v>950.88000000000011</v>
      </c>
      <c r="AD19" s="188">
        <v>20</v>
      </c>
      <c r="AE19" s="161">
        <v>2</v>
      </c>
      <c r="AF19" s="154">
        <f t="shared" ref="AF19" si="64">CEILING(AC19/AD19/AE19,0.5)</f>
        <v>24</v>
      </c>
      <c r="AG19" s="152"/>
      <c r="AH19" s="149"/>
      <c r="AI19" s="161"/>
      <c r="AJ19" s="155"/>
      <c r="AK19" s="197"/>
      <c r="AL19" s="152"/>
      <c r="AM19" s="149">
        <v>225</v>
      </c>
      <c r="AN19" s="161">
        <v>1</v>
      </c>
      <c r="AO19" s="154">
        <f t="shared" ref="AO19" si="65">ROUND(AL19/AM19/AN19,0)</f>
        <v>0</v>
      </c>
      <c r="AP19" s="153">
        <f>ROUNDUP(SUM(T19,X19,AF19,AJ19,AK19,AO19,P19),0)</f>
        <v>30</v>
      </c>
      <c r="AQ19" s="203"/>
      <c r="AR19" s="151">
        <v>40</v>
      </c>
      <c r="AS19" s="161">
        <v>1</v>
      </c>
      <c r="AT19" s="154">
        <f t="shared" si="41"/>
        <v>0</v>
      </c>
      <c r="AU19" s="203"/>
      <c r="AV19" s="149">
        <v>130</v>
      </c>
      <c r="AW19" s="161">
        <v>1</v>
      </c>
      <c r="AX19" s="155" t="str">
        <f t="shared" si="42"/>
        <v/>
      </c>
      <c r="AY19" s="191">
        <f t="shared" si="43"/>
        <v>5</v>
      </c>
      <c r="AZ19" s="209">
        <v>1901.7600000000002</v>
      </c>
      <c r="BA19" s="188">
        <f t="shared" si="6"/>
        <v>220</v>
      </c>
      <c r="BB19" s="161">
        <v>1</v>
      </c>
      <c r="BC19" s="154">
        <f t="shared" si="44"/>
        <v>9</v>
      </c>
      <c r="BD19" s="209">
        <v>716.96352000000013</v>
      </c>
      <c r="BE19" s="151">
        <v>35</v>
      </c>
      <c r="BF19" s="161">
        <v>2</v>
      </c>
      <c r="BG19" s="155">
        <f t="shared" ref="BG19" si="66">IF(BD19="","",2)</f>
        <v>2</v>
      </c>
      <c r="BH19" s="209">
        <v>121.71264000000002</v>
      </c>
      <c r="BI19" s="192">
        <v>3.4</v>
      </c>
      <c r="BJ19" s="161">
        <v>2</v>
      </c>
      <c r="BK19" s="154">
        <f t="shared" si="46"/>
        <v>18</v>
      </c>
      <c r="BL19" s="209">
        <v>652.3036800000001</v>
      </c>
      <c r="BM19" s="149">
        <v>125</v>
      </c>
      <c r="BN19" s="161">
        <v>1</v>
      </c>
      <c r="BO19" s="155">
        <f t="shared" ref="BO19" si="67">IF(BL19="","",ROUNDUP(BL19/BM19/BN19,0)+1)</f>
        <v>7</v>
      </c>
      <c r="BP19" s="197">
        <f t="shared" si="48"/>
        <v>7</v>
      </c>
      <c r="BQ19" s="187">
        <f t="shared" ref="BQ19" si="68">ROUNDUP(SUM(AT19,AX19,AY19,BC19,BG19,BK19,BO19,BP19),0)</f>
        <v>48</v>
      </c>
      <c r="BR19" s="152"/>
      <c r="BS19" s="149">
        <v>165</v>
      </c>
      <c r="BT19" s="161">
        <v>1</v>
      </c>
      <c r="BU19" s="154">
        <f t="shared" ref="BU19" si="69">CEILING(BR19/BS19/BT19,0.5)</f>
        <v>0</v>
      </c>
      <c r="BV19" s="209">
        <v>87.005520000000004</v>
      </c>
      <c r="BW19" s="149">
        <v>150</v>
      </c>
      <c r="BX19" s="161">
        <v>2</v>
      </c>
      <c r="BY19" s="154">
        <f t="shared" ref="BY19" si="70">CEILING(BV19/BW19/BX19,0.5)</f>
        <v>0.5</v>
      </c>
      <c r="BZ19" s="209">
        <v>741.68640000000016</v>
      </c>
      <c r="CA19" s="151">
        <v>320</v>
      </c>
      <c r="CB19" s="161">
        <v>2</v>
      </c>
      <c r="CC19" s="154">
        <f t="shared" ref="CC19" si="71">CEILING(BZ19/CA19/CB19,0.5)</f>
        <v>1.5</v>
      </c>
      <c r="CD19" s="209">
        <v>2225.0592000000006</v>
      </c>
      <c r="CE19" s="151">
        <v>8000</v>
      </c>
      <c r="CF19" s="161">
        <v>1</v>
      </c>
      <c r="CG19" s="154">
        <f t="shared" ref="CG19" si="72">CEILING(CD19/CE19/CF19,0.5)</f>
        <v>0.5</v>
      </c>
      <c r="CH19" s="209">
        <v>1483.3728000000003</v>
      </c>
      <c r="CI19" s="151">
        <v>300</v>
      </c>
      <c r="CJ19" s="161">
        <v>2</v>
      </c>
      <c r="CK19" s="154">
        <f t="shared" ref="CK19" si="73">CEILING(CH19/CI19/CJ19,0.5)</f>
        <v>2.5</v>
      </c>
      <c r="CL19" s="186">
        <f t="shared" si="55"/>
        <v>475.44000000000005</v>
      </c>
      <c r="CM19" s="185">
        <v>50</v>
      </c>
      <c r="CN19" s="161">
        <v>1</v>
      </c>
      <c r="CO19" s="154">
        <f t="shared" ref="CO19" si="74">CEILING(CL19/CM19/CN19,0.5)</f>
        <v>10</v>
      </c>
      <c r="CP19" s="184">
        <f t="shared" ref="CP19" si="75">ROUNDUP(SUM(BU19,BY19,CC19,CG19,CK19,CO19),0)</f>
        <v>15</v>
      </c>
      <c r="CQ19" s="183">
        <f t="shared" si="58"/>
        <v>30</v>
      </c>
      <c r="CR19" s="183">
        <f t="shared" si="59"/>
        <v>48</v>
      </c>
      <c r="CS19" s="183">
        <f t="shared" ref="CS19" si="76">CP19</f>
        <v>15</v>
      </c>
      <c r="CT19" s="183">
        <f t="shared" ref="CT19" si="77">SUM(CQ19:CS19)</f>
        <v>93</v>
      </c>
      <c r="CY19" s="40"/>
      <c r="DF19" s="40"/>
    </row>
    <row r="20" spans="1:110" s="6" customFormat="1" ht="17.25" customHeight="1">
      <c r="A20" s="40"/>
      <c r="B20" s="99">
        <v>9</v>
      </c>
      <c r="C20" s="200" t="s">
        <v>92</v>
      </c>
      <c r="D20" s="200" t="s">
        <v>81</v>
      </c>
      <c r="E20" s="99" t="s">
        <v>18</v>
      </c>
      <c r="F20" s="93"/>
      <c r="G20" s="199">
        <v>1741.489</v>
      </c>
      <c r="H20" s="199">
        <v>1802.239</v>
      </c>
      <c r="I20" s="65">
        <f>H20-G20</f>
        <v>60.75</v>
      </c>
      <c r="J20" s="65">
        <f>J19+I20</f>
        <v>536.19000000000005</v>
      </c>
      <c r="K20" s="88"/>
      <c r="L20" s="438"/>
      <c r="M20" s="438"/>
      <c r="N20" s="468"/>
      <c r="O20" s="485"/>
      <c r="P20" s="19">
        <v>3</v>
      </c>
      <c r="Q20" s="204">
        <v>91.732500000000002</v>
      </c>
      <c r="R20" s="8">
        <v>53.9</v>
      </c>
      <c r="S20" s="9">
        <v>2</v>
      </c>
      <c r="T20" s="10">
        <f t="shared" si="33"/>
        <v>1</v>
      </c>
      <c r="U20" s="206">
        <v>335.34000000000003</v>
      </c>
      <c r="V20" s="11">
        <v>190</v>
      </c>
      <c r="W20" s="9">
        <v>2</v>
      </c>
      <c r="X20" s="10">
        <f t="shared" si="34"/>
        <v>1</v>
      </c>
      <c r="Y20" s="206">
        <v>81.405000000000001</v>
      </c>
      <c r="Z20" s="11">
        <v>42</v>
      </c>
      <c r="AA20" s="9">
        <v>2</v>
      </c>
      <c r="AB20" s="12">
        <f>IF(Y20="","",CEILING(Y20/Z20/AA20,0.5)+1)</f>
        <v>2</v>
      </c>
      <c r="AC20" s="206">
        <v>48.6</v>
      </c>
      <c r="AD20" s="11">
        <v>40</v>
      </c>
      <c r="AE20" s="9">
        <v>2</v>
      </c>
      <c r="AF20" s="10">
        <f>CEILING(AC20/AD20/AE20,0.5)</f>
        <v>1</v>
      </c>
      <c r="AG20" s="206">
        <v>21.87</v>
      </c>
      <c r="AH20" s="11">
        <v>130</v>
      </c>
      <c r="AI20" s="9">
        <v>1</v>
      </c>
      <c r="AJ20" s="12">
        <f>IF(AG20="","",ROUNDUP(AG20/AH20/AI20,0)+1)</f>
        <v>2</v>
      </c>
      <c r="AK20" s="19">
        <f t="shared" ref="AK20" si="78">IF(E20="보통",2,IF(E20="조강",1,""))</f>
        <v>2</v>
      </c>
      <c r="AL20" s="206">
        <v>69.25500000000001</v>
      </c>
      <c r="AM20" s="11">
        <v>225</v>
      </c>
      <c r="AN20" s="9">
        <v>1</v>
      </c>
      <c r="AO20" s="10">
        <f>CEILING(AL20/AM20/AN20,0.5)</f>
        <v>0.5</v>
      </c>
      <c r="AP20" s="18">
        <f>ROUNDUP(SUM(P20,T20,X20,AB20,AF20,AJ20,AK20,AO20),0)</f>
        <v>13</v>
      </c>
      <c r="AQ20" s="206">
        <v>24.3</v>
      </c>
      <c r="AR20" s="13">
        <v>40</v>
      </c>
      <c r="AS20" s="9">
        <v>1</v>
      </c>
      <c r="AT20" s="10">
        <f t="shared" si="41"/>
        <v>1</v>
      </c>
      <c r="AU20" s="206">
        <v>26.730000000000004</v>
      </c>
      <c r="AV20" s="11">
        <v>130</v>
      </c>
      <c r="AW20" s="9">
        <v>1</v>
      </c>
      <c r="AX20" s="12">
        <f t="shared" si="42"/>
        <v>2</v>
      </c>
      <c r="AY20" s="19">
        <f t="shared" si="43"/>
        <v>5</v>
      </c>
      <c r="AZ20" s="206">
        <v>243</v>
      </c>
      <c r="BA20" s="25">
        <f t="shared" si="6"/>
        <v>220</v>
      </c>
      <c r="BB20" s="9">
        <v>1</v>
      </c>
      <c r="BC20" s="10">
        <f t="shared" si="44"/>
        <v>1.5</v>
      </c>
      <c r="BD20" s="206">
        <v>91.611000000000004</v>
      </c>
      <c r="BE20" s="13">
        <v>35</v>
      </c>
      <c r="BF20" s="9">
        <v>2</v>
      </c>
      <c r="BG20" s="12">
        <f>IF(BD20="","",2)</f>
        <v>2</v>
      </c>
      <c r="BH20" s="206">
        <v>15.552</v>
      </c>
      <c r="BI20" s="14">
        <v>3.4</v>
      </c>
      <c r="BJ20" s="9">
        <v>2</v>
      </c>
      <c r="BK20" s="10">
        <f t="shared" si="46"/>
        <v>2.5</v>
      </c>
      <c r="BL20" s="206">
        <v>83.349000000000004</v>
      </c>
      <c r="BM20" s="11">
        <v>125</v>
      </c>
      <c r="BN20" s="9">
        <v>1</v>
      </c>
      <c r="BO20" s="12">
        <f>IF(BL20="","",ROUNDUP(BL20/BM20/BN20,0)+1)</f>
        <v>2</v>
      </c>
      <c r="BP20" s="19">
        <f t="shared" si="48"/>
        <v>7</v>
      </c>
      <c r="BQ20" s="21">
        <f>ROUNDUP(SUM(AT20,AX20,AY20,BC20,BG20,BK20,BO20,BP20),0)</f>
        <v>23</v>
      </c>
      <c r="BR20" s="206">
        <v>30.0105</v>
      </c>
      <c r="BS20" s="11">
        <v>165</v>
      </c>
      <c r="BT20" s="9">
        <v>1</v>
      </c>
      <c r="BU20" s="10">
        <f>CEILING(BR20/BS20/BT20,0.5)</f>
        <v>0.5</v>
      </c>
      <c r="BV20" s="206">
        <v>40.702500000000001</v>
      </c>
      <c r="BW20" s="11">
        <v>150</v>
      </c>
      <c r="BX20" s="9">
        <v>2</v>
      </c>
      <c r="BY20" s="10">
        <f>CEILING(BV20/BW20/BX20,0.5)</f>
        <v>0.5</v>
      </c>
      <c r="BZ20" s="206">
        <v>247.86</v>
      </c>
      <c r="CA20" s="13">
        <v>320</v>
      </c>
      <c r="CB20" s="9">
        <v>2</v>
      </c>
      <c r="CC20" s="10">
        <f>CEILING(BZ20/CA20/CB20,0.5)</f>
        <v>0.5</v>
      </c>
      <c r="CD20" s="206">
        <v>743.58</v>
      </c>
      <c r="CE20" s="13">
        <v>8000</v>
      </c>
      <c r="CF20" s="9">
        <v>1</v>
      </c>
      <c r="CG20" s="10">
        <f>CEILING(CD20/CE20/CF20,0.5)</f>
        <v>0.5</v>
      </c>
      <c r="CH20" s="206">
        <v>495.72</v>
      </c>
      <c r="CI20" s="13">
        <v>300</v>
      </c>
      <c r="CJ20" s="9">
        <v>2</v>
      </c>
      <c r="CK20" s="10">
        <f>CEILING(CH20/CI20/CJ20,0.5)</f>
        <v>1</v>
      </c>
      <c r="CL20" s="38">
        <f t="shared" si="55"/>
        <v>60.75</v>
      </c>
      <c r="CM20" s="15">
        <v>50</v>
      </c>
      <c r="CN20" s="9">
        <v>1</v>
      </c>
      <c r="CO20" s="10">
        <f>CEILING(CL20/CM20/CN20,0.5)</f>
        <v>1.5</v>
      </c>
      <c r="CP20" s="20">
        <f>ROUNDUP(SUM(BU20,BY20,CC20,CG20,CK20,CO20),0)</f>
        <v>5</v>
      </c>
      <c r="CQ20" s="5">
        <f t="shared" si="58"/>
        <v>13</v>
      </c>
      <c r="CR20" s="5">
        <f t="shared" si="59"/>
        <v>23</v>
      </c>
      <c r="CS20" s="5">
        <f>CP20</f>
        <v>5</v>
      </c>
      <c r="CT20" s="5">
        <f>SUM(CQ20:CS20)</f>
        <v>41</v>
      </c>
      <c r="CY20" s="40"/>
      <c r="DF20" s="40"/>
    </row>
    <row r="21" spans="1:110" s="6" customFormat="1" ht="17.25" customHeight="1" thickBot="1">
      <c r="A21" s="40"/>
      <c r="B21" s="133">
        <v>10</v>
      </c>
      <c r="C21" s="201" t="s">
        <v>93</v>
      </c>
      <c r="D21" s="201" t="s">
        <v>81</v>
      </c>
      <c r="E21" s="133" t="s">
        <v>18</v>
      </c>
      <c r="F21" s="126"/>
      <c r="G21" s="202">
        <v>1802.239</v>
      </c>
      <c r="H21" s="202">
        <v>2721.3939999999998</v>
      </c>
      <c r="I21" s="134">
        <f t="shared" ref="I21" si="79">H21-G21</f>
        <v>919.15499999999975</v>
      </c>
      <c r="J21" s="134">
        <f t="shared" ref="J21" si="80">J20+I21</f>
        <v>1455.3449999999998</v>
      </c>
      <c r="K21" s="182" t="s">
        <v>94</v>
      </c>
      <c r="L21" s="438"/>
      <c r="M21" s="438"/>
      <c r="N21" s="468"/>
      <c r="O21" s="485"/>
      <c r="P21" s="77">
        <v>3</v>
      </c>
      <c r="Q21" s="205">
        <v>551.49299999999982</v>
      </c>
      <c r="R21" s="44">
        <v>53.9</v>
      </c>
      <c r="S21" s="43">
        <v>2</v>
      </c>
      <c r="T21" s="42">
        <f t="shared" si="33"/>
        <v>5.5</v>
      </c>
      <c r="U21" s="125"/>
      <c r="V21" s="41">
        <v>190</v>
      </c>
      <c r="W21" s="43">
        <v>2</v>
      </c>
      <c r="X21" s="42">
        <f t="shared" si="34"/>
        <v>0</v>
      </c>
      <c r="Y21" s="432" t="s">
        <v>49</v>
      </c>
      <c r="Z21" s="432"/>
      <c r="AA21" s="432"/>
      <c r="AB21" s="432"/>
      <c r="AC21" s="82">
        <f>I21*2</f>
        <v>1838.3099999999995</v>
      </c>
      <c r="AD21" s="76">
        <v>20</v>
      </c>
      <c r="AE21" s="43">
        <v>2</v>
      </c>
      <c r="AF21" s="42">
        <f t="shared" ref="AF21" si="81">CEILING(AC21/AD21/AE21,0.5)</f>
        <v>46</v>
      </c>
      <c r="AG21" s="125"/>
      <c r="AH21" s="41"/>
      <c r="AI21" s="43"/>
      <c r="AJ21" s="75"/>
      <c r="AK21" s="77"/>
      <c r="AL21" s="125"/>
      <c r="AM21" s="41">
        <v>225</v>
      </c>
      <c r="AN21" s="43">
        <v>1</v>
      </c>
      <c r="AO21" s="42">
        <f t="shared" ref="AO21" si="82">ROUND(AL21/AM21/AN21,0)</f>
        <v>0</v>
      </c>
      <c r="AP21" s="74">
        <f>ROUNDUP(SUM(T21,X21,AF21,AJ21,AK21,AO21,P21),0)</f>
        <v>55</v>
      </c>
      <c r="AQ21" s="125"/>
      <c r="AR21" s="73">
        <v>40</v>
      </c>
      <c r="AS21" s="43">
        <v>1</v>
      </c>
      <c r="AT21" s="42">
        <f t="shared" si="41"/>
        <v>0</v>
      </c>
      <c r="AU21" s="125"/>
      <c r="AV21" s="41">
        <v>130</v>
      </c>
      <c r="AW21" s="43">
        <v>1</v>
      </c>
      <c r="AX21" s="75" t="str">
        <f t="shared" si="42"/>
        <v/>
      </c>
      <c r="AY21" s="77"/>
      <c r="AZ21" s="207">
        <v>3676.619999999999</v>
      </c>
      <c r="BA21" s="76">
        <f t="shared" si="6"/>
        <v>220</v>
      </c>
      <c r="BB21" s="43">
        <v>1</v>
      </c>
      <c r="BC21" s="42">
        <f t="shared" si="44"/>
        <v>17</v>
      </c>
      <c r="BD21" s="207">
        <v>1386.0857399999995</v>
      </c>
      <c r="BE21" s="73">
        <v>35</v>
      </c>
      <c r="BF21" s="43">
        <v>2</v>
      </c>
      <c r="BG21" s="75">
        <f t="shared" ref="BG21" si="83">IF(BD21="","",2)</f>
        <v>2</v>
      </c>
      <c r="BH21" s="207">
        <v>235.30367999999993</v>
      </c>
      <c r="BI21" s="72">
        <v>3.4</v>
      </c>
      <c r="BJ21" s="43">
        <v>2</v>
      </c>
      <c r="BK21" s="42">
        <f t="shared" si="46"/>
        <v>35</v>
      </c>
      <c r="BL21" s="207">
        <v>1261.0806599999999</v>
      </c>
      <c r="BM21" s="41">
        <v>125</v>
      </c>
      <c r="BN21" s="43">
        <v>1</v>
      </c>
      <c r="BO21" s="75">
        <f t="shared" ref="BO21" si="84">IF(BL21="","",ROUNDUP(BL21/BM21/BN21,0)+1)</f>
        <v>12</v>
      </c>
      <c r="BP21" s="77">
        <f t="shared" si="48"/>
        <v>7</v>
      </c>
      <c r="BQ21" s="71">
        <f t="shared" ref="BQ21" si="85">ROUNDUP(SUM(AT21,AX21,AY21,BC21,BG21,BK21,BO21,BP21),0)</f>
        <v>73</v>
      </c>
      <c r="BR21" s="125"/>
      <c r="BS21" s="41">
        <v>165</v>
      </c>
      <c r="BT21" s="43">
        <v>1</v>
      </c>
      <c r="BU21" s="42">
        <f t="shared" ref="BU21" si="86">CEILING(BR21/BS21/BT21,0.5)</f>
        <v>0</v>
      </c>
      <c r="BV21" s="207">
        <v>168.20536499999994</v>
      </c>
      <c r="BW21" s="41">
        <v>150</v>
      </c>
      <c r="BX21" s="43">
        <v>2</v>
      </c>
      <c r="BY21" s="42">
        <f t="shared" ref="BY21" si="87">CEILING(BV21/BW21/BX21,0.5)</f>
        <v>1</v>
      </c>
      <c r="BZ21" s="207">
        <v>1433.8817999999997</v>
      </c>
      <c r="CA21" s="73">
        <v>320</v>
      </c>
      <c r="CB21" s="43">
        <v>2</v>
      </c>
      <c r="CC21" s="42">
        <f t="shared" ref="CC21" si="88">CEILING(BZ21/CA21/CB21,0.5)</f>
        <v>2.5</v>
      </c>
      <c r="CD21" s="207">
        <v>4301.6453999999994</v>
      </c>
      <c r="CE21" s="73">
        <v>8000</v>
      </c>
      <c r="CF21" s="43">
        <v>1</v>
      </c>
      <c r="CG21" s="42">
        <f t="shared" ref="CG21" si="89">CEILING(CD21/CE21/CF21,0.5)</f>
        <v>1</v>
      </c>
      <c r="CH21" s="207">
        <v>2867.7635999999993</v>
      </c>
      <c r="CI21" s="73">
        <v>300</v>
      </c>
      <c r="CJ21" s="358">
        <v>3</v>
      </c>
      <c r="CK21" s="42">
        <f t="shared" ref="CK21" si="90">CEILING(CH21/CI21/CJ21,0.5)</f>
        <v>3.5</v>
      </c>
      <c r="CL21" s="70">
        <f t="shared" si="55"/>
        <v>919.15499999999975</v>
      </c>
      <c r="CM21" s="69">
        <v>50</v>
      </c>
      <c r="CN21" s="360">
        <v>3</v>
      </c>
      <c r="CO21" s="42">
        <f t="shared" ref="CO21" si="91">CEILING(CL21/CM21/CN21,0.5)</f>
        <v>6.5</v>
      </c>
      <c r="CP21" s="68">
        <f t="shared" ref="CP21" si="92">ROUNDUP(SUM(BU21,BY21,CC21,CG21,CK21,CO21),0)</f>
        <v>15</v>
      </c>
      <c r="CQ21" s="4">
        <f t="shared" si="58"/>
        <v>55</v>
      </c>
      <c r="CR21" s="4">
        <f t="shared" si="59"/>
        <v>73</v>
      </c>
      <c r="CS21" s="4">
        <f t="shared" ref="CS21" si="93">CP21</f>
        <v>15</v>
      </c>
      <c r="CT21" s="4">
        <f t="shared" ref="CT21" si="94">SUM(CQ21:CS21)</f>
        <v>143</v>
      </c>
      <c r="CV21" s="156"/>
      <c r="CW21" s="157"/>
      <c r="CY21" s="40"/>
      <c r="DF21" s="40"/>
    </row>
    <row r="22" spans="1:110" s="6" customFormat="1" ht="17.25" customHeight="1">
      <c r="A22" s="382" t="s">
        <v>208</v>
      </c>
      <c r="B22" s="180">
        <v>11</v>
      </c>
      <c r="C22" s="211" t="s">
        <v>96</v>
      </c>
      <c r="D22" s="180"/>
      <c r="E22" s="180" t="s">
        <v>18</v>
      </c>
      <c r="F22" s="179">
        <v>62</v>
      </c>
      <c r="G22" s="198">
        <v>2721.3939999999998</v>
      </c>
      <c r="H22" s="198">
        <v>2828.172</v>
      </c>
      <c r="I22" s="178">
        <f t="shared" ref="I22:I32" si="95">H22-G22</f>
        <v>106.77800000000025</v>
      </c>
      <c r="J22" s="178">
        <f>I22</f>
        <v>106.77800000000025</v>
      </c>
      <c r="K22" s="177"/>
      <c r="L22" s="486" t="s">
        <v>104</v>
      </c>
      <c r="M22" s="450">
        <f>SUM(I22:I26)</f>
        <v>1050.174</v>
      </c>
      <c r="N22" s="452">
        <f>SUM(CQ22:CQ26,CR24:CS24)/18.4</f>
        <v>9.2391304347826093</v>
      </c>
      <c r="O22" s="487">
        <v>13</v>
      </c>
      <c r="P22" s="191">
        <v>3</v>
      </c>
      <c r="Q22" s="208">
        <v>161.23478000000037</v>
      </c>
      <c r="R22" s="176">
        <v>53.9</v>
      </c>
      <c r="S22" s="175">
        <v>2</v>
      </c>
      <c r="T22" s="174">
        <f t="shared" si="33"/>
        <v>1.5</v>
      </c>
      <c r="U22" s="209">
        <v>589.41456000000142</v>
      </c>
      <c r="V22" s="173">
        <v>190</v>
      </c>
      <c r="W22" s="175">
        <v>2</v>
      </c>
      <c r="X22" s="174">
        <f t="shared" si="34"/>
        <v>2</v>
      </c>
      <c r="Y22" s="209">
        <v>143.08252000000033</v>
      </c>
      <c r="Z22" s="173">
        <v>42</v>
      </c>
      <c r="AA22" s="175">
        <v>2</v>
      </c>
      <c r="AB22" s="172">
        <f t="shared" ref="AB22:AB32" si="96">IF(Y22="","",CEILING(Y22/Z22/AA22,0.5)+1)</f>
        <v>3</v>
      </c>
      <c r="AC22" s="209">
        <v>85.422400000000209</v>
      </c>
      <c r="AD22" s="173">
        <v>40</v>
      </c>
      <c r="AE22" s="175">
        <v>2</v>
      </c>
      <c r="AF22" s="174">
        <f t="shared" ref="AF22:AF32" si="97">CEILING(AC22/AD22/AE22,0.5)</f>
        <v>1.5</v>
      </c>
      <c r="AG22" s="209">
        <v>38.440080000000094</v>
      </c>
      <c r="AH22" s="173">
        <v>130</v>
      </c>
      <c r="AI22" s="175">
        <v>1</v>
      </c>
      <c r="AJ22" s="172">
        <f t="shared" ref="AJ22:AJ32" si="98">IF(AG22="","",ROUNDUP(AG22/AH22/AI22,0)+1)</f>
        <v>2</v>
      </c>
      <c r="AK22" s="191">
        <f t="shared" ref="AK22:AK31" si="99">IF(E22="보통",2,IF(E22="조강",1,""))</f>
        <v>2</v>
      </c>
      <c r="AL22" s="209">
        <v>121.72692000000029</v>
      </c>
      <c r="AM22" s="173">
        <v>225</v>
      </c>
      <c r="AN22" s="175">
        <v>1</v>
      </c>
      <c r="AO22" s="174">
        <f t="shared" ref="AO22:AO32" si="100">CEILING(AL22/AM22/AN22,0.5)</f>
        <v>1</v>
      </c>
      <c r="AP22" s="171">
        <f t="shared" ref="AP22:AP32" si="101">ROUNDUP(SUM(P22,T22,X22,AB22,AF22,AJ22,AK22,AO22),0)</f>
        <v>16</v>
      </c>
      <c r="AQ22" s="209">
        <v>42.711200000000105</v>
      </c>
      <c r="AR22" s="170">
        <v>40</v>
      </c>
      <c r="AS22" s="175">
        <v>1</v>
      </c>
      <c r="AT22" s="174">
        <f t="shared" si="41"/>
        <v>1.5</v>
      </c>
      <c r="AU22" s="209">
        <v>46.982320000000115</v>
      </c>
      <c r="AV22" s="173">
        <v>130</v>
      </c>
      <c r="AW22" s="175">
        <v>1</v>
      </c>
      <c r="AX22" s="172">
        <f t="shared" si="42"/>
        <v>2</v>
      </c>
      <c r="AY22" s="191">
        <f t="shared" ref="AY22:AY31" si="102">IF(E22="보통",5,IF(E22="조강",2,""))</f>
        <v>5</v>
      </c>
      <c r="AZ22" s="209">
        <v>427.11200000000099</v>
      </c>
      <c r="BA22" s="169">
        <f t="shared" si="6"/>
        <v>220</v>
      </c>
      <c r="BB22" s="175">
        <v>1</v>
      </c>
      <c r="BC22" s="174">
        <f t="shared" si="44"/>
        <v>2</v>
      </c>
      <c r="BD22" s="209">
        <v>161.02122400000039</v>
      </c>
      <c r="BE22" s="170">
        <v>35</v>
      </c>
      <c r="BF22" s="175">
        <v>2</v>
      </c>
      <c r="BG22" s="172">
        <f t="shared" ref="BG22:BG32" si="103">IF(BD22="","",2)</f>
        <v>2</v>
      </c>
      <c r="BH22" s="209">
        <v>27.335168000000063</v>
      </c>
      <c r="BI22" s="168">
        <v>3.4</v>
      </c>
      <c r="BJ22" s="175">
        <v>2</v>
      </c>
      <c r="BK22" s="174">
        <f t="shared" si="46"/>
        <v>4.5</v>
      </c>
      <c r="BL22" s="209">
        <v>146.49941600000034</v>
      </c>
      <c r="BM22" s="173">
        <v>125</v>
      </c>
      <c r="BN22" s="175">
        <v>1</v>
      </c>
      <c r="BO22" s="172">
        <f t="shared" ref="BO22:BO32" si="104">IF(BL22="","",ROUNDUP(BL22/BM22/BN22,0)+1)</f>
        <v>3</v>
      </c>
      <c r="BP22" s="191">
        <f t="shared" si="48"/>
        <v>7</v>
      </c>
      <c r="BQ22" s="167">
        <f t="shared" ref="BQ22:BQ32" si="105">ROUNDUP(SUM(AT22,AX22,AY22,BC22,BG22,BK22,BO22,BP22),0)</f>
        <v>27</v>
      </c>
      <c r="BR22" s="209">
        <v>52.748332000000119</v>
      </c>
      <c r="BS22" s="173">
        <v>165</v>
      </c>
      <c r="BT22" s="175">
        <v>1</v>
      </c>
      <c r="BU22" s="174">
        <f t="shared" ref="BU22:BU32" si="106">CEILING(BR22/BS22/BT22,0.5)</f>
        <v>0.5</v>
      </c>
      <c r="BV22" s="209">
        <v>71.541260000000165</v>
      </c>
      <c r="BW22" s="173">
        <v>150</v>
      </c>
      <c r="BX22" s="175">
        <v>2</v>
      </c>
      <c r="BY22" s="174">
        <f t="shared" ref="BY22:BY32" si="107">CEILING(BV22/BW22/BX22,0.5)</f>
        <v>0.5</v>
      </c>
      <c r="BZ22" s="209">
        <v>435.65424000000104</v>
      </c>
      <c r="CA22" s="170">
        <v>320</v>
      </c>
      <c r="CB22" s="175">
        <v>2</v>
      </c>
      <c r="CC22" s="174">
        <f t="shared" ref="CC22:CC32" si="108">CEILING(BZ22/CA22/CB22,0.5)</f>
        <v>1</v>
      </c>
      <c r="CD22" s="209">
        <v>1306.9627200000032</v>
      </c>
      <c r="CE22" s="170">
        <v>8000</v>
      </c>
      <c r="CF22" s="175">
        <v>1</v>
      </c>
      <c r="CG22" s="174">
        <f t="shared" ref="CG22:CG32" si="109">CEILING(CD22/CE22/CF22,0.5)</f>
        <v>0.5</v>
      </c>
      <c r="CH22" s="209">
        <v>871.30848000000208</v>
      </c>
      <c r="CI22" s="170">
        <v>300</v>
      </c>
      <c r="CJ22" s="175">
        <v>2</v>
      </c>
      <c r="CK22" s="174">
        <f t="shared" ref="CK22:CK32" si="110">CEILING(CH22/CI22/CJ22,0.5)</f>
        <v>1.5</v>
      </c>
      <c r="CL22" s="166">
        <f t="shared" si="55"/>
        <v>106.77800000000025</v>
      </c>
      <c r="CM22" s="165">
        <v>50</v>
      </c>
      <c r="CN22" s="175">
        <v>1</v>
      </c>
      <c r="CO22" s="174">
        <f t="shared" ref="CO22:CO32" si="111">CEILING(CL22/CM22/CN22,0.5)</f>
        <v>2.5</v>
      </c>
      <c r="CP22" s="164">
        <f t="shared" ref="CP22:CP32" si="112">ROUNDUP(SUM(BU22,BY22,CC22,CG22,CK22,CO22),0)</f>
        <v>7</v>
      </c>
      <c r="CQ22" s="163">
        <f t="shared" si="58"/>
        <v>16</v>
      </c>
      <c r="CR22" s="163">
        <f t="shared" si="59"/>
        <v>27</v>
      </c>
      <c r="CS22" s="163">
        <f t="shared" ref="CS22:CS32" si="113">CP22</f>
        <v>7</v>
      </c>
      <c r="CT22" s="163">
        <f t="shared" ref="CT22:CT32" si="114">SUM(CQ22:CS22)</f>
        <v>50</v>
      </c>
      <c r="CY22" s="40"/>
      <c r="DF22" s="40"/>
    </row>
    <row r="23" spans="1:110" s="6" customFormat="1" ht="17.25" customHeight="1">
      <c r="A23" s="382" t="s">
        <v>209</v>
      </c>
      <c r="B23" s="99">
        <v>12</v>
      </c>
      <c r="C23" s="200" t="s">
        <v>97</v>
      </c>
      <c r="D23" s="99"/>
      <c r="E23" s="99" t="s">
        <v>18</v>
      </c>
      <c r="F23" s="93">
        <v>62</v>
      </c>
      <c r="G23" s="199">
        <v>2863.0770000000002</v>
      </c>
      <c r="H23" s="199">
        <v>3141.192</v>
      </c>
      <c r="I23" s="65">
        <f t="shared" si="95"/>
        <v>278.11499999999978</v>
      </c>
      <c r="J23" s="65">
        <f>J22+I23</f>
        <v>384.89300000000003</v>
      </c>
      <c r="K23" s="88"/>
      <c r="L23" s="451"/>
      <c r="M23" s="451"/>
      <c r="N23" s="453"/>
      <c r="O23" s="488"/>
      <c r="P23" s="19">
        <v>3</v>
      </c>
      <c r="Q23" s="204">
        <v>419.9536499999997</v>
      </c>
      <c r="R23" s="8">
        <v>53.9</v>
      </c>
      <c r="S23" s="9">
        <v>2</v>
      </c>
      <c r="T23" s="10">
        <f t="shared" si="33"/>
        <v>4</v>
      </c>
      <c r="U23" s="206">
        <v>1535.1947999999988</v>
      </c>
      <c r="V23" s="11">
        <v>190</v>
      </c>
      <c r="W23" s="9">
        <v>2</v>
      </c>
      <c r="X23" s="10">
        <f t="shared" si="34"/>
        <v>4.5</v>
      </c>
      <c r="Y23" s="206">
        <v>372.67409999999973</v>
      </c>
      <c r="Z23" s="11">
        <v>42</v>
      </c>
      <c r="AA23" s="9">
        <v>2</v>
      </c>
      <c r="AB23" s="12">
        <f t="shared" si="96"/>
        <v>5.5</v>
      </c>
      <c r="AC23" s="206">
        <v>222.49199999999985</v>
      </c>
      <c r="AD23" s="11">
        <v>40</v>
      </c>
      <c r="AE23" s="9">
        <v>2</v>
      </c>
      <c r="AF23" s="10">
        <f t="shared" si="97"/>
        <v>3</v>
      </c>
      <c r="AG23" s="206">
        <v>100.12139999999994</v>
      </c>
      <c r="AH23" s="11">
        <v>130</v>
      </c>
      <c r="AI23" s="9">
        <v>1</v>
      </c>
      <c r="AJ23" s="12">
        <f t="shared" si="98"/>
        <v>2</v>
      </c>
      <c r="AK23" s="19">
        <f t="shared" si="99"/>
        <v>2</v>
      </c>
      <c r="AL23" s="206">
        <v>317.05109999999979</v>
      </c>
      <c r="AM23" s="11">
        <v>225</v>
      </c>
      <c r="AN23" s="9">
        <v>1</v>
      </c>
      <c r="AO23" s="10">
        <f t="shared" si="100"/>
        <v>1.5</v>
      </c>
      <c r="AP23" s="18">
        <f t="shared" si="101"/>
        <v>26</v>
      </c>
      <c r="AQ23" s="206">
        <v>111.24599999999992</v>
      </c>
      <c r="AR23" s="13">
        <v>40</v>
      </c>
      <c r="AS23" s="9">
        <v>1</v>
      </c>
      <c r="AT23" s="10">
        <f t="shared" si="41"/>
        <v>3</v>
      </c>
      <c r="AU23" s="206">
        <v>122.37059999999992</v>
      </c>
      <c r="AV23" s="11">
        <v>130</v>
      </c>
      <c r="AW23" s="9">
        <v>1</v>
      </c>
      <c r="AX23" s="12">
        <f t="shared" si="42"/>
        <v>2</v>
      </c>
      <c r="AY23" s="19">
        <f t="shared" si="102"/>
        <v>5</v>
      </c>
      <c r="AZ23" s="206">
        <v>1112.4599999999991</v>
      </c>
      <c r="BA23" s="25">
        <f t="shared" si="6"/>
        <v>220</v>
      </c>
      <c r="BB23" s="9">
        <v>1</v>
      </c>
      <c r="BC23" s="10">
        <f t="shared" si="44"/>
        <v>5.5</v>
      </c>
      <c r="BD23" s="206">
        <v>419.39741999999967</v>
      </c>
      <c r="BE23" s="13">
        <v>35</v>
      </c>
      <c r="BF23" s="9">
        <v>2</v>
      </c>
      <c r="BG23" s="12">
        <f t="shared" si="103"/>
        <v>2</v>
      </c>
      <c r="BH23" s="206">
        <v>71.197439999999943</v>
      </c>
      <c r="BI23" s="14">
        <v>3.4</v>
      </c>
      <c r="BJ23" s="9">
        <v>2</v>
      </c>
      <c r="BK23" s="10">
        <f t="shared" si="46"/>
        <v>10.5</v>
      </c>
      <c r="BL23" s="206">
        <v>381.57377999999972</v>
      </c>
      <c r="BM23" s="11">
        <v>125</v>
      </c>
      <c r="BN23" s="9">
        <v>1</v>
      </c>
      <c r="BO23" s="12">
        <f t="shared" si="104"/>
        <v>5</v>
      </c>
      <c r="BP23" s="19">
        <f t="shared" si="48"/>
        <v>7</v>
      </c>
      <c r="BQ23" s="21">
        <f t="shared" si="105"/>
        <v>40</v>
      </c>
      <c r="BR23" s="206">
        <v>137.38880999999989</v>
      </c>
      <c r="BS23" s="11">
        <v>165</v>
      </c>
      <c r="BT23" s="9">
        <v>1</v>
      </c>
      <c r="BU23" s="10">
        <f t="shared" si="106"/>
        <v>1</v>
      </c>
      <c r="BV23" s="206">
        <v>186.33704999999986</v>
      </c>
      <c r="BW23" s="11">
        <v>150</v>
      </c>
      <c r="BX23" s="9">
        <v>2</v>
      </c>
      <c r="BY23" s="10">
        <f t="shared" si="107"/>
        <v>1</v>
      </c>
      <c r="BZ23" s="206">
        <v>1134.7091999999991</v>
      </c>
      <c r="CA23" s="13">
        <v>320</v>
      </c>
      <c r="CB23" s="9">
        <v>2</v>
      </c>
      <c r="CC23" s="10">
        <f t="shared" si="108"/>
        <v>2</v>
      </c>
      <c r="CD23" s="206">
        <v>3404.1275999999971</v>
      </c>
      <c r="CE23" s="13">
        <v>8000</v>
      </c>
      <c r="CF23" s="9">
        <v>1</v>
      </c>
      <c r="CG23" s="10">
        <f t="shared" si="109"/>
        <v>0.5</v>
      </c>
      <c r="CH23" s="206">
        <v>2269.4183999999982</v>
      </c>
      <c r="CI23" s="13">
        <v>300</v>
      </c>
      <c r="CJ23" s="9">
        <v>2</v>
      </c>
      <c r="CK23" s="10">
        <f t="shared" si="110"/>
        <v>4</v>
      </c>
      <c r="CL23" s="38">
        <f t="shared" si="55"/>
        <v>278.11499999999978</v>
      </c>
      <c r="CM23" s="15">
        <v>50</v>
      </c>
      <c r="CN23" s="9">
        <v>1</v>
      </c>
      <c r="CO23" s="10">
        <f t="shared" si="111"/>
        <v>6</v>
      </c>
      <c r="CP23" s="20">
        <f t="shared" si="112"/>
        <v>15</v>
      </c>
      <c r="CQ23" s="5">
        <f t="shared" si="58"/>
        <v>26</v>
      </c>
      <c r="CR23" s="5">
        <f t="shared" si="59"/>
        <v>40</v>
      </c>
      <c r="CS23" s="5">
        <f t="shared" si="113"/>
        <v>15</v>
      </c>
      <c r="CT23" s="5">
        <f t="shared" si="114"/>
        <v>81</v>
      </c>
      <c r="CY23" s="40"/>
      <c r="DF23" s="40"/>
    </row>
    <row r="24" spans="1:110" s="6" customFormat="1" ht="17.25" customHeight="1">
      <c r="A24" s="225" t="s">
        <v>25</v>
      </c>
      <c r="B24" s="99">
        <v>13</v>
      </c>
      <c r="C24" s="99" t="s">
        <v>98</v>
      </c>
      <c r="D24" s="99"/>
      <c r="E24" s="99" t="s">
        <v>18</v>
      </c>
      <c r="F24" s="93">
        <v>80</v>
      </c>
      <c r="G24" s="199">
        <v>3183.7289999999998</v>
      </c>
      <c r="H24" s="199">
        <v>3471.7069999999999</v>
      </c>
      <c r="I24" s="65">
        <f t="shared" si="95"/>
        <v>287.97800000000007</v>
      </c>
      <c r="J24" s="65">
        <f>J23+I24</f>
        <v>672.87100000000009</v>
      </c>
      <c r="K24" s="88" t="s">
        <v>100</v>
      </c>
      <c r="L24" s="451"/>
      <c r="M24" s="451"/>
      <c r="N24" s="453"/>
      <c r="O24" s="488"/>
      <c r="P24" s="19">
        <v>3</v>
      </c>
      <c r="Q24" s="204">
        <v>500.79806000000025</v>
      </c>
      <c r="R24" s="8">
        <v>53.9</v>
      </c>
      <c r="S24" s="9">
        <v>2</v>
      </c>
      <c r="T24" s="10">
        <f t="shared" si="33"/>
        <v>5</v>
      </c>
      <c r="U24" s="204">
        <v>1813.0967100000007</v>
      </c>
      <c r="V24" s="11">
        <v>190</v>
      </c>
      <c r="W24" s="9">
        <v>2</v>
      </c>
      <c r="X24" s="10">
        <f t="shared" si="34"/>
        <v>5</v>
      </c>
      <c r="Y24" s="204">
        <v>385.89052000000009</v>
      </c>
      <c r="Z24" s="11">
        <v>42</v>
      </c>
      <c r="AA24" s="9">
        <v>2</v>
      </c>
      <c r="AB24" s="12">
        <f t="shared" si="96"/>
        <v>6</v>
      </c>
      <c r="AC24" s="204">
        <v>230.38240000000005</v>
      </c>
      <c r="AD24" s="11">
        <v>40</v>
      </c>
      <c r="AE24" s="9">
        <v>2</v>
      </c>
      <c r="AF24" s="10">
        <f t="shared" si="97"/>
        <v>3</v>
      </c>
      <c r="AG24" s="204">
        <v>103.67208000000004</v>
      </c>
      <c r="AH24" s="11">
        <v>130</v>
      </c>
      <c r="AI24" s="9">
        <v>1</v>
      </c>
      <c r="AJ24" s="12">
        <f t="shared" si="98"/>
        <v>2</v>
      </c>
      <c r="AK24" s="19">
        <f t="shared" si="99"/>
        <v>2</v>
      </c>
      <c r="AL24" s="204">
        <v>362.7101600000002</v>
      </c>
      <c r="AM24" s="11">
        <v>225</v>
      </c>
      <c r="AN24" s="9">
        <v>1</v>
      </c>
      <c r="AO24" s="10">
        <f t="shared" si="100"/>
        <v>2</v>
      </c>
      <c r="AP24" s="18">
        <f t="shared" si="101"/>
        <v>28</v>
      </c>
      <c r="AQ24" s="204">
        <v>115.19120000000002</v>
      </c>
      <c r="AR24" s="13">
        <v>40</v>
      </c>
      <c r="AS24" s="9">
        <v>1</v>
      </c>
      <c r="AT24" s="10">
        <f t="shared" si="41"/>
        <v>3</v>
      </c>
      <c r="AU24" s="204">
        <v>126.71032000000004</v>
      </c>
      <c r="AV24" s="11">
        <v>130</v>
      </c>
      <c r="AW24" s="9">
        <v>1</v>
      </c>
      <c r="AX24" s="12">
        <f t="shared" si="42"/>
        <v>2</v>
      </c>
      <c r="AY24" s="19">
        <f t="shared" si="102"/>
        <v>5</v>
      </c>
      <c r="AZ24" s="204">
        <v>1151.9120000000003</v>
      </c>
      <c r="BA24" s="25">
        <f t="shared" si="6"/>
        <v>220</v>
      </c>
      <c r="BB24" s="9">
        <v>1</v>
      </c>
      <c r="BC24" s="10">
        <f t="shared" si="44"/>
        <v>5.5</v>
      </c>
      <c r="BD24" s="204">
        <v>434.27082400000012</v>
      </c>
      <c r="BE24" s="13">
        <v>35</v>
      </c>
      <c r="BF24" s="9">
        <v>2</v>
      </c>
      <c r="BG24" s="12">
        <f t="shared" si="103"/>
        <v>2</v>
      </c>
      <c r="BH24" s="204">
        <v>73.722368000000017</v>
      </c>
      <c r="BI24" s="14">
        <v>3.4</v>
      </c>
      <c r="BJ24" s="9">
        <v>2</v>
      </c>
      <c r="BK24" s="10">
        <f t="shared" si="46"/>
        <v>11</v>
      </c>
      <c r="BL24" s="204">
        <v>395.10581600000012</v>
      </c>
      <c r="BM24" s="11">
        <v>125</v>
      </c>
      <c r="BN24" s="9">
        <v>1</v>
      </c>
      <c r="BO24" s="12">
        <f t="shared" si="104"/>
        <v>5</v>
      </c>
      <c r="BP24" s="19">
        <f t="shared" si="48"/>
        <v>7</v>
      </c>
      <c r="BQ24" s="21">
        <f t="shared" si="105"/>
        <v>41</v>
      </c>
      <c r="BR24" s="204">
        <v>170.1826870000001</v>
      </c>
      <c r="BS24" s="11">
        <v>165</v>
      </c>
      <c r="BT24" s="9">
        <v>1</v>
      </c>
      <c r="BU24" s="10">
        <f t="shared" si="106"/>
        <v>1.5</v>
      </c>
      <c r="BV24" s="204">
        <v>222.19821400000015</v>
      </c>
      <c r="BW24" s="11">
        <v>150</v>
      </c>
      <c r="BX24" s="9">
        <v>2</v>
      </c>
      <c r="BY24" s="10">
        <f t="shared" si="107"/>
        <v>1</v>
      </c>
      <c r="BZ24" s="204">
        <v>1347.026440000001</v>
      </c>
      <c r="CA24" s="13">
        <v>320</v>
      </c>
      <c r="CB24" s="9">
        <v>2</v>
      </c>
      <c r="CC24" s="10">
        <f t="shared" si="108"/>
        <v>2.5</v>
      </c>
      <c r="CD24" s="204">
        <v>4041.0793200000026</v>
      </c>
      <c r="CE24" s="13">
        <v>8000</v>
      </c>
      <c r="CF24" s="9">
        <v>1</v>
      </c>
      <c r="CG24" s="10">
        <f t="shared" si="109"/>
        <v>1</v>
      </c>
      <c r="CH24" s="204">
        <v>2694.052880000002</v>
      </c>
      <c r="CI24" s="13">
        <v>300</v>
      </c>
      <c r="CJ24" s="9">
        <v>2</v>
      </c>
      <c r="CK24" s="10">
        <f t="shared" si="110"/>
        <v>4.5</v>
      </c>
      <c r="CL24" s="38">
        <f t="shared" si="55"/>
        <v>287.97800000000007</v>
      </c>
      <c r="CM24" s="15">
        <v>50</v>
      </c>
      <c r="CN24" s="9">
        <v>1</v>
      </c>
      <c r="CO24" s="10">
        <f t="shared" si="111"/>
        <v>6</v>
      </c>
      <c r="CP24" s="20">
        <f t="shared" si="112"/>
        <v>17</v>
      </c>
      <c r="CQ24" s="5">
        <f t="shared" si="58"/>
        <v>28</v>
      </c>
      <c r="CR24" s="5">
        <f t="shared" si="59"/>
        <v>41</v>
      </c>
      <c r="CS24" s="5">
        <f t="shared" si="113"/>
        <v>17</v>
      </c>
      <c r="CT24" s="5">
        <f t="shared" si="114"/>
        <v>86</v>
      </c>
      <c r="CY24" s="40"/>
      <c r="DF24" s="40"/>
    </row>
    <row r="25" spans="1:110" s="6" customFormat="1" ht="17.25" customHeight="1">
      <c r="A25" s="225" t="s">
        <v>207</v>
      </c>
      <c r="B25" s="99">
        <v>14</v>
      </c>
      <c r="C25" s="99" t="s">
        <v>101</v>
      </c>
      <c r="D25" s="99"/>
      <c r="E25" s="99" t="s">
        <v>18</v>
      </c>
      <c r="F25" s="93">
        <v>80</v>
      </c>
      <c r="G25" s="199">
        <v>3504.547</v>
      </c>
      <c r="H25" s="199">
        <v>3732.634</v>
      </c>
      <c r="I25" s="65">
        <f t="shared" si="95"/>
        <v>228.08699999999999</v>
      </c>
      <c r="J25" s="65">
        <f>J24+I25</f>
        <v>900.95800000000008</v>
      </c>
      <c r="K25" s="88" t="s">
        <v>102</v>
      </c>
      <c r="L25" s="451"/>
      <c r="M25" s="451"/>
      <c r="N25" s="453"/>
      <c r="O25" s="488"/>
      <c r="P25" s="19">
        <v>3</v>
      </c>
      <c r="Q25" s="204">
        <v>406.00304999999992</v>
      </c>
      <c r="R25" s="8">
        <v>53.9</v>
      </c>
      <c r="S25" s="9">
        <v>2</v>
      </c>
      <c r="T25" s="10">
        <f t="shared" si="33"/>
        <v>4</v>
      </c>
      <c r="U25" s="204">
        <v>1471.2966399999996</v>
      </c>
      <c r="V25" s="11">
        <v>190</v>
      </c>
      <c r="W25" s="9">
        <v>2</v>
      </c>
      <c r="X25" s="10">
        <f t="shared" si="34"/>
        <v>4</v>
      </c>
      <c r="Y25" s="204">
        <v>305.63657999999998</v>
      </c>
      <c r="Z25" s="11">
        <v>42</v>
      </c>
      <c r="AA25" s="9">
        <v>2</v>
      </c>
      <c r="AB25" s="12">
        <f t="shared" si="96"/>
        <v>5</v>
      </c>
      <c r="AC25" s="204">
        <v>182.46959999999999</v>
      </c>
      <c r="AD25" s="11">
        <v>40</v>
      </c>
      <c r="AE25" s="9">
        <v>2</v>
      </c>
      <c r="AF25" s="10">
        <f t="shared" si="97"/>
        <v>2.5</v>
      </c>
      <c r="AG25" s="204">
        <v>82.111320000000021</v>
      </c>
      <c r="AH25" s="11">
        <v>130</v>
      </c>
      <c r="AI25" s="9">
        <v>1</v>
      </c>
      <c r="AJ25" s="12">
        <f t="shared" si="98"/>
        <v>2</v>
      </c>
      <c r="AK25" s="19">
        <f t="shared" si="99"/>
        <v>2</v>
      </c>
      <c r="AL25" s="204">
        <v>289.83261999999991</v>
      </c>
      <c r="AM25" s="11">
        <v>225</v>
      </c>
      <c r="AN25" s="9">
        <v>1</v>
      </c>
      <c r="AO25" s="10">
        <f t="shared" si="100"/>
        <v>1.5</v>
      </c>
      <c r="AP25" s="18">
        <f t="shared" si="101"/>
        <v>24</v>
      </c>
      <c r="AQ25" s="204">
        <v>91.234799999999993</v>
      </c>
      <c r="AR25" s="13">
        <v>40</v>
      </c>
      <c r="AS25" s="9">
        <v>1</v>
      </c>
      <c r="AT25" s="10">
        <f t="shared" si="41"/>
        <v>2.5</v>
      </c>
      <c r="AU25" s="204">
        <v>100.35828000000002</v>
      </c>
      <c r="AV25" s="11">
        <v>130</v>
      </c>
      <c r="AW25" s="9">
        <v>1</v>
      </c>
      <c r="AX25" s="12">
        <f t="shared" si="42"/>
        <v>2</v>
      </c>
      <c r="AY25" s="19">
        <f t="shared" si="102"/>
        <v>5</v>
      </c>
      <c r="AZ25" s="204">
        <v>912.34799999999996</v>
      </c>
      <c r="BA25" s="25">
        <f t="shared" si="6"/>
        <v>220</v>
      </c>
      <c r="BB25" s="9">
        <v>1</v>
      </c>
      <c r="BC25" s="10">
        <f t="shared" si="44"/>
        <v>4.5</v>
      </c>
      <c r="BD25" s="204">
        <v>343.955196</v>
      </c>
      <c r="BE25" s="13">
        <v>35</v>
      </c>
      <c r="BF25" s="9">
        <v>2</v>
      </c>
      <c r="BG25" s="12">
        <f t="shared" si="103"/>
        <v>2</v>
      </c>
      <c r="BH25" s="204">
        <v>58.390271999999996</v>
      </c>
      <c r="BI25" s="14">
        <v>3.4</v>
      </c>
      <c r="BJ25" s="9">
        <v>2</v>
      </c>
      <c r="BK25" s="10">
        <f t="shared" si="46"/>
        <v>9</v>
      </c>
      <c r="BL25" s="204">
        <v>312.93536399999999</v>
      </c>
      <c r="BM25" s="11">
        <v>125</v>
      </c>
      <c r="BN25" s="9">
        <v>1</v>
      </c>
      <c r="BO25" s="12">
        <f t="shared" si="104"/>
        <v>4</v>
      </c>
      <c r="BP25" s="19">
        <f t="shared" si="48"/>
        <v>7</v>
      </c>
      <c r="BQ25" s="21">
        <f t="shared" si="105"/>
        <v>36</v>
      </c>
      <c r="BR25" s="204">
        <v>137.90205799999993</v>
      </c>
      <c r="BS25" s="11">
        <v>165</v>
      </c>
      <c r="BT25" s="9">
        <v>1</v>
      </c>
      <c r="BU25" s="10">
        <f t="shared" si="106"/>
        <v>1</v>
      </c>
      <c r="BV25" s="204">
        <v>178.15971399999989</v>
      </c>
      <c r="BW25" s="11">
        <v>150</v>
      </c>
      <c r="BX25" s="9">
        <v>2</v>
      </c>
      <c r="BY25" s="10">
        <f t="shared" si="107"/>
        <v>1</v>
      </c>
      <c r="BZ25" s="204">
        <v>1079.6621599999996</v>
      </c>
      <c r="CA25" s="13">
        <v>320</v>
      </c>
      <c r="CB25" s="9">
        <v>2</v>
      </c>
      <c r="CC25" s="10">
        <f t="shared" si="108"/>
        <v>2</v>
      </c>
      <c r="CD25" s="204">
        <v>3238.9864799999982</v>
      </c>
      <c r="CE25" s="13">
        <v>8000</v>
      </c>
      <c r="CF25" s="9">
        <v>1</v>
      </c>
      <c r="CG25" s="10">
        <f t="shared" si="109"/>
        <v>0.5</v>
      </c>
      <c r="CH25" s="204">
        <v>2159.3243199999993</v>
      </c>
      <c r="CI25" s="13">
        <v>300</v>
      </c>
      <c r="CJ25" s="9">
        <v>2</v>
      </c>
      <c r="CK25" s="10">
        <f t="shared" si="110"/>
        <v>4</v>
      </c>
      <c r="CL25" s="38">
        <f t="shared" si="55"/>
        <v>228.08699999999999</v>
      </c>
      <c r="CM25" s="15">
        <v>50</v>
      </c>
      <c r="CN25" s="9">
        <v>1</v>
      </c>
      <c r="CO25" s="10">
        <f t="shared" si="111"/>
        <v>5</v>
      </c>
      <c r="CP25" s="20">
        <f t="shared" si="112"/>
        <v>14</v>
      </c>
      <c r="CQ25" s="5">
        <f t="shared" si="58"/>
        <v>24</v>
      </c>
      <c r="CR25" s="5">
        <f t="shared" si="59"/>
        <v>36</v>
      </c>
      <c r="CS25" s="5">
        <f t="shared" si="113"/>
        <v>14</v>
      </c>
      <c r="CT25" s="5">
        <f t="shared" si="114"/>
        <v>74</v>
      </c>
      <c r="CY25" s="40"/>
      <c r="DF25" s="40"/>
    </row>
    <row r="26" spans="1:110" s="6" customFormat="1" ht="17.25" customHeight="1" thickBot="1">
      <c r="A26" s="40"/>
      <c r="B26" s="45">
        <v>15</v>
      </c>
      <c r="C26" s="215" t="s">
        <v>103</v>
      </c>
      <c r="D26" s="45"/>
      <c r="E26" s="45" t="s">
        <v>18</v>
      </c>
      <c r="F26" s="193">
        <v>150</v>
      </c>
      <c r="G26" s="214">
        <v>3787.6660000000002</v>
      </c>
      <c r="H26" s="214">
        <v>3936.8820000000001</v>
      </c>
      <c r="I26" s="195">
        <f t="shared" si="95"/>
        <v>149.21599999999989</v>
      </c>
      <c r="J26" s="195">
        <f>J25+I26</f>
        <v>1050.174</v>
      </c>
      <c r="K26" s="132"/>
      <c r="L26" s="440"/>
      <c r="M26" s="440"/>
      <c r="N26" s="454"/>
      <c r="O26" s="489"/>
      <c r="P26" s="77">
        <v>3</v>
      </c>
      <c r="Q26" s="217">
        <v>225.31615999999985</v>
      </c>
      <c r="R26" s="44">
        <v>53.9</v>
      </c>
      <c r="S26" s="43">
        <v>2</v>
      </c>
      <c r="T26" s="42">
        <f t="shared" si="33"/>
        <v>2.5</v>
      </c>
      <c r="U26" s="218">
        <v>823.67231999999944</v>
      </c>
      <c r="V26" s="41">
        <v>190</v>
      </c>
      <c r="W26" s="43">
        <v>2</v>
      </c>
      <c r="X26" s="42">
        <f t="shared" si="34"/>
        <v>2.5</v>
      </c>
      <c r="Y26" s="218">
        <v>199.94943999999987</v>
      </c>
      <c r="Z26" s="41">
        <v>42</v>
      </c>
      <c r="AA26" s="43">
        <v>2</v>
      </c>
      <c r="AB26" s="75">
        <f t="shared" si="96"/>
        <v>3.5</v>
      </c>
      <c r="AC26" s="218">
        <v>119.37279999999993</v>
      </c>
      <c r="AD26" s="41">
        <v>40</v>
      </c>
      <c r="AE26" s="43">
        <v>2</v>
      </c>
      <c r="AF26" s="42">
        <f t="shared" si="97"/>
        <v>1.5</v>
      </c>
      <c r="AG26" s="218">
        <v>53.71775999999997</v>
      </c>
      <c r="AH26" s="41">
        <v>130</v>
      </c>
      <c r="AI26" s="43">
        <v>1</v>
      </c>
      <c r="AJ26" s="75">
        <f t="shared" si="98"/>
        <v>2</v>
      </c>
      <c r="AK26" s="77">
        <f t="shared" si="99"/>
        <v>2</v>
      </c>
      <c r="AL26" s="218">
        <v>170.1062399999999</v>
      </c>
      <c r="AM26" s="41">
        <v>225</v>
      </c>
      <c r="AN26" s="43">
        <v>1</v>
      </c>
      <c r="AO26" s="42">
        <f t="shared" si="100"/>
        <v>1</v>
      </c>
      <c r="AP26" s="74">
        <f t="shared" si="101"/>
        <v>18</v>
      </c>
      <c r="AQ26" s="218">
        <v>59.686399999999963</v>
      </c>
      <c r="AR26" s="73">
        <v>40</v>
      </c>
      <c r="AS26" s="43">
        <v>1</v>
      </c>
      <c r="AT26" s="42">
        <f t="shared" si="41"/>
        <v>1.5</v>
      </c>
      <c r="AU26" s="218">
        <v>65.655039999999957</v>
      </c>
      <c r="AV26" s="41">
        <v>130</v>
      </c>
      <c r="AW26" s="43">
        <v>1</v>
      </c>
      <c r="AX26" s="75">
        <f t="shared" si="42"/>
        <v>2</v>
      </c>
      <c r="AY26" s="77">
        <f t="shared" si="102"/>
        <v>5</v>
      </c>
      <c r="AZ26" s="218">
        <v>596.86399999999958</v>
      </c>
      <c r="BA26" s="76">
        <f t="shared" si="6"/>
        <v>220</v>
      </c>
      <c r="BB26" s="43">
        <v>1</v>
      </c>
      <c r="BC26" s="42">
        <f t="shared" si="44"/>
        <v>3</v>
      </c>
      <c r="BD26" s="218">
        <v>225.01772799999983</v>
      </c>
      <c r="BE26" s="73">
        <v>35</v>
      </c>
      <c r="BF26" s="43">
        <v>2</v>
      </c>
      <c r="BG26" s="75">
        <f t="shared" si="103"/>
        <v>2</v>
      </c>
      <c r="BH26" s="218">
        <v>38.199295999999975</v>
      </c>
      <c r="BI26" s="72">
        <v>3.4</v>
      </c>
      <c r="BJ26" s="43">
        <v>2</v>
      </c>
      <c r="BK26" s="42">
        <f t="shared" si="46"/>
        <v>6</v>
      </c>
      <c r="BL26" s="218">
        <v>204.72435199999987</v>
      </c>
      <c r="BM26" s="41">
        <v>125</v>
      </c>
      <c r="BN26" s="43">
        <v>1</v>
      </c>
      <c r="BO26" s="75">
        <f t="shared" si="104"/>
        <v>3</v>
      </c>
      <c r="BP26" s="77">
        <f t="shared" si="48"/>
        <v>7</v>
      </c>
      <c r="BQ26" s="71">
        <f t="shared" si="105"/>
        <v>30</v>
      </c>
      <c r="BR26" s="218">
        <v>73.712703999999945</v>
      </c>
      <c r="BS26" s="41">
        <v>165</v>
      </c>
      <c r="BT26" s="43">
        <v>1</v>
      </c>
      <c r="BU26" s="42">
        <f t="shared" si="106"/>
        <v>0.5</v>
      </c>
      <c r="BV26" s="218">
        <v>99.974719999999934</v>
      </c>
      <c r="BW26" s="41">
        <v>150</v>
      </c>
      <c r="BX26" s="43">
        <v>2</v>
      </c>
      <c r="BY26" s="42">
        <f t="shared" si="107"/>
        <v>0.5</v>
      </c>
      <c r="BZ26" s="218">
        <v>608.80127999999957</v>
      </c>
      <c r="CA26" s="73">
        <v>320</v>
      </c>
      <c r="CB26" s="43">
        <v>2</v>
      </c>
      <c r="CC26" s="42">
        <f t="shared" si="108"/>
        <v>1</v>
      </c>
      <c r="CD26" s="218">
        <v>1826.4038399999986</v>
      </c>
      <c r="CE26" s="73">
        <v>8000</v>
      </c>
      <c r="CF26" s="43">
        <v>1</v>
      </c>
      <c r="CG26" s="42">
        <f t="shared" si="109"/>
        <v>0.5</v>
      </c>
      <c r="CH26" s="218">
        <v>1217.6025599999991</v>
      </c>
      <c r="CI26" s="73">
        <v>300</v>
      </c>
      <c r="CJ26" s="43">
        <v>2</v>
      </c>
      <c r="CK26" s="42">
        <f t="shared" si="110"/>
        <v>2.5</v>
      </c>
      <c r="CL26" s="70">
        <f t="shared" si="55"/>
        <v>149.21599999999989</v>
      </c>
      <c r="CM26" s="69">
        <v>50</v>
      </c>
      <c r="CN26" s="43">
        <v>1</v>
      </c>
      <c r="CO26" s="42">
        <f t="shared" si="111"/>
        <v>3</v>
      </c>
      <c r="CP26" s="68">
        <f t="shared" si="112"/>
        <v>8</v>
      </c>
      <c r="CQ26" s="4">
        <f t="shared" si="58"/>
        <v>18</v>
      </c>
      <c r="CR26" s="4">
        <f t="shared" si="59"/>
        <v>30</v>
      </c>
      <c r="CS26" s="4">
        <f t="shared" si="113"/>
        <v>8</v>
      </c>
      <c r="CT26" s="4">
        <f t="shared" si="114"/>
        <v>56</v>
      </c>
      <c r="CV26" s="156"/>
      <c r="CW26" s="157"/>
      <c r="CY26" s="40"/>
      <c r="DF26" s="40"/>
    </row>
    <row r="27" spans="1:110" s="6" customFormat="1" ht="17.25" customHeight="1">
      <c r="A27" s="225" t="s">
        <v>119</v>
      </c>
      <c r="B27" s="231">
        <v>16</v>
      </c>
      <c r="C27" s="159" t="s">
        <v>105</v>
      </c>
      <c r="D27" s="180"/>
      <c r="E27" s="180" t="s">
        <v>18</v>
      </c>
      <c r="F27" s="179">
        <v>255</v>
      </c>
      <c r="G27" s="212">
        <v>3970.6489999999999</v>
      </c>
      <c r="H27" s="212">
        <v>4381.3490000000002</v>
      </c>
      <c r="I27" s="178">
        <f t="shared" si="95"/>
        <v>410.70000000000027</v>
      </c>
      <c r="J27" s="178">
        <f>I27</f>
        <v>410.70000000000027</v>
      </c>
      <c r="K27" s="177"/>
      <c r="L27" s="479" t="s">
        <v>110</v>
      </c>
      <c r="M27" s="398">
        <f>SUM(I27:I29)</f>
        <v>1261.3890000000015</v>
      </c>
      <c r="N27" s="401">
        <f>SUM(CQ27:CQ29,CR29,CS29)/18.4</f>
        <v>11.304347826086957</v>
      </c>
      <c r="O27" s="441">
        <v>23</v>
      </c>
      <c r="P27" s="191">
        <v>3</v>
      </c>
      <c r="Q27" s="219">
        <v>620.15700000000038</v>
      </c>
      <c r="R27" s="176">
        <v>53.9</v>
      </c>
      <c r="S27" s="175">
        <v>2</v>
      </c>
      <c r="T27" s="174">
        <f t="shared" si="33"/>
        <v>6</v>
      </c>
      <c r="U27" s="220">
        <v>2267.0640000000017</v>
      </c>
      <c r="V27" s="173">
        <v>190</v>
      </c>
      <c r="W27" s="175">
        <v>2</v>
      </c>
      <c r="X27" s="174">
        <f t="shared" si="34"/>
        <v>6</v>
      </c>
      <c r="Y27" s="220">
        <v>550.33800000000042</v>
      </c>
      <c r="Z27" s="173">
        <v>42</v>
      </c>
      <c r="AA27" s="175">
        <v>2</v>
      </c>
      <c r="AB27" s="172">
        <f t="shared" si="96"/>
        <v>8</v>
      </c>
      <c r="AC27" s="220">
        <v>328.56000000000023</v>
      </c>
      <c r="AD27" s="173">
        <v>40</v>
      </c>
      <c r="AE27" s="175">
        <v>2</v>
      </c>
      <c r="AF27" s="174">
        <f t="shared" si="97"/>
        <v>4.5</v>
      </c>
      <c r="AG27" s="220">
        <v>147.85200000000012</v>
      </c>
      <c r="AH27" s="173">
        <v>130</v>
      </c>
      <c r="AI27" s="175">
        <v>1</v>
      </c>
      <c r="AJ27" s="172">
        <f t="shared" si="98"/>
        <v>3</v>
      </c>
      <c r="AK27" s="191">
        <f t="shared" si="99"/>
        <v>2</v>
      </c>
      <c r="AL27" s="220">
        <v>468.19800000000038</v>
      </c>
      <c r="AM27" s="173">
        <v>225</v>
      </c>
      <c r="AN27" s="175">
        <v>1</v>
      </c>
      <c r="AO27" s="174">
        <f t="shared" si="100"/>
        <v>2.5</v>
      </c>
      <c r="AP27" s="171">
        <f t="shared" si="101"/>
        <v>35</v>
      </c>
      <c r="AQ27" s="220">
        <v>164.28000000000011</v>
      </c>
      <c r="AR27" s="170">
        <v>40</v>
      </c>
      <c r="AS27" s="175">
        <v>1</v>
      </c>
      <c r="AT27" s="174">
        <f t="shared" si="41"/>
        <v>4.5</v>
      </c>
      <c r="AU27" s="220">
        <v>180.70800000000014</v>
      </c>
      <c r="AV27" s="173">
        <v>130</v>
      </c>
      <c r="AW27" s="175">
        <v>1</v>
      </c>
      <c r="AX27" s="172">
        <f t="shared" si="42"/>
        <v>3</v>
      </c>
      <c r="AY27" s="191">
        <f t="shared" si="102"/>
        <v>5</v>
      </c>
      <c r="AZ27" s="220">
        <v>1642.8000000000011</v>
      </c>
      <c r="BA27" s="169">
        <f t="shared" si="6"/>
        <v>220</v>
      </c>
      <c r="BB27" s="175">
        <v>1</v>
      </c>
      <c r="BC27" s="174">
        <f t="shared" si="44"/>
        <v>7.5</v>
      </c>
      <c r="BD27" s="220">
        <v>619.33560000000045</v>
      </c>
      <c r="BE27" s="170">
        <v>35</v>
      </c>
      <c r="BF27" s="175">
        <v>2</v>
      </c>
      <c r="BG27" s="172">
        <f t="shared" si="103"/>
        <v>2</v>
      </c>
      <c r="BH27" s="220">
        <v>105.13920000000007</v>
      </c>
      <c r="BI27" s="168">
        <v>3.4</v>
      </c>
      <c r="BJ27" s="175">
        <v>2</v>
      </c>
      <c r="BK27" s="174">
        <f t="shared" si="46"/>
        <v>15.5</v>
      </c>
      <c r="BL27" s="220">
        <v>563.48040000000037</v>
      </c>
      <c r="BM27" s="173">
        <v>125</v>
      </c>
      <c r="BN27" s="175">
        <v>1</v>
      </c>
      <c r="BO27" s="172">
        <f t="shared" si="104"/>
        <v>6</v>
      </c>
      <c r="BP27" s="191">
        <f t="shared" si="48"/>
        <v>7</v>
      </c>
      <c r="BQ27" s="167">
        <f t="shared" si="105"/>
        <v>51</v>
      </c>
      <c r="BR27" s="220">
        <v>202.88580000000013</v>
      </c>
      <c r="BS27" s="173">
        <v>165</v>
      </c>
      <c r="BT27" s="175">
        <v>1</v>
      </c>
      <c r="BU27" s="174">
        <f t="shared" si="106"/>
        <v>1.5</v>
      </c>
      <c r="BV27" s="220">
        <v>275.16900000000021</v>
      </c>
      <c r="BW27" s="173">
        <v>150</v>
      </c>
      <c r="BX27" s="175">
        <v>2</v>
      </c>
      <c r="BY27" s="174">
        <f t="shared" si="107"/>
        <v>1</v>
      </c>
      <c r="BZ27" s="220">
        <v>1675.6560000000011</v>
      </c>
      <c r="CA27" s="170">
        <v>320</v>
      </c>
      <c r="CB27" s="175">
        <v>2</v>
      </c>
      <c r="CC27" s="174">
        <f t="shared" si="108"/>
        <v>3</v>
      </c>
      <c r="CD27" s="220">
        <v>5026.9680000000035</v>
      </c>
      <c r="CE27" s="170">
        <v>8000</v>
      </c>
      <c r="CF27" s="175">
        <v>1</v>
      </c>
      <c r="CG27" s="174">
        <f t="shared" si="109"/>
        <v>1</v>
      </c>
      <c r="CH27" s="220">
        <v>3351.3120000000022</v>
      </c>
      <c r="CI27" s="170">
        <v>300</v>
      </c>
      <c r="CJ27" s="175">
        <v>2</v>
      </c>
      <c r="CK27" s="174">
        <f t="shared" si="110"/>
        <v>6</v>
      </c>
      <c r="CL27" s="166">
        <f t="shared" si="55"/>
        <v>410.70000000000027</v>
      </c>
      <c r="CM27" s="165">
        <v>50</v>
      </c>
      <c r="CN27" s="175">
        <v>1</v>
      </c>
      <c r="CO27" s="174">
        <f t="shared" si="111"/>
        <v>8.5</v>
      </c>
      <c r="CP27" s="164">
        <f t="shared" si="112"/>
        <v>21</v>
      </c>
      <c r="CQ27" s="163">
        <f t="shared" si="58"/>
        <v>35</v>
      </c>
      <c r="CR27" s="163">
        <f t="shared" si="59"/>
        <v>51</v>
      </c>
      <c r="CS27" s="163">
        <f t="shared" si="113"/>
        <v>21</v>
      </c>
      <c r="CT27" s="163">
        <f t="shared" si="114"/>
        <v>107</v>
      </c>
      <c r="CY27" s="40"/>
      <c r="DF27" s="40"/>
    </row>
    <row r="28" spans="1:110" s="6" customFormat="1" ht="17.25" customHeight="1">
      <c r="A28" s="225" t="s">
        <v>120</v>
      </c>
      <c r="B28" s="239">
        <v>17</v>
      </c>
      <c r="C28" s="99" t="s">
        <v>106</v>
      </c>
      <c r="D28" s="99" t="s">
        <v>107</v>
      </c>
      <c r="E28" s="99" t="s">
        <v>18</v>
      </c>
      <c r="F28" s="93"/>
      <c r="G28" s="213">
        <v>4423.1189999999997</v>
      </c>
      <c r="H28" s="213">
        <v>4584.7160000000003</v>
      </c>
      <c r="I28" s="65">
        <f t="shared" si="95"/>
        <v>161.59700000000066</v>
      </c>
      <c r="J28" s="65">
        <f>J27+I28</f>
        <v>572.29700000000093</v>
      </c>
      <c r="K28" s="88"/>
      <c r="L28" s="399"/>
      <c r="M28" s="399"/>
      <c r="N28" s="402"/>
      <c r="O28" s="442"/>
      <c r="P28" s="19">
        <v>3</v>
      </c>
      <c r="Q28" s="216">
        <v>246.79355000000135</v>
      </c>
      <c r="R28" s="8">
        <v>53.9</v>
      </c>
      <c r="S28" s="9">
        <v>2</v>
      </c>
      <c r="T28" s="10">
        <f t="shared" si="33"/>
        <v>2.5</v>
      </c>
      <c r="U28" s="216">
        <v>899.1638400000046</v>
      </c>
      <c r="V28" s="11">
        <v>190</v>
      </c>
      <c r="W28" s="9">
        <v>2</v>
      </c>
      <c r="X28" s="10">
        <f t="shared" si="34"/>
        <v>2.5</v>
      </c>
      <c r="Y28" s="216">
        <v>216.5399800000009</v>
      </c>
      <c r="Z28" s="11">
        <v>42</v>
      </c>
      <c r="AA28" s="9">
        <v>2</v>
      </c>
      <c r="AB28" s="12">
        <f t="shared" si="96"/>
        <v>4</v>
      </c>
      <c r="AC28" s="216">
        <v>129.27760000000055</v>
      </c>
      <c r="AD28" s="11">
        <v>40</v>
      </c>
      <c r="AE28" s="9">
        <v>2</v>
      </c>
      <c r="AF28" s="10">
        <f t="shared" si="97"/>
        <v>2</v>
      </c>
      <c r="AG28" s="216">
        <v>58.174920000000242</v>
      </c>
      <c r="AH28" s="11">
        <v>130</v>
      </c>
      <c r="AI28" s="9">
        <v>1</v>
      </c>
      <c r="AJ28" s="12">
        <f t="shared" si="98"/>
        <v>2</v>
      </c>
      <c r="AK28" s="19">
        <f t="shared" si="99"/>
        <v>2</v>
      </c>
      <c r="AL28" s="216">
        <v>187.15722000000116</v>
      </c>
      <c r="AM28" s="11">
        <v>225</v>
      </c>
      <c r="AN28" s="9">
        <v>1</v>
      </c>
      <c r="AO28" s="10">
        <f t="shared" si="100"/>
        <v>1</v>
      </c>
      <c r="AP28" s="18">
        <f t="shared" si="101"/>
        <v>19</v>
      </c>
      <c r="AQ28" s="216">
        <v>64.638800000000273</v>
      </c>
      <c r="AR28" s="13">
        <v>40</v>
      </c>
      <c r="AS28" s="9">
        <v>1</v>
      </c>
      <c r="AT28" s="10">
        <f t="shared" si="41"/>
        <v>2</v>
      </c>
      <c r="AU28" s="216">
        <v>71.102680000000291</v>
      </c>
      <c r="AV28" s="11">
        <v>130</v>
      </c>
      <c r="AW28" s="9">
        <v>1</v>
      </c>
      <c r="AX28" s="12">
        <f t="shared" si="42"/>
        <v>2</v>
      </c>
      <c r="AY28" s="19">
        <f t="shared" si="102"/>
        <v>5</v>
      </c>
      <c r="AZ28" s="216">
        <v>646.38800000000265</v>
      </c>
      <c r="BA28" s="25">
        <f t="shared" si="6"/>
        <v>220</v>
      </c>
      <c r="BB28" s="9">
        <v>1</v>
      </c>
      <c r="BC28" s="10">
        <f t="shared" si="44"/>
        <v>3</v>
      </c>
      <c r="BD28" s="216">
        <v>243.688276000001</v>
      </c>
      <c r="BE28" s="13">
        <v>35</v>
      </c>
      <c r="BF28" s="9">
        <v>2</v>
      </c>
      <c r="BG28" s="12">
        <f t="shared" si="103"/>
        <v>2</v>
      </c>
      <c r="BH28" s="216">
        <v>41.368832000000168</v>
      </c>
      <c r="BI28" s="14">
        <v>3.4</v>
      </c>
      <c r="BJ28" s="9">
        <v>2</v>
      </c>
      <c r="BK28" s="10">
        <f t="shared" si="46"/>
        <v>6.5</v>
      </c>
      <c r="BL28" s="216">
        <v>221.71108400000091</v>
      </c>
      <c r="BM28" s="11">
        <v>125</v>
      </c>
      <c r="BN28" s="9">
        <v>1</v>
      </c>
      <c r="BO28" s="12">
        <f t="shared" si="104"/>
        <v>3</v>
      </c>
      <c r="BP28" s="19">
        <f t="shared" si="48"/>
        <v>7</v>
      </c>
      <c r="BQ28" s="21">
        <f t="shared" si="105"/>
        <v>31</v>
      </c>
      <c r="BR28" s="216">
        <v>81.548398000000546</v>
      </c>
      <c r="BS28" s="11">
        <v>165</v>
      </c>
      <c r="BT28" s="9">
        <v>1</v>
      </c>
      <c r="BU28" s="10">
        <f t="shared" si="106"/>
        <v>0.5</v>
      </c>
      <c r="BV28" s="216">
        <v>110.76613400000076</v>
      </c>
      <c r="BW28" s="11">
        <v>150</v>
      </c>
      <c r="BX28" s="9">
        <v>2</v>
      </c>
      <c r="BY28" s="10">
        <f t="shared" si="107"/>
        <v>0.5</v>
      </c>
      <c r="BZ28" s="216">
        <v>673.99896000000456</v>
      </c>
      <c r="CA28" s="13">
        <v>320</v>
      </c>
      <c r="CB28" s="9">
        <v>2</v>
      </c>
      <c r="CC28" s="10">
        <f t="shared" si="108"/>
        <v>1.5</v>
      </c>
      <c r="CD28" s="216">
        <v>2021.9968800000136</v>
      </c>
      <c r="CE28" s="13">
        <v>8000</v>
      </c>
      <c r="CF28" s="9">
        <v>1</v>
      </c>
      <c r="CG28" s="10">
        <f t="shared" si="109"/>
        <v>0.5</v>
      </c>
      <c r="CH28" s="216">
        <v>1347.9979200000091</v>
      </c>
      <c r="CI28" s="13">
        <v>300</v>
      </c>
      <c r="CJ28" s="9">
        <v>2</v>
      </c>
      <c r="CK28" s="10">
        <f t="shared" si="110"/>
        <v>2.5</v>
      </c>
      <c r="CL28" s="38">
        <f t="shared" si="55"/>
        <v>161.59700000000066</v>
      </c>
      <c r="CM28" s="15">
        <v>50</v>
      </c>
      <c r="CN28" s="9">
        <v>1</v>
      </c>
      <c r="CO28" s="10">
        <f t="shared" si="111"/>
        <v>3.5</v>
      </c>
      <c r="CP28" s="20">
        <f t="shared" si="112"/>
        <v>9</v>
      </c>
      <c r="CQ28" s="5">
        <f t="shared" si="58"/>
        <v>19</v>
      </c>
      <c r="CR28" s="5">
        <f t="shared" si="59"/>
        <v>31</v>
      </c>
      <c r="CS28" s="5">
        <f t="shared" si="113"/>
        <v>9</v>
      </c>
      <c r="CT28" s="5">
        <f t="shared" si="114"/>
        <v>59</v>
      </c>
      <c r="CY28" s="40"/>
      <c r="DF28" s="40"/>
    </row>
    <row r="29" spans="1:110" s="6" customFormat="1" ht="17.25" customHeight="1" thickBot="1">
      <c r="A29" s="226" t="s">
        <v>210</v>
      </c>
      <c r="B29" s="222">
        <v>18</v>
      </c>
      <c r="C29" s="359" t="s">
        <v>108</v>
      </c>
      <c r="D29" s="377" t="s">
        <v>206</v>
      </c>
      <c r="E29" s="45" t="s">
        <v>18</v>
      </c>
      <c r="F29" s="193">
        <v>255</v>
      </c>
      <c r="G29" s="234">
        <v>4636.0469999999996</v>
      </c>
      <c r="H29" s="234">
        <v>5325.1390000000001</v>
      </c>
      <c r="I29" s="195">
        <f t="shared" si="95"/>
        <v>689.09200000000055</v>
      </c>
      <c r="J29" s="195">
        <f>J28+I29</f>
        <v>1261.3890000000015</v>
      </c>
      <c r="K29" s="132" t="s">
        <v>109</v>
      </c>
      <c r="L29" s="400"/>
      <c r="M29" s="400"/>
      <c r="N29" s="403"/>
      <c r="O29" s="443"/>
      <c r="P29" s="77">
        <v>3</v>
      </c>
      <c r="Q29" s="236">
        <v>1111.2271600000008</v>
      </c>
      <c r="R29" s="44">
        <v>53.9</v>
      </c>
      <c r="S29" s="43">
        <v>2</v>
      </c>
      <c r="T29" s="42">
        <f t="shared" si="33"/>
        <v>10.5</v>
      </c>
      <c r="U29" s="236">
        <v>4039.4430400000028</v>
      </c>
      <c r="V29" s="41">
        <v>190</v>
      </c>
      <c r="W29" s="43">
        <v>2</v>
      </c>
      <c r="X29" s="42">
        <f t="shared" si="34"/>
        <v>11</v>
      </c>
      <c r="Y29" s="236">
        <v>923.3832800000007</v>
      </c>
      <c r="Z29" s="41">
        <v>42</v>
      </c>
      <c r="AA29" s="43">
        <v>2</v>
      </c>
      <c r="AB29" s="75">
        <f t="shared" si="96"/>
        <v>12</v>
      </c>
      <c r="AC29" s="236">
        <v>551.27360000000044</v>
      </c>
      <c r="AD29" s="41">
        <v>40</v>
      </c>
      <c r="AE29" s="43">
        <v>2</v>
      </c>
      <c r="AF29" s="42">
        <f t="shared" si="97"/>
        <v>7</v>
      </c>
      <c r="AG29" s="236">
        <v>248.07312000000024</v>
      </c>
      <c r="AH29" s="41">
        <v>130</v>
      </c>
      <c r="AI29" s="43">
        <v>1</v>
      </c>
      <c r="AJ29" s="75">
        <f t="shared" si="98"/>
        <v>3</v>
      </c>
      <c r="AK29" s="77">
        <f t="shared" si="99"/>
        <v>2</v>
      </c>
      <c r="AL29" s="236">
        <v>824.99080000000072</v>
      </c>
      <c r="AM29" s="41">
        <v>225</v>
      </c>
      <c r="AN29" s="43">
        <v>1</v>
      </c>
      <c r="AO29" s="42">
        <f t="shared" si="100"/>
        <v>4</v>
      </c>
      <c r="AP29" s="74">
        <f t="shared" si="101"/>
        <v>53</v>
      </c>
      <c r="AQ29" s="236">
        <v>275.63680000000022</v>
      </c>
      <c r="AR29" s="73">
        <v>40</v>
      </c>
      <c r="AS29" s="43">
        <v>1</v>
      </c>
      <c r="AT29" s="42">
        <f t="shared" si="41"/>
        <v>7</v>
      </c>
      <c r="AU29" s="236">
        <v>303.20048000000025</v>
      </c>
      <c r="AV29" s="41">
        <v>130</v>
      </c>
      <c r="AW29" s="43">
        <v>1</v>
      </c>
      <c r="AX29" s="75">
        <f t="shared" si="42"/>
        <v>4</v>
      </c>
      <c r="AY29" s="77">
        <f t="shared" si="102"/>
        <v>5</v>
      </c>
      <c r="AZ29" s="236">
        <v>2756.3680000000022</v>
      </c>
      <c r="BA29" s="76">
        <f t="shared" si="6"/>
        <v>220</v>
      </c>
      <c r="BB29" s="43">
        <v>1</v>
      </c>
      <c r="BC29" s="42">
        <f t="shared" si="44"/>
        <v>13</v>
      </c>
      <c r="BD29" s="236">
        <v>1039.150736000001</v>
      </c>
      <c r="BE29" s="73">
        <v>35</v>
      </c>
      <c r="BF29" s="43">
        <v>2</v>
      </c>
      <c r="BG29" s="75">
        <f t="shared" si="103"/>
        <v>2</v>
      </c>
      <c r="BH29" s="236">
        <v>176.40755200000012</v>
      </c>
      <c r="BI29" s="72">
        <v>3.4</v>
      </c>
      <c r="BJ29" s="43">
        <v>2</v>
      </c>
      <c r="BK29" s="42">
        <f t="shared" si="46"/>
        <v>26</v>
      </c>
      <c r="BL29" s="236">
        <v>945.43422400000077</v>
      </c>
      <c r="BM29" s="41">
        <v>125</v>
      </c>
      <c r="BN29" s="43">
        <v>1</v>
      </c>
      <c r="BO29" s="75">
        <f t="shared" si="104"/>
        <v>9</v>
      </c>
      <c r="BP29" s="77">
        <f t="shared" si="48"/>
        <v>7</v>
      </c>
      <c r="BQ29" s="71">
        <f t="shared" si="105"/>
        <v>73</v>
      </c>
      <c r="BR29" s="236">
        <v>371.26688800000022</v>
      </c>
      <c r="BS29" s="41">
        <v>165</v>
      </c>
      <c r="BT29" s="43">
        <v>1</v>
      </c>
      <c r="BU29" s="42">
        <f t="shared" si="106"/>
        <v>2.5</v>
      </c>
      <c r="BV29" s="236">
        <v>495.20367200000038</v>
      </c>
      <c r="BW29" s="41">
        <v>150</v>
      </c>
      <c r="BX29" s="43">
        <v>2</v>
      </c>
      <c r="BY29" s="42">
        <f t="shared" si="107"/>
        <v>2</v>
      </c>
      <c r="BZ29" s="236">
        <v>3008.6249600000019</v>
      </c>
      <c r="CA29" s="73">
        <v>320</v>
      </c>
      <c r="CB29" s="43">
        <v>2</v>
      </c>
      <c r="CC29" s="42">
        <f t="shared" si="108"/>
        <v>5</v>
      </c>
      <c r="CD29" s="236">
        <v>9025.8748800000067</v>
      </c>
      <c r="CE29" s="73">
        <v>8000</v>
      </c>
      <c r="CF29" s="43">
        <v>1</v>
      </c>
      <c r="CG29" s="42">
        <f t="shared" si="109"/>
        <v>1.5</v>
      </c>
      <c r="CH29" s="236">
        <v>5907.6706399999975</v>
      </c>
      <c r="CI29" s="73">
        <v>300</v>
      </c>
      <c r="CJ29" s="43">
        <v>2</v>
      </c>
      <c r="CK29" s="42">
        <f t="shared" si="110"/>
        <v>10</v>
      </c>
      <c r="CL29" s="70">
        <f t="shared" si="55"/>
        <v>689.09200000000055</v>
      </c>
      <c r="CM29" s="69">
        <v>50</v>
      </c>
      <c r="CN29" s="358">
        <v>2</v>
      </c>
      <c r="CO29" s="42">
        <f t="shared" si="111"/>
        <v>7</v>
      </c>
      <c r="CP29" s="68">
        <f t="shared" si="112"/>
        <v>28</v>
      </c>
      <c r="CQ29" s="4">
        <f t="shared" si="58"/>
        <v>53</v>
      </c>
      <c r="CR29" s="4">
        <f t="shared" si="59"/>
        <v>73</v>
      </c>
      <c r="CS29" s="4">
        <f t="shared" si="113"/>
        <v>28</v>
      </c>
      <c r="CT29" s="4">
        <f t="shared" si="114"/>
        <v>154</v>
      </c>
      <c r="CV29" s="156"/>
      <c r="CW29" s="157"/>
      <c r="CY29" s="40"/>
      <c r="DF29" s="40"/>
    </row>
    <row r="30" spans="1:110" s="6" customFormat="1" ht="17.25" customHeight="1">
      <c r="A30" s="225" t="s">
        <v>119</v>
      </c>
      <c r="B30" s="231">
        <v>19</v>
      </c>
      <c r="C30" s="180" t="s">
        <v>111</v>
      </c>
      <c r="D30" s="180"/>
      <c r="E30" s="180" t="s">
        <v>18</v>
      </c>
      <c r="F30" s="179">
        <v>255</v>
      </c>
      <c r="G30" s="232">
        <v>5383.2449999999999</v>
      </c>
      <c r="H30" s="232">
        <v>5533.3010000000004</v>
      </c>
      <c r="I30" s="178">
        <f t="shared" si="95"/>
        <v>150.05600000000049</v>
      </c>
      <c r="J30" s="178">
        <f>I30</f>
        <v>150.05600000000049</v>
      </c>
      <c r="K30" s="177" t="s">
        <v>112</v>
      </c>
      <c r="L30" s="479" t="s">
        <v>118</v>
      </c>
      <c r="M30" s="398">
        <f>SUM(I30:I34)</f>
        <v>1033.0700000000006</v>
      </c>
      <c r="N30" s="401">
        <f>SUM(CQ30:CQ34,CR31:CS31)/18.4</f>
        <v>10.597826086956523</v>
      </c>
      <c r="O30" s="441">
        <v>22</v>
      </c>
      <c r="P30" s="191">
        <v>3</v>
      </c>
      <c r="Q30" s="238">
        <v>290.12240000000094</v>
      </c>
      <c r="R30" s="176">
        <v>53.9</v>
      </c>
      <c r="S30" s="175">
        <v>2</v>
      </c>
      <c r="T30" s="174">
        <f t="shared" si="33"/>
        <v>3</v>
      </c>
      <c r="U30" s="238">
        <v>1045.5660700000035</v>
      </c>
      <c r="V30" s="173">
        <v>190</v>
      </c>
      <c r="W30" s="175">
        <v>2</v>
      </c>
      <c r="X30" s="174">
        <f t="shared" si="34"/>
        <v>3</v>
      </c>
      <c r="Y30" s="238">
        <v>201.07504000000068</v>
      </c>
      <c r="Z30" s="173">
        <v>42</v>
      </c>
      <c r="AA30" s="175">
        <v>2</v>
      </c>
      <c r="AB30" s="172">
        <f t="shared" si="96"/>
        <v>3.5</v>
      </c>
      <c r="AC30" s="238">
        <v>120.04480000000041</v>
      </c>
      <c r="AD30" s="173">
        <v>40</v>
      </c>
      <c r="AE30" s="175">
        <v>2</v>
      </c>
      <c r="AF30" s="174">
        <f t="shared" si="97"/>
        <v>2</v>
      </c>
      <c r="AG30" s="238">
        <v>54.020160000000189</v>
      </c>
      <c r="AH30" s="173">
        <v>130</v>
      </c>
      <c r="AI30" s="175">
        <v>1</v>
      </c>
      <c r="AJ30" s="172">
        <f t="shared" si="98"/>
        <v>2</v>
      </c>
      <c r="AK30" s="191">
        <f t="shared" si="99"/>
        <v>2</v>
      </c>
      <c r="AL30" s="238">
        <v>202.93156000000079</v>
      </c>
      <c r="AM30" s="173">
        <v>225</v>
      </c>
      <c r="AN30" s="175">
        <v>1</v>
      </c>
      <c r="AO30" s="174">
        <f t="shared" si="100"/>
        <v>1</v>
      </c>
      <c r="AP30" s="171">
        <f t="shared" si="101"/>
        <v>20</v>
      </c>
      <c r="AQ30" s="238">
        <v>60.022400000000204</v>
      </c>
      <c r="AR30" s="170">
        <v>40</v>
      </c>
      <c r="AS30" s="175">
        <v>1</v>
      </c>
      <c r="AT30" s="174">
        <f t="shared" si="41"/>
        <v>2</v>
      </c>
      <c r="AU30" s="238">
        <v>66.024640000000218</v>
      </c>
      <c r="AV30" s="173">
        <v>130</v>
      </c>
      <c r="AW30" s="175">
        <v>1</v>
      </c>
      <c r="AX30" s="172">
        <f t="shared" si="42"/>
        <v>2</v>
      </c>
      <c r="AY30" s="191">
        <f t="shared" si="102"/>
        <v>5</v>
      </c>
      <c r="AZ30" s="238">
        <v>600.22400000000198</v>
      </c>
      <c r="BA30" s="169">
        <f t="shared" si="6"/>
        <v>220</v>
      </c>
      <c r="BB30" s="175">
        <v>1</v>
      </c>
      <c r="BC30" s="174">
        <f t="shared" si="44"/>
        <v>3</v>
      </c>
      <c r="BD30" s="238">
        <v>226.28444800000076</v>
      </c>
      <c r="BE30" s="170">
        <v>35</v>
      </c>
      <c r="BF30" s="175">
        <v>2</v>
      </c>
      <c r="BG30" s="172">
        <f t="shared" si="103"/>
        <v>2</v>
      </c>
      <c r="BH30" s="238">
        <v>38.414336000000127</v>
      </c>
      <c r="BI30" s="168">
        <v>3.4</v>
      </c>
      <c r="BJ30" s="175">
        <v>2</v>
      </c>
      <c r="BK30" s="174">
        <f t="shared" si="46"/>
        <v>6</v>
      </c>
      <c r="BL30" s="238">
        <v>205.87683200000072</v>
      </c>
      <c r="BM30" s="173">
        <v>125</v>
      </c>
      <c r="BN30" s="175">
        <v>1</v>
      </c>
      <c r="BO30" s="172">
        <f t="shared" si="104"/>
        <v>3</v>
      </c>
      <c r="BP30" s="191">
        <f t="shared" si="48"/>
        <v>7</v>
      </c>
      <c r="BQ30" s="167">
        <f t="shared" si="105"/>
        <v>30</v>
      </c>
      <c r="BR30" s="238">
        <v>100.55757900000037</v>
      </c>
      <c r="BS30" s="173">
        <v>165</v>
      </c>
      <c r="BT30" s="175">
        <v>1</v>
      </c>
      <c r="BU30" s="174">
        <f t="shared" si="106"/>
        <v>1</v>
      </c>
      <c r="BV30" s="238">
        <v>127.62508200000053</v>
      </c>
      <c r="BW30" s="173">
        <v>150</v>
      </c>
      <c r="BX30" s="175">
        <v>2</v>
      </c>
      <c r="BY30" s="174">
        <f t="shared" si="107"/>
        <v>0.5</v>
      </c>
      <c r="BZ30" s="238">
        <v>771.56708000000299</v>
      </c>
      <c r="CA30" s="170">
        <v>320</v>
      </c>
      <c r="CB30" s="175">
        <v>2</v>
      </c>
      <c r="CC30" s="174">
        <f t="shared" si="108"/>
        <v>1.5</v>
      </c>
      <c r="CD30" s="238">
        <v>2314.7012400000094</v>
      </c>
      <c r="CE30" s="170">
        <v>8000</v>
      </c>
      <c r="CF30" s="175">
        <v>1</v>
      </c>
      <c r="CG30" s="174">
        <f t="shared" si="109"/>
        <v>0.5</v>
      </c>
      <c r="CH30" s="238">
        <v>1543.134160000006</v>
      </c>
      <c r="CI30" s="170">
        <v>300</v>
      </c>
      <c r="CJ30" s="175">
        <v>2</v>
      </c>
      <c r="CK30" s="174">
        <f t="shared" si="110"/>
        <v>3</v>
      </c>
      <c r="CL30" s="166">
        <f t="shared" si="55"/>
        <v>150.05600000000049</v>
      </c>
      <c r="CM30" s="165">
        <v>50</v>
      </c>
      <c r="CN30" s="175">
        <v>1</v>
      </c>
      <c r="CO30" s="174">
        <f t="shared" si="111"/>
        <v>3.5</v>
      </c>
      <c r="CP30" s="164">
        <f t="shared" si="112"/>
        <v>10</v>
      </c>
      <c r="CQ30" s="163">
        <f t="shared" si="58"/>
        <v>20</v>
      </c>
      <c r="CR30" s="163">
        <f t="shared" si="59"/>
        <v>30</v>
      </c>
      <c r="CS30" s="163">
        <f t="shared" si="113"/>
        <v>10</v>
      </c>
      <c r="CT30" s="163">
        <f t="shared" si="114"/>
        <v>60</v>
      </c>
      <c r="CY30" s="40"/>
      <c r="DF30" s="40"/>
    </row>
    <row r="31" spans="1:110" s="6" customFormat="1" ht="17.25" customHeight="1">
      <c r="A31" s="225" t="s">
        <v>120</v>
      </c>
      <c r="B31" s="239">
        <v>20</v>
      </c>
      <c r="C31" s="229" t="s">
        <v>113</v>
      </c>
      <c r="D31" s="148"/>
      <c r="E31" s="148" t="s">
        <v>18</v>
      </c>
      <c r="F31" s="93">
        <v>255</v>
      </c>
      <c r="G31" s="233">
        <v>5573.3819999999996</v>
      </c>
      <c r="H31" s="233">
        <v>6045.7460000000001</v>
      </c>
      <c r="I31" s="65">
        <f t="shared" si="95"/>
        <v>472.36400000000049</v>
      </c>
      <c r="J31" s="65">
        <f>J30+I31</f>
        <v>622.42000000000098</v>
      </c>
      <c r="K31" s="181"/>
      <c r="L31" s="399"/>
      <c r="M31" s="399"/>
      <c r="N31" s="402"/>
      <c r="O31" s="442"/>
      <c r="P31" s="19">
        <v>3</v>
      </c>
      <c r="Q31" s="235">
        <v>713.26964000000078</v>
      </c>
      <c r="R31" s="8">
        <v>53.9</v>
      </c>
      <c r="S31" s="9">
        <v>2</v>
      </c>
      <c r="T31" s="10">
        <f t="shared" si="33"/>
        <v>7</v>
      </c>
      <c r="U31" s="237">
        <v>2607.4492800000025</v>
      </c>
      <c r="V31" s="11">
        <v>190</v>
      </c>
      <c r="W31" s="9">
        <v>2</v>
      </c>
      <c r="X31" s="10">
        <f t="shared" si="34"/>
        <v>7</v>
      </c>
      <c r="Y31" s="237">
        <v>632.96776000000068</v>
      </c>
      <c r="Z31" s="11">
        <v>42</v>
      </c>
      <c r="AA31" s="9">
        <v>2</v>
      </c>
      <c r="AB31" s="12">
        <f t="shared" si="96"/>
        <v>9</v>
      </c>
      <c r="AC31" s="237">
        <v>377.89120000000042</v>
      </c>
      <c r="AD31" s="11">
        <v>40</v>
      </c>
      <c r="AE31" s="9">
        <v>2</v>
      </c>
      <c r="AF31" s="10">
        <f t="shared" si="97"/>
        <v>5</v>
      </c>
      <c r="AG31" s="237">
        <v>170.0510400000002</v>
      </c>
      <c r="AH31" s="11">
        <v>130</v>
      </c>
      <c r="AI31" s="9">
        <v>1</v>
      </c>
      <c r="AJ31" s="12">
        <f t="shared" si="98"/>
        <v>3</v>
      </c>
      <c r="AK31" s="19">
        <f t="shared" si="99"/>
        <v>2</v>
      </c>
      <c r="AL31" s="237">
        <v>538.49496000000056</v>
      </c>
      <c r="AM31" s="11">
        <v>225</v>
      </c>
      <c r="AN31" s="9">
        <v>1</v>
      </c>
      <c r="AO31" s="10">
        <f t="shared" si="100"/>
        <v>2.5</v>
      </c>
      <c r="AP31" s="18">
        <f t="shared" si="101"/>
        <v>39</v>
      </c>
      <c r="AQ31" s="237">
        <v>188.94560000000021</v>
      </c>
      <c r="AR31" s="13">
        <v>40</v>
      </c>
      <c r="AS31" s="9">
        <v>1</v>
      </c>
      <c r="AT31" s="10">
        <f t="shared" si="41"/>
        <v>5</v>
      </c>
      <c r="AU31" s="237">
        <v>207.84016000000025</v>
      </c>
      <c r="AV31" s="11">
        <v>130</v>
      </c>
      <c r="AW31" s="9">
        <v>1</v>
      </c>
      <c r="AX31" s="12">
        <f t="shared" si="42"/>
        <v>3</v>
      </c>
      <c r="AY31" s="19">
        <f t="shared" si="102"/>
        <v>5</v>
      </c>
      <c r="AZ31" s="237">
        <v>1889.4560000000019</v>
      </c>
      <c r="BA31" s="25">
        <f t="shared" si="6"/>
        <v>220</v>
      </c>
      <c r="BB31" s="9">
        <v>1</v>
      </c>
      <c r="BC31" s="10">
        <f t="shared" si="44"/>
        <v>9</v>
      </c>
      <c r="BD31" s="237">
        <v>712.32491200000072</v>
      </c>
      <c r="BE31" s="13">
        <v>35</v>
      </c>
      <c r="BF31" s="9">
        <v>2</v>
      </c>
      <c r="BG31" s="12">
        <f t="shared" si="103"/>
        <v>2</v>
      </c>
      <c r="BH31" s="237">
        <v>120.92518400000013</v>
      </c>
      <c r="BI31" s="14">
        <v>3.4</v>
      </c>
      <c r="BJ31" s="9">
        <v>2</v>
      </c>
      <c r="BK31" s="10">
        <f t="shared" si="46"/>
        <v>18</v>
      </c>
      <c r="BL31" s="237">
        <v>648.08340800000076</v>
      </c>
      <c r="BM31" s="11">
        <v>125</v>
      </c>
      <c r="BN31" s="9">
        <v>1</v>
      </c>
      <c r="BO31" s="12">
        <f t="shared" si="104"/>
        <v>7</v>
      </c>
      <c r="BP31" s="19">
        <f t="shared" si="48"/>
        <v>7</v>
      </c>
      <c r="BQ31" s="21">
        <f t="shared" si="105"/>
        <v>56</v>
      </c>
      <c r="BR31" s="237">
        <v>233.34781600000025</v>
      </c>
      <c r="BS31" s="11">
        <v>165</v>
      </c>
      <c r="BT31" s="9">
        <v>1</v>
      </c>
      <c r="BU31" s="10">
        <f t="shared" si="106"/>
        <v>1.5</v>
      </c>
      <c r="BV31" s="237">
        <v>316.48388000000034</v>
      </c>
      <c r="BW31" s="11">
        <v>150</v>
      </c>
      <c r="BX31" s="9">
        <v>2</v>
      </c>
      <c r="BY31" s="10">
        <f t="shared" si="107"/>
        <v>1.5</v>
      </c>
      <c r="BZ31" s="237">
        <v>1927.2451200000021</v>
      </c>
      <c r="CA31" s="13">
        <v>320</v>
      </c>
      <c r="CB31" s="9">
        <v>2</v>
      </c>
      <c r="CC31" s="10">
        <f t="shared" si="108"/>
        <v>3.5</v>
      </c>
      <c r="CD31" s="237">
        <v>5781.735360000006</v>
      </c>
      <c r="CE31" s="13">
        <v>8000</v>
      </c>
      <c r="CF31" s="9">
        <v>1</v>
      </c>
      <c r="CG31" s="10">
        <f t="shared" si="109"/>
        <v>1</v>
      </c>
      <c r="CH31" s="237">
        <v>3854.4902400000042</v>
      </c>
      <c r="CI31" s="13">
        <v>300</v>
      </c>
      <c r="CJ31" s="9">
        <v>2</v>
      </c>
      <c r="CK31" s="10">
        <f t="shared" si="110"/>
        <v>6.5</v>
      </c>
      <c r="CL31" s="38">
        <f t="shared" si="55"/>
        <v>472.36400000000049</v>
      </c>
      <c r="CM31" s="15">
        <v>50</v>
      </c>
      <c r="CN31" s="9">
        <v>1</v>
      </c>
      <c r="CO31" s="10">
        <f t="shared" si="111"/>
        <v>9.5</v>
      </c>
      <c r="CP31" s="20">
        <f t="shared" si="112"/>
        <v>24</v>
      </c>
      <c r="CQ31" s="5">
        <f t="shared" si="58"/>
        <v>39</v>
      </c>
      <c r="CR31" s="5">
        <f t="shared" si="59"/>
        <v>56</v>
      </c>
      <c r="CS31" s="5">
        <f t="shared" si="113"/>
        <v>24</v>
      </c>
      <c r="CT31" s="5">
        <f t="shared" si="114"/>
        <v>119</v>
      </c>
      <c r="CY31" s="40"/>
      <c r="DF31" s="40"/>
    </row>
    <row r="32" spans="1:110" s="6" customFormat="1" ht="17.25" customHeight="1">
      <c r="A32" s="230" t="s">
        <v>210</v>
      </c>
      <c r="B32" s="239">
        <v>21</v>
      </c>
      <c r="C32" s="229" t="s">
        <v>114</v>
      </c>
      <c r="D32" s="148"/>
      <c r="E32" s="148" t="s">
        <v>18</v>
      </c>
      <c r="F32" s="93">
        <v>255</v>
      </c>
      <c r="G32" s="233">
        <v>6096.51</v>
      </c>
      <c r="H32" s="233">
        <v>6205.6880000000001</v>
      </c>
      <c r="I32" s="65">
        <f t="shared" si="95"/>
        <v>109.17799999999988</v>
      </c>
      <c r="J32" s="65">
        <f>J31+I32</f>
        <v>731.59800000000087</v>
      </c>
      <c r="K32" s="181"/>
      <c r="L32" s="399"/>
      <c r="M32" s="399"/>
      <c r="N32" s="402"/>
      <c r="O32" s="442"/>
      <c r="P32" s="19">
        <v>3</v>
      </c>
      <c r="Q32" s="235">
        <v>164.85877999999983</v>
      </c>
      <c r="R32" s="8">
        <v>53.9</v>
      </c>
      <c r="S32" s="9">
        <v>2</v>
      </c>
      <c r="T32" s="10">
        <f t="shared" ref="T32:T81" si="115">CEILING(Q32/R32/S32,0.5)</f>
        <v>2</v>
      </c>
      <c r="U32" s="237">
        <v>602.6625599999993</v>
      </c>
      <c r="V32" s="11">
        <v>190</v>
      </c>
      <c r="W32" s="9">
        <v>2</v>
      </c>
      <c r="X32" s="10">
        <f t="shared" ref="X32:X81" si="116">CEILING(U32/V32/W32,0.5)</f>
        <v>2</v>
      </c>
      <c r="Y32" s="237">
        <v>146.29851999999985</v>
      </c>
      <c r="Z32" s="11">
        <v>42</v>
      </c>
      <c r="AA32" s="9">
        <v>2</v>
      </c>
      <c r="AB32" s="12">
        <f t="shared" si="96"/>
        <v>3</v>
      </c>
      <c r="AC32" s="237">
        <v>87.342399999999913</v>
      </c>
      <c r="AD32" s="11">
        <v>40</v>
      </c>
      <c r="AE32" s="9">
        <v>2</v>
      </c>
      <c r="AF32" s="10">
        <f t="shared" si="97"/>
        <v>1.5</v>
      </c>
      <c r="AG32" s="237">
        <v>39.304079999999963</v>
      </c>
      <c r="AH32" s="11">
        <v>130</v>
      </c>
      <c r="AI32" s="9">
        <v>1</v>
      </c>
      <c r="AJ32" s="12">
        <f t="shared" si="98"/>
        <v>2</v>
      </c>
      <c r="AK32" s="19">
        <f t="shared" ref="AK32:AK35" si="117">IF(E32="보통",2,IF(E32="조강",1,""))</f>
        <v>2</v>
      </c>
      <c r="AL32" s="237">
        <v>124.46291999999988</v>
      </c>
      <c r="AM32" s="11">
        <v>225</v>
      </c>
      <c r="AN32" s="9">
        <v>1</v>
      </c>
      <c r="AO32" s="10">
        <f t="shared" si="100"/>
        <v>1</v>
      </c>
      <c r="AP32" s="18">
        <f t="shared" si="101"/>
        <v>17</v>
      </c>
      <c r="AQ32" s="237">
        <v>43.671199999999956</v>
      </c>
      <c r="AR32" s="13">
        <v>40</v>
      </c>
      <c r="AS32" s="9">
        <v>1</v>
      </c>
      <c r="AT32" s="10">
        <f t="shared" ref="AT32:AT81" si="118">CEILING(AQ32/AR32/AS32,0.5)</f>
        <v>1.5</v>
      </c>
      <c r="AU32" s="237">
        <v>48.038319999999956</v>
      </c>
      <c r="AV32" s="11">
        <v>130</v>
      </c>
      <c r="AW32" s="9">
        <v>1</v>
      </c>
      <c r="AX32" s="12">
        <f t="shared" ref="AX32:AX81" si="119">IF(AU32="","",ROUNDUP(AU32/AV32/AW32,0)+1)</f>
        <v>2</v>
      </c>
      <c r="AY32" s="19">
        <f t="shared" ref="AY32:AY35" si="120">IF(E32="보통",5,IF(E32="조강",2,""))</f>
        <v>5</v>
      </c>
      <c r="AZ32" s="237">
        <v>436.71199999999953</v>
      </c>
      <c r="BA32" s="25">
        <f t="shared" si="6"/>
        <v>220</v>
      </c>
      <c r="BB32" s="9">
        <v>1</v>
      </c>
      <c r="BC32" s="10">
        <f t="shared" ref="BC32:BC81" si="121">CEILING(AZ32/BA32/BB32,0.5)</f>
        <v>2</v>
      </c>
      <c r="BD32" s="237">
        <v>164.64042399999983</v>
      </c>
      <c r="BE32" s="13">
        <v>35</v>
      </c>
      <c r="BF32" s="9">
        <v>2</v>
      </c>
      <c r="BG32" s="12">
        <f t="shared" si="103"/>
        <v>2</v>
      </c>
      <c r="BH32" s="237">
        <v>27.949567999999971</v>
      </c>
      <c r="BI32" s="14">
        <v>3.4</v>
      </c>
      <c r="BJ32" s="9">
        <v>2</v>
      </c>
      <c r="BK32" s="10">
        <f t="shared" ref="BK32:BK81" si="122">CEILING(BH32/BI32/BJ32,0.5)</f>
        <v>4.5</v>
      </c>
      <c r="BL32" s="237">
        <v>149.79221599999985</v>
      </c>
      <c r="BM32" s="11">
        <v>125</v>
      </c>
      <c r="BN32" s="9">
        <v>1</v>
      </c>
      <c r="BO32" s="12">
        <f t="shared" si="104"/>
        <v>3</v>
      </c>
      <c r="BP32" s="19">
        <f t="shared" ref="BP32:BP81" si="123">IF(E32="보통",7,IF(E32="조강",3,""))</f>
        <v>7</v>
      </c>
      <c r="BQ32" s="21">
        <f t="shared" si="105"/>
        <v>27</v>
      </c>
      <c r="BR32" s="237">
        <v>53.933931999999942</v>
      </c>
      <c r="BS32" s="11">
        <v>165</v>
      </c>
      <c r="BT32" s="9">
        <v>1</v>
      </c>
      <c r="BU32" s="10">
        <f t="shared" si="106"/>
        <v>0.5</v>
      </c>
      <c r="BV32" s="237">
        <v>73.149259999999927</v>
      </c>
      <c r="BW32" s="11">
        <v>150</v>
      </c>
      <c r="BX32" s="9">
        <v>2</v>
      </c>
      <c r="BY32" s="10">
        <f t="shared" si="107"/>
        <v>0.5</v>
      </c>
      <c r="BZ32" s="237">
        <v>445.44623999999953</v>
      </c>
      <c r="CA32" s="13">
        <v>320</v>
      </c>
      <c r="CB32" s="9">
        <v>2</v>
      </c>
      <c r="CC32" s="10">
        <f t="shared" si="108"/>
        <v>1</v>
      </c>
      <c r="CD32" s="237">
        <v>1336.3387199999986</v>
      </c>
      <c r="CE32" s="13">
        <v>8000</v>
      </c>
      <c r="CF32" s="9">
        <v>1</v>
      </c>
      <c r="CG32" s="10">
        <f t="shared" si="109"/>
        <v>0.5</v>
      </c>
      <c r="CH32" s="237">
        <v>890.89247999999907</v>
      </c>
      <c r="CI32" s="13">
        <v>300</v>
      </c>
      <c r="CJ32" s="9">
        <v>2</v>
      </c>
      <c r="CK32" s="10">
        <f t="shared" si="110"/>
        <v>1.5</v>
      </c>
      <c r="CL32" s="38">
        <f t="shared" ref="CL32:CL81" si="124">I32</f>
        <v>109.17799999999988</v>
      </c>
      <c r="CM32" s="15">
        <v>50</v>
      </c>
      <c r="CN32" s="9">
        <v>1</v>
      </c>
      <c r="CO32" s="10">
        <f t="shared" si="111"/>
        <v>2.5</v>
      </c>
      <c r="CP32" s="20">
        <f t="shared" si="112"/>
        <v>7</v>
      </c>
      <c r="CQ32" s="5">
        <f t="shared" ref="CQ32:CQ81" si="125">AP32</f>
        <v>17</v>
      </c>
      <c r="CR32" s="5">
        <f t="shared" ref="CR32:CR81" si="126">BQ32</f>
        <v>27</v>
      </c>
      <c r="CS32" s="5">
        <f t="shared" si="113"/>
        <v>7</v>
      </c>
      <c r="CT32" s="5">
        <f t="shared" si="114"/>
        <v>51</v>
      </c>
      <c r="CV32" s="156"/>
      <c r="CW32" s="157"/>
      <c r="CY32" s="40"/>
      <c r="DF32" s="40"/>
    </row>
    <row r="33" spans="1:110" s="6" customFormat="1" ht="17.25" customHeight="1">
      <c r="A33" s="230" t="s">
        <v>211</v>
      </c>
      <c r="B33" s="239">
        <v>22</v>
      </c>
      <c r="C33" s="148" t="s">
        <v>115</v>
      </c>
      <c r="D33" s="148"/>
      <c r="E33" s="148" t="s">
        <v>18</v>
      </c>
      <c r="F33" s="93">
        <v>255</v>
      </c>
      <c r="G33" s="233">
        <v>6227.5569999999998</v>
      </c>
      <c r="H33" s="233">
        <v>6334.6170000000002</v>
      </c>
      <c r="I33" s="65">
        <f>H33-G33</f>
        <v>107.0600000000004</v>
      </c>
      <c r="J33" s="65">
        <f>J32+I33</f>
        <v>838.65800000000127</v>
      </c>
      <c r="K33" s="181" t="s">
        <v>116</v>
      </c>
      <c r="L33" s="399"/>
      <c r="M33" s="399"/>
      <c r="N33" s="402"/>
      <c r="O33" s="442"/>
      <c r="P33" s="19">
        <v>3</v>
      </c>
      <c r="Q33" s="235">
        <v>224.0572400000008</v>
      </c>
      <c r="R33" s="8">
        <v>53.9</v>
      </c>
      <c r="S33" s="9">
        <v>2</v>
      </c>
      <c r="T33" s="10">
        <f t="shared" si="115"/>
        <v>2.5</v>
      </c>
      <c r="U33" s="235">
        <v>805.29590000000269</v>
      </c>
      <c r="V33" s="11">
        <v>190</v>
      </c>
      <c r="W33" s="9">
        <v>2</v>
      </c>
      <c r="X33" s="10">
        <f t="shared" si="116"/>
        <v>2.5</v>
      </c>
      <c r="Y33" s="235">
        <v>143.46040000000053</v>
      </c>
      <c r="Z33" s="11">
        <v>42</v>
      </c>
      <c r="AA33" s="9">
        <v>2</v>
      </c>
      <c r="AB33" s="12">
        <f>IF(Y33="","",CEILING(Y33/Z33/AA33,0.5)+1)</f>
        <v>3</v>
      </c>
      <c r="AC33" s="235">
        <v>85.648000000000323</v>
      </c>
      <c r="AD33" s="11">
        <v>40</v>
      </c>
      <c r="AE33" s="9">
        <v>2</v>
      </c>
      <c r="AF33" s="10">
        <f>CEILING(AC33/AD33/AE33,0.5)</f>
        <v>1.5</v>
      </c>
      <c r="AG33" s="235">
        <v>38.541600000000145</v>
      </c>
      <c r="AH33" s="11">
        <v>130</v>
      </c>
      <c r="AI33" s="9">
        <v>1</v>
      </c>
      <c r="AJ33" s="12">
        <f>IF(AG33="","",ROUNDUP(AG33/AH33/AI33,0)+1)</f>
        <v>2</v>
      </c>
      <c r="AK33" s="19">
        <f t="shared" si="117"/>
        <v>2</v>
      </c>
      <c r="AL33" s="235">
        <v>152.71152000000063</v>
      </c>
      <c r="AM33" s="11">
        <v>225</v>
      </c>
      <c r="AN33" s="9">
        <v>1</v>
      </c>
      <c r="AO33" s="10">
        <f>CEILING(AL33/AM33/AN33,0.5)</f>
        <v>1</v>
      </c>
      <c r="AP33" s="18">
        <f>ROUNDUP(SUM(P33,T33,X33,AB33,AF33,AJ33,AK33,AO33),0)</f>
        <v>18</v>
      </c>
      <c r="AQ33" s="235">
        <v>42.824000000000161</v>
      </c>
      <c r="AR33" s="13">
        <v>40</v>
      </c>
      <c r="AS33" s="9">
        <v>1</v>
      </c>
      <c r="AT33" s="10">
        <f t="shared" si="118"/>
        <v>1.5</v>
      </c>
      <c r="AU33" s="235">
        <v>47.106400000000178</v>
      </c>
      <c r="AV33" s="11">
        <v>130</v>
      </c>
      <c r="AW33" s="9">
        <v>1</v>
      </c>
      <c r="AX33" s="12">
        <f t="shared" si="119"/>
        <v>2</v>
      </c>
      <c r="AY33" s="19">
        <f t="shared" si="120"/>
        <v>5</v>
      </c>
      <c r="AZ33" s="235">
        <v>428.2400000000016</v>
      </c>
      <c r="BA33" s="25">
        <f t="shared" si="6"/>
        <v>220</v>
      </c>
      <c r="BB33" s="9">
        <v>1</v>
      </c>
      <c r="BC33" s="10">
        <f t="shared" si="121"/>
        <v>2</v>
      </c>
      <c r="BD33" s="235">
        <v>161.44648000000061</v>
      </c>
      <c r="BE33" s="13">
        <v>35</v>
      </c>
      <c r="BF33" s="9">
        <v>2</v>
      </c>
      <c r="BG33" s="12">
        <f>IF(BD33="","",2)</f>
        <v>2</v>
      </c>
      <c r="BH33" s="235">
        <v>27.407360000000104</v>
      </c>
      <c r="BI33" s="14">
        <v>3.4</v>
      </c>
      <c r="BJ33" s="9">
        <v>2</v>
      </c>
      <c r="BK33" s="10">
        <f t="shared" si="122"/>
        <v>4.5</v>
      </c>
      <c r="BL33" s="235">
        <v>146.88632000000058</v>
      </c>
      <c r="BM33" s="11">
        <v>125</v>
      </c>
      <c r="BN33" s="9">
        <v>1</v>
      </c>
      <c r="BO33" s="12">
        <f>IF(BL33="","",ROUNDUP(BL33/BM33/BN33,0)+1)</f>
        <v>3</v>
      </c>
      <c r="BP33" s="19">
        <f t="shared" si="123"/>
        <v>7</v>
      </c>
      <c r="BQ33" s="21">
        <f>ROUNDUP(SUM(AT33,AX33,AY33,BC33,BG33,BK33,BO33,BP33),0)</f>
        <v>27</v>
      </c>
      <c r="BR33" s="235">
        <v>78.612230000000309</v>
      </c>
      <c r="BS33" s="11">
        <v>165</v>
      </c>
      <c r="BT33" s="9">
        <v>1</v>
      </c>
      <c r="BU33" s="10">
        <f>CEILING(BR33/BS33/BT33,0.5)</f>
        <v>0.5</v>
      </c>
      <c r="BV33" s="235">
        <v>97.793852000000442</v>
      </c>
      <c r="BW33" s="11">
        <v>150</v>
      </c>
      <c r="BX33" s="9">
        <v>2</v>
      </c>
      <c r="BY33" s="10">
        <f>CEILING(BV33/BW33/BX33,0.5)</f>
        <v>0.5</v>
      </c>
      <c r="BZ33" s="235">
        <v>590.12040000000263</v>
      </c>
      <c r="CA33" s="13">
        <v>320</v>
      </c>
      <c r="CB33" s="9">
        <v>2</v>
      </c>
      <c r="CC33" s="10">
        <f>CEILING(BZ33/CA33/CB33,0.5)</f>
        <v>1</v>
      </c>
      <c r="CD33" s="235">
        <v>1770.3612000000078</v>
      </c>
      <c r="CE33" s="13">
        <v>8000</v>
      </c>
      <c r="CF33" s="9">
        <v>1</v>
      </c>
      <c r="CG33" s="10">
        <f>CEILING(CD33/CE33/CF33,0.5)</f>
        <v>0.5</v>
      </c>
      <c r="CH33" s="235">
        <v>1180.2408000000053</v>
      </c>
      <c r="CI33" s="13">
        <v>300</v>
      </c>
      <c r="CJ33" s="9">
        <v>2</v>
      </c>
      <c r="CK33" s="10">
        <f>CEILING(CH33/CI33/CJ33,0.5)</f>
        <v>2</v>
      </c>
      <c r="CL33" s="38">
        <f t="shared" si="124"/>
        <v>107.0600000000004</v>
      </c>
      <c r="CM33" s="15">
        <v>50</v>
      </c>
      <c r="CN33" s="9">
        <v>1</v>
      </c>
      <c r="CO33" s="10">
        <f>CEILING(CL33/CM33/CN33,0.5)</f>
        <v>2.5</v>
      </c>
      <c r="CP33" s="20">
        <f>ROUNDUP(SUM(BU33,BY33,CC33,CG33,CK33,CO33),0)</f>
        <v>7</v>
      </c>
      <c r="CQ33" s="5">
        <f t="shared" si="125"/>
        <v>18</v>
      </c>
      <c r="CR33" s="5">
        <f t="shared" si="126"/>
        <v>27</v>
      </c>
      <c r="CS33" s="5">
        <f>CP33</f>
        <v>7</v>
      </c>
      <c r="CT33" s="5">
        <f>SUM(CQ33:CS33)</f>
        <v>52</v>
      </c>
      <c r="CY33" s="40"/>
      <c r="DF33" s="40"/>
    </row>
    <row r="34" spans="1:110" s="6" customFormat="1" ht="17.25" customHeight="1" thickBot="1">
      <c r="A34" s="230"/>
      <c r="B34" s="222">
        <v>23</v>
      </c>
      <c r="C34" s="246" t="s">
        <v>117</v>
      </c>
      <c r="D34" s="45"/>
      <c r="E34" s="45" t="s">
        <v>18</v>
      </c>
      <c r="F34" s="193">
        <v>255</v>
      </c>
      <c r="G34" s="245">
        <v>6381.56</v>
      </c>
      <c r="H34" s="245">
        <v>6575.9719999999998</v>
      </c>
      <c r="I34" s="195">
        <f>H34-G34</f>
        <v>194.41199999999935</v>
      </c>
      <c r="J34" s="195">
        <f>J33+I34</f>
        <v>1033.0700000000006</v>
      </c>
      <c r="K34" s="132"/>
      <c r="L34" s="400"/>
      <c r="M34" s="400"/>
      <c r="N34" s="403"/>
      <c r="O34" s="443"/>
      <c r="P34" s="77">
        <v>3</v>
      </c>
      <c r="Q34" s="248">
        <v>298.21403999999853</v>
      </c>
      <c r="R34" s="44">
        <v>53.9</v>
      </c>
      <c r="S34" s="43">
        <v>2</v>
      </c>
      <c r="T34" s="42">
        <f t="shared" si="115"/>
        <v>3</v>
      </c>
      <c r="U34" s="248">
        <v>1085.1070899999952</v>
      </c>
      <c r="V34" s="41">
        <v>190</v>
      </c>
      <c r="W34" s="43">
        <v>2</v>
      </c>
      <c r="X34" s="42">
        <f t="shared" si="116"/>
        <v>3</v>
      </c>
      <c r="Y34" s="248">
        <v>260.51207999999912</v>
      </c>
      <c r="Z34" s="41">
        <v>42</v>
      </c>
      <c r="AA34" s="43">
        <v>2</v>
      </c>
      <c r="AB34" s="75">
        <f>IF(Y34="","",CEILING(Y34/Z34/AA34,0.5)+1)</f>
        <v>4.5</v>
      </c>
      <c r="AC34" s="248">
        <v>155.52959999999948</v>
      </c>
      <c r="AD34" s="41">
        <v>40</v>
      </c>
      <c r="AE34" s="43">
        <v>2</v>
      </c>
      <c r="AF34" s="42">
        <f>CEILING(AC34/AD34/AE34,0.5)</f>
        <v>2</v>
      </c>
      <c r="AG34" s="248">
        <v>69.988319999999774</v>
      </c>
      <c r="AH34" s="41">
        <v>130</v>
      </c>
      <c r="AI34" s="43">
        <v>1</v>
      </c>
      <c r="AJ34" s="75">
        <f>IF(AG34="","",ROUNDUP(AG34/AH34/AI34,0)+1)</f>
        <v>2</v>
      </c>
      <c r="AK34" s="77">
        <f t="shared" si="117"/>
        <v>2</v>
      </c>
      <c r="AL34" s="248">
        <v>226.54003999999878</v>
      </c>
      <c r="AM34" s="41">
        <v>225</v>
      </c>
      <c r="AN34" s="43">
        <v>1</v>
      </c>
      <c r="AO34" s="42">
        <f>CEILING(AL34/AM34/AN34,0.5)</f>
        <v>1.5</v>
      </c>
      <c r="AP34" s="74">
        <f>ROUNDUP(SUM(P34,T34,X34,AB34,AF34,AJ34,AK34,AO34),0)</f>
        <v>21</v>
      </c>
      <c r="AQ34" s="248">
        <v>77.764799999999738</v>
      </c>
      <c r="AR34" s="73">
        <v>40</v>
      </c>
      <c r="AS34" s="43">
        <v>1</v>
      </c>
      <c r="AT34" s="42">
        <f t="shared" si="118"/>
        <v>2</v>
      </c>
      <c r="AU34" s="248">
        <v>85.54127999999973</v>
      </c>
      <c r="AV34" s="41">
        <v>130</v>
      </c>
      <c r="AW34" s="43">
        <v>1</v>
      </c>
      <c r="AX34" s="75">
        <f t="shared" si="119"/>
        <v>2</v>
      </c>
      <c r="AY34" s="77">
        <f t="shared" si="120"/>
        <v>5</v>
      </c>
      <c r="AZ34" s="248">
        <v>777.64799999999741</v>
      </c>
      <c r="BA34" s="76">
        <f t="shared" si="6"/>
        <v>220</v>
      </c>
      <c r="BB34" s="43">
        <v>1</v>
      </c>
      <c r="BC34" s="42">
        <f t="shared" si="121"/>
        <v>4</v>
      </c>
      <c r="BD34" s="248">
        <v>293.17329599999903</v>
      </c>
      <c r="BE34" s="73">
        <v>35</v>
      </c>
      <c r="BF34" s="43">
        <v>2</v>
      </c>
      <c r="BG34" s="75">
        <f>IF(BD34="","",2)</f>
        <v>2</v>
      </c>
      <c r="BH34" s="248">
        <v>49.769471999999837</v>
      </c>
      <c r="BI34" s="72">
        <v>3.4</v>
      </c>
      <c r="BJ34" s="43">
        <v>2</v>
      </c>
      <c r="BK34" s="42">
        <f t="shared" si="122"/>
        <v>7.5</v>
      </c>
      <c r="BL34" s="248">
        <v>266.73326399999911</v>
      </c>
      <c r="BM34" s="41">
        <v>125</v>
      </c>
      <c r="BN34" s="43">
        <v>1</v>
      </c>
      <c r="BO34" s="75">
        <f>IF(BL34="","",ROUNDUP(BL34/BM34/BN34,0)+1)</f>
        <v>4</v>
      </c>
      <c r="BP34" s="77">
        <f t="shared" si="123"/>
        <v>7</v>
      </c>
      <c r="BQ34" s="71">
        <f>ROUNDUP(SUM(AT34,AX34,AY34,BC34,BG34,BK34,BO34,BP34),0)</f>
        <v>34</v>
      </c>
      <c r="BR34" s="248">
        <v>98.914672999999382</v>
      </c>
      <c r="BS34" s="41">
        <v>165</v>
      </c>
      <c r="BT34" s="43">
        <v>1</v>
      </c>
      <c r="BU34" s="42">
        <f>CEILING(BR34/BS34/BT34,0.5)</f>
        <v>1</v>
      </c>
      <c r="BV34" s="248">
        <v>134.42984599999915</v>
      </c>
      <c r="BW34" s="41">
        <v>150</v>
      </c>
      <c r="BX34" s="43">
        <v>2</v>
      </c>
      <c r="BY34" s="42">
        <f>CEILING(BV34/BW34/BX34,0.5)</f>
        <v>0.5</v>
      </c>
      <c r="BZ34" s="248">
        <v>817.75275999999474</v>
      </c>
      <c r="CA34" s="73">
        <v>320</v>
      </c>
      <c r="CB34" s="43">
        <v>2</v>
      </c>
      <c r="CC34" s="42">
        <f>CEILING(BZ34/CA34/CB34,0.5)</f>
        <v>1.5</v>
      </c>
      <c r="CD34" s="248">
        <v>2453.2582799999846</v>
      </c>
      <c r="CE34" s="73">
        <v>8000</v>
      </c>
      <c r="CF34" s="43">
        <v>1</v>
      </c>
      <c r="CG34" s="42">
        <f>CEILING(CD34/CE34/CF34,0.5)</f>
        <v>0.5</v>
      </c>
      <c r="CH34" s="248">
        <v>1635.5055199999895</v>
      </c>
      <c r="CI34" s="73">
        <v>300</v>
      </c>
      <c r="CJ34" s="43">
        <v>2</v>
      </c>
      <c r="CK34" s="42">
        <f>CEILING(CH34/CI34/CJ34,0.5)</f>
        <v>3</v>
      </c>
      <c r="CL34" s="70">
        <f t="shared" si="124"/>
        <v>194.41199999999935</v>
      </c>
      <c r="CM34" s="69">
        <v>50</v>
      </c>
      <c r="CN34" s="43">
        <v>1</v>
      </c>
      <c r="CO34" s="42">
        <f>CEILING(CL34/CM34/CN34,0.5)</f>
        <v>4</v>
      </c>
      <c r="CP34" s="68">
        <f>ROUNDUP(SUM(BU34,BY34,CC34,CG34,CK34,CO34),0)</f>
        <v>11</v>
      </c>
      <c r="CQ34" s="4">
        <f t="shared" si="125"/>
        <v>21</v>
      </c>
      <c r="CR34" s="4">
        <f t="shared" si="126"/>
        <v>34</v>
      </c>
      <c r="CS34" s="4">
        <f>CP34</f>
        <v>11</v>
      </c>
      <c r="CT34" s="4">
        <f>SUM(CQ34:CS34)</f>
        <v>66</v>
      </c>
      <c r="CY34" s="40"/>
      <c r="DF34" s="40"/>
    </row>
    <row r="35" spans="1:110" s="6" customFormat="1" ht="17.25" customHeight="1">
      <c r="A35" s="225" t="s">
        <v>119</v>
      </c>
      <c r="B35" s="231">
        <v>24</v>
      </c>
      <c r="C35" s="159" t="s">
        <v>123</v>
      </c>
      <c r="D35" s="180"/>
      <c r="E35" s="180" t="s">
        <v>18</v>
      </c>
      <c r="F35" s="179">
        <v>255</v>
      </c>
      <c r="G35" s="240">
        <v>6620.1459999999997</v>
      </c>
      <c r="H35" s="240">
        <v>6686.1620000000003</v>
      </c>
      <c r="I35" s="178">
        <f>H35-G35</f>
        <v>66.016000000000531</v>
      </c>
      <c r="J35" s="178">
        <f>I35</f>
        <v>66.016000000000531</v>
      </c>
      <c r="K35" s="177"/>
      <c r="L35" s="479" t="s">
        <v>127</v>
      </c>
      <c r="M35" s="398">
        <f>SUM(I35:I39)</f>
        <v>887.20100000000002</v>
      </c>
      <c r="N35" s="401">
        <f>SUM(CQ35:CQ39,CR39:CS39)/18.4</f>
        <v>8.5869565217391308</v>
      </c>
      <c r="O35" s="404">
        <v>24</v>
      </c>
      <c r="P35" s="191">
        <v>3</v>
      </c>
      <c r="Q35" s="250">
        <v>99.684160000000801</v>
      </c>
      <c r="R35" s="176">
        <v>53.9</v>
      </c>
      <c r="S35" s="175">
        <v>2</v>
      </c>
      <c r="T35" s="174">
        <f t="shared" si="115"/>
        <v>1</v>
      </c>
      <c r="U35" s="251">
        <v>364.4083200000029</v>
      </c>
      <c r="V35" s="173">
        <v>190</v>
      </c>
      <c r="W35" s="175">
        <v>2</v>
      </c>
      <c r="X35" s="174">
        <f t="shared" si="116"/>
        <v>1</v>
      </c>
      <c r="Y35" s="251">
        <v>88.461440000000721</v>
      </c>
      <c r="Z35" s="173">
        <v>42</v>
      </c>
      <c r="AA35" s="175">
        <v>2</v>
      </c>
      <c r="AB35" s="172">
        <f>IF(Y35="","",CEILING(Y35/Z35/AA35,0.5)+1)</f>
        <v>2.5</v>
      </c>
      <c r="AC35" s="251">
        <v>52.812800000000429</v>
      </c>
      <c r="AD35" s="173">
        <v>40</v>
      </c>
      <c r="AE35" s="175">
        <v>2</v>
      </c>
      <c r="AF35" s="174">
        <f>CEILING(AC35/AD35/AE35,0.5)</f>
        <v>1</v>
      </c>
      <c r="AG35" s="251">
        <v>23.765760000000196</v>
      </c>
      <c r="AH35" s="173">
        <v>130</v>
      </c>
      <c r="AI35" s="175">
        <v>1</v>
      </c>
      <c r="AJ35" s="172">
        <f>IF(AG35="","",ROUNDUP(AG35/AH35/AI35,0)+1)</f>
        <v>2</v>
      </c>
      <c r="AK35" s="191">
        <f t="shared" si="117"/>
        <v>2</v>
      </c>
      <c r="AL35" s="251">
        <v>75.258240000000612</v>
      </c>
      <c r="AM35" s="173">
        <v>225</v>
      </c>
      <c r="AN35" s="175">
        <v>1</v>
      </c>
      <c r="AO35" s="174">
        <f>CEILING(AL35/AM35/AN35,0.5)</f>
        <v>0.5</v>
      </c>
      <c r="AP35" s="171">
        <f>ROUNDUP(SUM(P35,T35,X35,AB35,AF35,AJ35,AK35,AO35),0)</f>
        <v>13</v>
      </c>
      <c r="AQ35" s="251">
        <v>26.406400000000215</v>
      </c>
      <c r="AR35" s="170">
        <v>40</v>
      </c>
      <c r="AS35" s="175">
        <v>1</v>
      </c>
      <c r="AT35" s="174">
        <f t="shared" si="118"/>
        <v>1</v>
      </c>
      <c r="AU35" s="251">
        <v>29.047040000000237</v>
      </c>
      <c r="AV35" s="173">
        <v>130</v>
      </c>
      <c r="AW35" s="175">
        <v>1</v>
      </c>
      <c r="AX35" s="172">
        <f t="shared" si="119"/>
        <v>2</v>
      </c>
      <c r="AY35" s="191">
        <f t="shared" si="120"/>
        <v>5</v>
      </c>
      <c r="AZ35" s="251">
        <v>264.06400000000212</v>
      </c>
      <c r="BA35" s="169">
        <f t="shared" si="6"/>
        <v>220</v>
      </c>
      <c r="BB35" s="175">
        <v>1</v>
      </c>
      <c r="BC35" s="174">
        <f t="shared" si="121"/>
        <v>1.5</v>
      </c>
      <c r="BD35" s="251">
        <v>99.552128000000806</v>
      </c>
      <c r="BE35" s="170">
        <v>35</v>
      </c>
      <c r="BF35" s="175">
        <v>2</v>
      </c>
      <c r="BG35" s="172">
        <f>IF(BD35="","",2)</f>
        <v>2</v>
      </c>
      <c r="BH35" s="251">
        <v>16.900096000000136</v>
      </c>
      <c r="BI35" s="168">
        <v>3.4</v>
      </c>
      <c r="BJ35" s="175">
        <v>2</v>
      </c>
      <c r="BK35" s="174">
        <f t="shared" si="122"/>
        <v>2.5</v>
      </c>
      <c r="BL35" s="251">
        <v>90.57395200000073</v>
      </c>
      <c r="BM35" s="173">
        <v>125</v>
      </c>
      <c r="BN35" s="175">
        <v>1</v>
      </c>
      <c r="BO35" s="172">
        <f>IF(BL35="","",ROUNDUP(BL35/BM35/BN35,0)+1)</f>
        <v>2</v>
      </c>
      <c r="BP35" s="191">
        <f t="shared" si="123"/>
        <v>7</v>
      </c>
      <c r="BQ35" s="167">
        <f>ROUNDUP(SUM(AT35,AX35,AY35,BC35,BG35,BK35,BO35,BP35),0)</f>
        <v>23</v>
      </c>
      <c r="BR35" s="251">
        <v>32.611904000000266</v>
      </c>
      <c r="BS35" s="173">
        <v>165</v>
      </c>
      <c r="BT35" s="175">
        <v>1</v>
      </c>
      <c r="BU35" s="174">
        <f>CEILING(BR35/BS35/BT35,0.5)</f>
        <v>0.5</v>
      </c>
      <c r="BV35" s="251">
        <v>44.23072000000036</v>
      </c>
      <c r="BW35" s="173">
        <v>150</v>
      </c>
      <c r="BX35" s="175">
        <v>2</v>
      </c>
      <c r="BY35" s="174">
        <f>CEILING(BV35/BW35/BX35,0.5)</f>
        <v>0.5</v>
      </c>
      <c r="BZ35" s="251">
        <v>269.34528000000216</v>
      </c>
      <c r="CA35" s="170">
        <v>320</v>
      </c>
      <c r="CB35" s="175">
        <v>2</v>
      </c>
      <c r="CC35" s="174">
        <f>CEILING(BZ35/CA35/CB35,0.5)</f>
        <v>0.5</v>
      </c>
      <c r="CD35" s="251">
        <v>808.03584000000649</v>
      </c>
      <c r="CE35" s="170">
        <v>8000</v>
      </c>
      <c r="CF35" s="175">
        <v>1</v>
      </c>
      <c r="CG35" s="174">
        <f>CEILING(CD35/CE35/CF35,0.5)</f>
        <v>0.5</v>
      </c>
      <c r="CH35" s="251">
        <v>538.69056000000433</v>
      </c>
      <c r="CI35" s="170">
        <v>300</v>
      </c>
      <c r="CJ35" s="175">
        <v>2</v>
      </c>
      <c r="CK35" s="174">
        <f>CEILING(CH35/CI35/CJ35,0.5)</f>
        <v>1</v>
      </c>
      <c r="CL35" s="166">
        <f t="shared" si="124"/>
        <v>66.016000000000531</v>
      </c>
      <c r="CM35" s="165">
        <v>50</v>
      </c>
      <c r="CN35" s="175">
        <v>1</v>
      </c>
      <c r="CO35" s="174">
        <f>CEILING(CL35/CM35/CN35,0.5)</f>
        <v>1.5</v>
      </c>
      <c r="CP35" s="164">
        <f>ROUNDUP(SUM(BU35,BY35,CC35,CG35,CK35,CO35),0)</f>
        <v>5</v>
      </c>
      <c r="CQ35" s="163">
        <f t="shared" si="125"/>
        <v>13</v>
      </c>
      <c r="CR35" s="163">
        <f t="shared" si="126"/>
        <v>23</v>
      </c>
      <c r="CS35" s="163">
        <f>CP35</f>
        <v>5</v>
      </c>
      <c r="CT35" s="163">
        <f>SUM(CQ35:CS35)</f>
        <v>41</v>
      </c>
      <c r="CY35" s="40"/>
      <c r="DF35" s="40"/>
    </row>
    <row r="36" spans="1:110" s="6" customFormat="1" ht="17.25" customHeight="1">
      <c r="A36" s="225" t="s">
        <v>120</v>
      </c>
      <c r="B36" s="239">
        <v>25</v>
      </c>
      <c r="C36" s="243" t="s">
        <v>121</v>
      </c>
      <c r="D36" s="243"/>
      <c r="E36" s="223" t="s">
        <v>18</v>
      </c>
      <c r="F36" s="224"/>
      <c r="G36" s="244">
        <v>6686.1620000000003</v>
      </c>
      <c r="H36" s="244">
        <v>6821.3320000000003</v>
      </c>
      <c r="I36" s="227">
        <f t="shared" ref="I36" si="127">H36-G36</f>
        <v>135.17000000000007</v>
      </c>
      <c r="J36" s="227">
        <f t="shared" ref="J36" si="128">J35+I36</f>
        <v>201.1860000000006</v>
      </c>
      <c r="K36" s="228" t="s">
        <v>122</v>
      </c>
      <c r="L36" s="399"/>
      <c r="M36" s="399"/>
      <c r="N36" s="402"/>
      <c r="O36" s="405"/>
      <c r="P36" s="19">
        <v>3</v>
      </c>
      <c r="Q36" s="247">
        <v>81.102000000000046</v>
      </c>
      <c r="R36" s="8">
        <v>53.9</v>
      </c>
      <c r="S36" s="9">
        <v>2</v>
      </c>
      <c r="T36" s="10">
        <f t="shared" si="115"/>
        <v>1</v>
      </c>
      <c r="U36" s="122"/>
      <c r="V36" s="11">
        <v>190</v>
      </c>
      <c r="W36" s="9">
        <v>2</v>
      </c>
      <c r="X36" s="10">
        <f t="shared" si="116"/>
        <v>0</v>
      </c>
      <c r="Y36" s="394" t="s">
        <v>49</v>
      </c>
      <c r="Z36" s="394"/>
      <c r="AA36" s="394"/>
      <c r="AB36" s="394"/>
      <c r="AC36" s="94">
        <f>I36*2</f>
        <v>270.34000000000015</v>
      </c>
      <c r="AD36" s="25">
        <v>20</v>
      </c>
      <c r="AE36" s="9">
        <v>2</v>
      </c>
      <c r="AF36" s="10">
        <f t="shared" ref="AF36" si="129">CEILING(AC36/AD36/AE36,0.5)</f>
        <v>7</v>
      </c>
      <c r="AG36" s="122"/>
      <c r="AH36" s="11"/>
      <c r="AI36" s="9"/>
      <c r="AJ36" s="12"/>
      <c r="AK36" s="19"/>
      <c r="AL36" s="122"/>
      <c r="AM36" s="11">
        <v>225</v>
      </c>
      <c r="AN36" s="9">
        <v>1</v>
      </c>
      <c r="AO36" s="10">
        <f t="shared" ref="AO36" si="130">ROUND(AL36/AM36/AN36,0)</f>
        <v>0</v>
      </c>
      <c r="AP36" s="18">
        <f>ROUNDUP(SUM(T36,X36,AF36,AJ36,AK36,AO36,P36),0)</f>
        <v>11</v>
      </c>
      <c r="AQ36" s="122"/>
      <c r="AR36" s="13">
        <v>40</v>
      </c>
      <c r="AS36" s="9">
        <v>1</v>
      </c>
      <c r="AT36" s="10">
        <f t="shared" si="118"/>
        <v>0</v>
      </c>
      <c r="AU36" s="122"/>
      <c r="AV36" s="11">
        <v>130</v>
      </c>
      <c r="AW36" s="9">
        <v>1</v>
      </c>
      <c r="AX36" s="12" t="str">
        <f t="shared" si="119"/>
        <v/>
      </c>
      <c r="AY36" s="19"/>
      <c r="AZ36" s="249">
        <v>540.68000000000029</v>
      </c>
      <c r="BA36" s="25">
        <f t="shared" si="6"/>
        <v>220</v>
      </c>
      <c r="BB36" s="9">
        <v>1</v>
      </c>
      <c r="BC36" s="10">
        <f t="shared" si="121"/>
        <v>2.5</v>
      </c>
      <c r="BD36" s="249">
        <v>203.8363600000001</v>
      </c>
      <c r="BE36" s="13">
        <v>35</v>
      </c>
      <c r="BF36" s="9">
        <v>2</v>
      </c>
      <c r="BG36" s="12">
        <f t="shared" ref="BG36" si="131">IF(BD36="","",2)</f>
        <v>2</v>
      </c>
      <c r="BH36" s="249">
        <v>34.603520000000017</v>
      </c>
      <c r="BI36" s="14">
        <v>3.4</v>
      </c>
      <c r="BJ36" s="9">
        <v>2</v>
      </c>
      <c r="BK36" s="10">
        <f t="shared" si="122"/>
        <v>5.5</v>
      </c>
      <c r="BL36" s="249">
        <v>185.45324000000011</v>
      </c>
      <c r="BM36" s="11">
        <v>125</v>
      </c>
      <c r="BN36" s="9">
        <v>1</v>
      </c>
      <c r="BO36" s="12">
        <f t="shared" ref="BO36" si="132">IF(BL36="","",ROUNDUP(BL36/BM36/BN36,0)+1)</f>
        <v>3</v>
      </c>
      <c r="BP36" s="19">
        <f t="shared" si="123"/>
        <v>7</v>
      </c>
      <c r="BQ36" s="21">
        <f t="shared" ref="BQ36" si="133">ROUNDUP(SUM(AT36,AX36,AY36,BC36,BG36,BK36,BO36,BP36),0)</f>
        <v>20</v>
      </c>
      <c r="BR36" s="122"/>
      <c r="BS36" s="11">
        <v>165</v>
      </c>
      <c r="BT36" s="9">
        <v>1</v>
      </c>
      <c r="BU36" s="10">
        <f t="shared" ref="BU36" si="134">CEILING(BR36/BS36/BT36,0.5)</f>
        <v>0</v>
      </c>
      <c r="BV36" s="249">
        <v>24.736110000000014</v>
      </c>
      <c r="BW36" s="11">
        <v>150</v>
      </c>
      <c r="BX36" s="9">
        <v>2</v>
      </c>
      <c r="BY36" s="10">
        <f t="shared" ref="BY36" si="135">CEILING(BV36/BW36/BX36,0.5)</f>
        <v>0.5</v>
      </c>
      <c r="BZ36" s="249">
        <v>210.86520000000013</v>
      </c>
      <c r="CA36" s="13">
        <v>320</v>
      </c>
      <c r="CB36" s="9">
        <v>2</v>
      </c>
      <c r="CC36" s="10">
        <f t="shared" ref="CC36" si="136">CEILING(BZ36/CA36/CB36,0.5)</f>
        <v>0.5</v>
      </c>
      <c r="CD36" s="249">
        <v>632.59560000000033</v>
      </c>
      <c r="CE36" s="13">
        <v>8000</v>
      </c>
      <c r="CF36" s="9">
        <v>1</v>
      </c>
      <c r="CG36" s="10">
        <f t="shared" ref="CG36" si="137">CEILING(CD36/CE36/CF36,0.5)</f>
        <v>0.5</v>
      </c>
      <c r="CH36" s="249">
        <v>421.73040000000026</v>
      </c>
      <c r="CI36" s="13">
        <v>300</v>
      </c>
      <c r="CJ36" s="9">
        <v>2</v>
      </c>
      <c r="CK36" s="10">
        <f t="shared" ref="CK36" si="138">CEILING(CH36/CI36/CJ36,0.5)</f>
        <v>1</v>
      </c>
      <c r="CL36" s="38">
        <f t="shared" si="124"/>
        <v>135.17000000000007</v>
      </c>
      <c r="CM36" s="15">
        <v>50</v>
      </c>
      <c r="CN36" s="9">
        <v>1</v>
      </c>
      <c r="CO36" s="10">
        <f t="shared" ref="CO36" si="139">CEILING(CL36/CM36/CN36,0.5)</f>
        <v>3</v>
      </c>
      <c r="CP36" s="20">
        <f t="shared" ref="CP36" si="140">ROUNDUP(SUM(BU36,BY36,CC36,CG36,CK36,CO36),0)</f>
        <v>6</v>
      </c>
      <c r="CQ36" s="5">
        <f t="shared" si="125"/>
        <v>11</v>
      </c>
      <c r="CR36" s="5">
        <f t="shared" si="126"/>
        <v>20</v>
      </c>
      <c r="CS36" s="5">
        <f t="shared" ref="CS36" si="141">CP36</f>
        <v>6</v>
      </c>
      <c r="CT36" s="5">
        <f t="shared" ref="CT36" si="142">SUM(CQ36:CS36)</f>
        <v>37</v>
      </c>
      <c r="CY36" s="40"/>
      <c r="DF36" s="40"/>
    </row>
    <row r="37" spans="1:110" s="6" customFormat="1" ht="17.25" customHeight="1">
      <c r="A37" s="230"/>
      <c r="B37" s="239">
        <v>26</v>
      </c>
      <c r="C37" s="242" t="s">
        <v>124</v>
      </c>
      <c r="D37" s="148"/>
      <c r="E37" s="148" t="s">
        <v>18</v>
      </c>
      <c r="F37" s="93">
        <v>255</v>
      </c>
      <c r="G37" s="241">
        <v>6821.3320000000003</v>
      </c>
      <c r="H37" s="241">
        <v>6958.5829999999996</v>
      </c>
      <c r="I37" s="65">
        <f t="shared" ref="I37:I43" si="143">H37-G37</f>
        <v>137.25099999999929</v>
      </c>
      <c r="J37" s="65">
        <f>J36+I37</f>
        <v>338.4369999999999</v>
      </c>
      <c r="K37" s="181"/>
      <c r="L37" s="399"/>
      <c r="M37" s="399"/>
      <c r="N37" s="402"/>
      <c r="O37" s="405"/>
      <c r="P37" s="19">
        <v>3</v>
      </c>
      <c r="Q37" s="247">
        <v>207.24900999999895</v>
      </c>
      <c r="R37" s="8">
        <v>53.9</v>
      </c>
      <c r="S37" s="9">
        <v>2</v>
      </c>
      <c r="T37" s="10">
        <f t="shared" si="115"/>
        <v>2</v>
      </c>
      <c r="U37" s="249">
        <v>757.62551999999619</v>
      </c>
      <c r="V37" s="11">
        <v>190</v>
      </c>
      <c r="W37" s="9">
        <v>2</v>
      </c>
      <c r="X37" s="10">
        <f t="shared" si="116"/>
        <v>2</v>
      </c>
      <c r="Y37" s="249">
        <v>183.91633999999905</v>
      </c>
      <c r="Z37" s="11">
        <v>42</v>
      </c>
      <c r="AA37" s="9">
        <v>2</v>
      </c>
      <c r="AB37" s="12">
        <f t="shared" ref="AB37:AB43" si="144">IF(Y37="","",CEILING(Y37/Z37/AA37,0.5)+1)</f>
        <v>3.5</v>
      </c>
      <c r="AC37" s="249">
        <v>109.80079999999944</v>
      </c>
      <c r="AD37" s="11">
        <v>40</v>
      </c>
      <c r="AE37" s="9">
        <v>2</v>
      </c>
      <c r="AF37" s="10">
        <f t="shared" ref="AF37:AF43" si="145">CEILING(AC37/AD37/AE37,0.5)</f>
        <v>1.5</v>
      </c>
      <c r="AG37" s="249">
        <v>49.410359999999748</v>
      </c>
      <c r="AH37" s="11">
        <v>130</v>
      </c>
      <c r="AI37" s="9">
        <v>1</v>
      </c>
      <c r="AJ37" s="12">
        <f t="shared" ref="AJ37:AJ43" si="146">IF(AG37="","",ROUNDUP(AG37/AH37/AI37,0)+1)</f>
        <v>2</v>
      </c>
      <c r="AK37" s="19">
        <f t="shared" ref="AK37:AK46" si="147">IF(E37="보통",2,IF(E37="조강",1,""))</f>
        <v>2</v>
      </c>
      <c r="AL37" s="249">
        <v>156.4661399999992</v>
      </c>
      <c r="AM37" s="11">
        <v>225</v>
      </c>
      <c r="AN37" s="9">
        <v>1</v>
      </c>
      <c r="AO37" s="10">
        <f t="shared" ref="AO37:AO43" si="148">CEILING(AL37/AM37/AN37,0.5)</f>
        <v>1</v>
      </c>
      <c r="AP37" s="18">
        <f t="shared" ref="AP37:AP43" si="149">ROUNDUP(SUM(P37,T37,X37,AB37,AF37,AJ37,AK37,AO37),0)</f>
        <v>17</v>
      </c>
      <c r="AQ37" s="249">
        <v>54.900399999999721</v>
      </c>
      <c r="AR37" s="13">
        <v>40</v>
      </c>
      <c r="AS37" s="9">
        <v>1</v>
      </c>
      <c r="AT37" s="10">
        <f t="shared" si="118"/>
        <v>1.5</v>
      </c>
      <c r="AU37" s="249">
        <v>60.3904399999997</v>
      </c>
      <c r="AV37" s="11">
        <v>130</v>
      </c>
      <c r="AW37" s="9">
        <v>1</v>
      </c>
      <c r="AX37" s="12">
        <f t="shared" si="119"/>
        <v>2</v>
      </c>
      <c r="AY37" s="19">
        <f t="shared" ref="AY37:AY46" si="150">IF(E37="보통",5,IF(E37="조강",2,""))</f>
        <v>5</v>
      </c>
      <c r="AZ37" s="249">
        <v>549.00399999999718</v>
      </c>
      <c r="BA37" s="25">
        <f t="shared" si="6"/>
        <v>220</v>
      </c>
      <c r="BB37" s="9">
        <v>1</v>
      </c>
      <c r="BC37" s="10">
        <f t="shared" si="121"/>
        <v>2.5</v>
      </c>
      <c r="BD37" s="249">
        <v>206.97450799999893</v>
      </c>
      <c r="BE37" s="13">
        <v>35</v>
      </c>
      <c r="BF37" s="9">
        <v>2</v>
      </c>
      <c r="BG37" s="12">
        <f t="shared" ref="BG37:BG43" si="151">IF(BD37="","",2)</f>
        <v>2</v>
      </c>
      <c r="BH37" s="249">
        <v>35.136255999999818</v>
      </c>
      <c r="BI37" s="14">
        <v>3.4</v>
      </c>
      <c r="BJ37" s="9">
        <v>2</v>
      </c>
      <c r="BK37" s="10">
        <f t="shared" si="122"/>
        <v>5.5</v>
      </c>
      <c r="BL37" s="249">
        <v>188.30837199999905</v>
      </c>
      <c r="BM37" s="11">
        <v>125</v>
      </c>
      <c r="BN37" s="9">
        <v>1</v>
      </c>
      <c r="BO37" s="12">
        <f t="shared" ref="BO37:BO43" si="152">IF(BL37="","",ROUNDUP(BL37/BM37/BN37,0)+1)</f>
        <v>3</v>
      </c>
      <c r="BP37" s="19">
        <f t="shared" si="123"/>
        <v>7</v>
      </c>
      <c r="BQ37" s="21">
        <f t="shared" ref="BQ37:BQ43" si="153">ROUNDUP(SUM(AT37,AX37,AY37,BC37,BG37,BK37,BO37,BP37),0)</f>
        <v>29</v>
      </c>
      <c r="BR37" s="249">
        <v>67.801993999999652</v>
      </c>
      <c r="BS37" s="11">
        <v>165</v>
      </c>
      <c r="BT37" s="9">
        <v>1</v>
      </c>
      <c r="BU37" s="10">
        <f t="shared" ref="BU37:BU43" si="154">CEILING(BR37/BS37/BT37,0.5)</f>
        <v>0.5</v>
      </c>
      <c r="BV37" s="249">
        <v>91.958169999999527</v>
      </c>
      <c r="BW37" s="11">
        <v>150</v>
      </c>
      <c r="BX37" s="9">
        <v>2</v>
      </c>
      <c r="BY37" s="10">
        <f t="shared" ref="BY37:BY43" si="155">CEILING(BV37/BW37/BX37,0.5)</f>
        <v>0.5</v>
      </c>
      <c r="BZ37" s="249">
        <v>559.98407999999711</v>
      </c>
      <c r="CA37" s="13">
        <v>320</v>
      </c>
      <c r="CB37" s="9">
        <v>2</v>
      </c>
      <c r="CC37" s="10">
        <f t="shared" ref="CC37:CC43" si="156">CEILING(BZ37/CA37/CB37,0.5)</f>
        <v>1</v>
      </c>
      <c r="CD37" s="249">
        <v>1679.9522399999914</v>
      </c>
      <c r="CE37" s="13">
        <v>8000</v>
      </c>
      <c r="CF37" s="9">
        <v>1</v>
      </c>
      <c r="CG37" s="10">
        <f t="shared" ref="CG37:CG43" si="157">CEILING(CD37/CE37/CF37,0.5)</f>
        <v>0.5</v>
      </c>
      <c r="CH37" s="249">
        <v>1119.9681599999942</v>
      </c>
      <c r="CI37" s="13">
        <v>300</v>
      </c>
      <c r="CJ37" s="9">
        <v>2</v>
      </c>
      <c r="CK37" s="10">
        <f t="shared" ref="CK37:CK43" si="158">CEILING(CH37/CI37/CJ37,0.5)</f>
        <v>2</v>
      </c>
      <c r="CL37" s="38">
        <f t="shared" si="124"/>
        <v>137.25099999999929</v>
      </c>
      <c r="CM37" s="15">
        <v>50</v>
      </c>
      <c r="CN37" s="9">
        <v>1</v>
      </c>
      <c r="CO37" s="10">
        <f t="shared" ref="CO37:CO43" si="159">CEILING(CL37/CM37/CN37,0.5)</f>
        <v>3</v>
      </c>
      <c r="CP37" s="20">
        <f t="shared" ref="CP37:CP43" si="160">ROUNDUP(SUM(BU37,BY37,CC37,CG37,CK37,CO37),0)</f>
        <v>8</v>
      </c>
      <c r="CQ37" s="5">
        <f t="shared" si="125"/>
        <v>17</v>
      </c>
      <c r="CR37" s="5">
        <f t="shared" si="126"/>
        <v>29</v>
      </c>
      <c r="CS37" s="5">
        <f t="shared" ref="CS37:CS43" si="161">CP37</f>
        <v>8</v>
      </c>
      <c r="CT37" s="5">
        <f t="shared" ref="CT37:CT43" si="162">SUM(CQ37:CS37)</f>
        <v>54</v>
      </c>
      <c r="CY37" s="40"/>
      <c r="DF37" s="40"/>
    </row>
    <row r="38" spans="1:110" s="6" customFormat="1" ht="17.25" customHeight="1">
      <c r="A38" s="230"/>
      <c r="B38" s="239">
        <v>27</v>
      </c>
      <c r="C38" s="242" t="s">
        <v>125</v>
      </c>
      <c r="D38" s="148"/>
      <c r="E38" s="148" t="s">
        <v>18</v>
      </c>
      <c r="F38" s="93">
        <v>255</v>
      </c>
      <c r="G38" s="241">
        <v>6985.8209999999999</v>
      </c>
      <c r="H38" s="241">
        <v>7195.0069999999996</v>
      </c>
      <c r="I38" s="65">
        <f t="shared" si="143"/>
        <v>209.18599999999969</v>
      </c>
      <c r="J38" s="65">
        <f>J37+I38</f>
        <v>547.62299999999959</v>
      </c>
      <c r="K38" s="181"/>
      <c r="L38" s="399"/>
      <c r="M38" s="399"/>
      <c r="N38" s="402"/>
      <c r="O38" s="405"/>
      <c r="P38" s="19">
        <v>3</v>
      </c>
      <c r="Q38" s="247">
        <v>315.87085999999954</v>
      </c>
      <c r="R38" s="8">
        <v>53.9</v>
      </c>
      <c r="S38" s="9">
        <v>2</v>
      </c>
      <c r="T38" s="10">
        <f t="shared" si="115"/>
        <v>3</v>
      </c>
      <c r="U38" s="249">
        <v>1154.7067199999983</v>
      </c>
      <c r="V38" s="11">
        <v>190</v>
      </c>
      <c r="W38" s="9">
        <v>2</v>
      </c>
      <c r="X38" s="10">
        <f t="shared" si="116"/>
        <v>3.5</v>
      </c>
      <c r="Y38" s="249">
        <v>280.30923999999959</v>
      </c>
      <c r="Z38" s="11">
        <v>42</v>
      </c>
      <c r="AA38" s="9">
        <v>2</v>
      </c>
      <c r="AB38" s="12">
        <f t="shared" si="144"/>
        <v>4.5</v>
      </c>
      <c r="AC38" s="249">
        <v>167.34879999999976</v>
      </c>
      <c r="AD38" s="11">
        <v>40</v>
      </c>
      <c r="AE38" s="9">
        <v>2</v>
      </c>
      <c r="AF38" s="10">
        <f t="shared" si="145"/>
        <v>2.5</v>
      </c>
      <c r="AG38" s="249">
        <v>75.306959999999904</v>
      </c>
      <c r="AH38" s="11">
        <v>130</v>
      </c>
      <c r="AI38" s="9">
        <v>1</v>
      </c>
      <c r="AJ38" s="12">
        <f t="shared" si="146"/>
        <v>2</v>
      </c>
      <c r="AK38" s="19">
        <f t="shared" si="147"/>
        <v>2</v>
      </c>
      <c r="AL38" s="249">
        <v>238.47203999999968</v>
      </c>
      <c r="AM38" s="11">
        <v>225</v>
      </c>
      <c r="AN38" s="9">
        <v>1</v>
      </c>
      <c r="AO38" s="10">
        <f t="shared" si="148"/>
        <v>1.5</v>
      </c>
      <c r="AP38" s="18">
        <f t="shared" si="149"/>
        <v>22</v>
      </c>
      <c r="AQ38" s="249">
        <v>83.674399999999878</v>
      </c>
      <c r="AR38" s="13">
        <v>40</v>
      </c>
      <c r="AS38" s="9">
        <v>1</v>
      </c>
      <c r="AT38" s="10">
        <f t="shared" si="118"/>
        <v>2.5</v>
      </c>
      <c r="AU38" s="249">
        <v>92.04183999999988</v>
      </c>
      <c r="AV38" s="11">
        <v>130</v>
      </c>
      <c r="AW38" s="9">
        <v>1</v>
      </c>
      <c r="AX38" s="12">
        <f t="shared" si="119"/>
        <v>2</v>
      </c>
      <c r="AY38" s="19">
        <f t="shared" si="150"/>
        <v>5</v>
      </c>
      <c r="AZ38" s="249">
        <v>836.74399999999878</v>
      </c>
      <c r="BA38" s="25">
        <f t="shared" si="6"/>
        <v>220</v>
      </c>
      <c r="BB38" s="9">
        <v>1</v>
      </c>
      <c r="BC38" s="10">
        <f t="shared" si="121"/>
        <v>4</v>
      </c>
      <c r="BD38" s="249">
        <v>315.45248799999956</v>
      </c>
      <c r="BE38" s="13">
        <v>35</v>
      </c>
      <c r="BF38" s="9">
        <v>2</v>
      </c>
      <c r="BG38" s="12">
        <f t="shared" si="151"/>
        <v>2</v>
      </c>
      <c r="BH38" s="249">
        <v>53.551615999999925</v>
      </c>
      <c r="BI38" s="14">
        <v>3.4</v>
      </c>
      <c r="BJ38" s="9">
        <v>2</v>
      </c>
      <c r="BK38" s="10">
        <f t="shared" si="122"/>
        <v>8</v>
      </c>
      <c r="BL38" s="249">
        <v>287.00319199999961</v>
      </c>
      <c r="BM38" s="11">
        <v>125</v>
      </c>
      <c r="BN38" s="9">
        <v>1</v>
      </c>
      <c r="BO38" s="12">
        <f t="shared" si="152"/>
        <v>4</v>
      </c>
      <c r="BP38" s="19">
        <f t="shared" si="123"/>
        <v>7</v>
      </c>
      <c r="BQ38" s="21">
        <f t="shared" si="153"/>
        <v>35</v>
      </c>
      <c r="BR38" s="249">
        <v>103.33788399999985</v>
      </c>
      <c r="BS38" s="11">
        <v>165</v>
      </c>
      <c r="BT38" s="9">
        <v>1</v>
      </c>
      <c r="BU38" s="10">
        <f t="shared" si="154"/>
        <v>1</v>
      </c>
      <c r="BV38" s="249">
        <v>140.1546199999998</v>
      </c>
      <c r="BW38" s="11">
        <v>150</v>
      </c>
      <c r="BX38" s="9">
        <v>2</v>
      </c>
      <c r="BY38" s="10">
        <f t="shared" si="155"/>
        <v>0.5</v>
      </c>
      <c r="BZ38" s="249">
        <v>853.47887999999875</v>
      </c>
      <c r="CA38" s="13">
        <v>320</v>
      </c>
      <c r="CB38" s="9">
        <v>2</v>
      </c>
      <c r="CC38" s="10">
        <f t="shared" si="156"/>
        <v>1.5</v>
      </c>
      <c r="CD38" s="249">
        <v>2560.4366399999963</v>
      </c>
      <c r="CE38" s="13">
        <v>8000</v>
      </c>
      <c r="CF38" s="9">
        <v>1</v>
      </c>
      <c r="CG38" s="10">
        <f t="shared" si="157"/>
        <v>0.5</v>
      </c>
      <c r="CH38" s="249">
        <v>1706.9577599999975</v>
      </c>
      <c r="CI38" s="13">
        <v>300</v>
      </c>
      <c r="CJ38" s="9">
        <v>2</v>
      </c>
      <c r="CK38" s="10">
        <f t="shared" si="158"/>
        <v>3</v>
      </c>
      <c r="CL38" s="38">
        <f t="shared" si="124"/>
        <v>209.18599999999969</v>
      </c>
      <c r="CM38" s="15">
        <v>50</v>
      </c>
      <c r="CN38" s="9">
        <v>1</v>
      </c>
      <c r="CO38" s="10">
        <f t="shared" si="159"/>
        <v>4.5</v>
      </c>
      <c r="CP38" s="20">
        <f t="shared" si="160"/>
        <v>11</v>
      </c>
      <c r="CQ38" s="5">
        <f t="shared" si="125"/>
        <v>22</v>
      </c>
      <c r="CR38" s="5">
        <f t="shared" si="126"/>
        <v>35</v>
      </c>
      <c r="CS38" s="5">
        <f t="shared" si="161"/>
        <v>11</v>
      </c>
      <c r="CT38" s="5">
        <f t="shared" si="162"/>
        <v>68</v>
      </c>
      <c r="CY38" s="40"/>
      <c r="DF38" s="40"/>
    </row>
    <row r="39" spans="1:110" s="6" customFormat="1" ht="17.25" customHeight="1" thickBot="1">
      <c r="A39" s="230"/>
      <c r="B39" s="222">
        <v>28</v>
      </c>
      <c r="C39" s="45" t="s">
        <v>126</v>
      </c>
      <c r="D39" s="45"/>
      <c r="E39" s="45" t="s">
        <v>18</v>
      </c>
      <c r="F39" s="193">
        <v>80</v>
      </c>
      <c r="G39" s="274">
        <v>7265.0829999999996</v>
      </c>
      <c r="H39" s="274">
        <v>7604.6610000000001</v>
      </c>
      <c r="I39" s="195">
        <f t="shared" si="143"/>
        <v>339.57800000000043</v>
      </c>
      <c r="J39" s="195">
        <f>I39</f>
        <v>339.57800000000043</v>
      </c>
      <c r="K39" s="132" t="s">
        <v>128</v>
      </c>
      <c r="L39" s="400"/>
      <c r="M39" s="400"/>
      <c r="N39" s="403"/>
      <c r="O39" s="406"/>
      <c r="P39" s="77">
        <v>3</v>
      </c>
      <c r="Q39" s="277">
        <v>587.74214000000052</v>
      </c>
      <c r="R39" s="44">
        <v>53.9</v>
      </c>
      <c r="S39" s="43">
        <v>2</v>
      </c>
      <c r="T39" s="42">
        <f t="shared" si="115"/>
        <v>5.5</v>
      </c>
      <c r="U39" s="277">
        <v>2121.1258600000024</v>
      </c>
      <c r="V39" s="41">
        <v>190</v>
      </c>
      <c r="W39" s="43">
        <v>2</v>
      </c>
      <c r="X39" s="42">
        <f t="shared" si="116"/>
        <v>6</v>
      </c>
      <c r="Y39" s="277">
        <v>455.03452000000061</v>
      </c>
      <c r="Z39" s="41">
        <v>42</v>
      </c>
      <c r="AA39" s="43">
        <v>2</v>
      </c>
      <c r="AB39" s="75">
        <f t="shared" si="144"/>
        <v>6.5</v>
      </c>
      <c r="AC39" s="277">
        <v>271.66240000000039</v>
      </c>
      <c r="AD39" s="41">
        <v>40</v>
      </c>
      <c r="AE39" s="43">
        <v>2</v>
      </c>
      <c r="AF39" s="42">
        <f t="shared" si="145"/>
        <v>3.5</v>
      </c>
      <c r="AG39" s="277">
        <v>122.24808000000017</v>
      </c>
      <c r="AH39" s="41">
        <v>130</v>
      </c>
      <c r="AI39" s="43">
        <v>1</v>
      </c>
      <c r="AJ39" s="75">
        <f t="shared" si="146"/>
        <v>2</v>
      </c>
      <c r="AK39" s="77">
        <f t="shared" si="147"/>
        <v>2</v>
      </c>
      <c r="AL39" s="277">
        <v>431.06380000000047</v>
      </c>
      <c r="AM39" s="41">
        <v>225</v>
      </c>
      <c r="AN39" s="43">
        <v>1</v>
      </c>
      <c r="AO39" s="42">
        <f t="shared" si="148"/>
        <v>2</v>
      </c>
      <c r="AP39" s="74">
        <f t="shared" si="149"/>
        <v>31</v>
      </c>
      <c r="AQ39" s="277">
        <v>135.83120000000019</v>
      </c>
      <c r="AR39" s="73">
        <v>40</v>
      </c>
      <c r="AS39" s="43">
        <v>1</v>
      </c>
      <c r="AT39" s="42">
        <f t="shared" si="118"/>
        <v>3.5</v>
      </c>
      <c r="AU39" s="277">
        <v>149.4143200000002</v>
      </c>
      <c r="AV39" s="41">
        <v>130</v>
      </c>
      <c r="AW39" s="43">
        <v>1</v>
      </c>
      <c r="AX39" s="75">
        <f t="shared" si="119"/>
        <v>3</v>
      </c>
      <c r="AY39" s="77">
        <f t="shared" si="150"/>
        <v>5</v>
      </c>
      <c r="AZ39" s="277">
        <v>1358.3120000000017</v>
      </c>
      <c r="BA39" s="76">
        <f t="shared" si="6"/>
        <v>220</v>
      </c>
      <c r="BB39" s="43">
        <v>1</v>
      </c>
      <c r="BC39" s="42">
        <f t="shared" si="121"/>
        <v>6.5</v>
      </c>
      <c r="BD39" s="277">
        <v>512.08362400000067</v>
      </c>
      <c r="BE39" s="73">
        <v>35</v>
      </c>
      <c r="BF39" s="43">
        <v>2</v>
      </c>
      <c r="BG39" s="75">
        <f t="shared" si="151"/>
        <v>2</v>
      </c>
      <c r="BH39" s="277">
        <v>86.931968000000111</v>
      </c>
      <c r="BI39" s="72">
        <v>3.4</v>
      </c>
      <c r="BJ39" s="43">
        <v>2</v>
      </c>
      <c r="BK39" s="42">
        <f t="shared" si="122"/>
        <v>13</v>
      </c>
      <c r="BL39" s="277">
        <v>465.90101600000065</v>
      </c>
      <c r="BM39" s="41">
        <v>125</v>
      </c>
      <c r="BN39" s="43">
        <v>1</v>
      </c>
      <c r="BO39" s="75">
        <f t="shared" si="152"/>
        <v>5</v>
      </c>
      <c r="BP39" s="77">
        <f t="shared" si="123"/>
        <v>7</v>
      </c>
      <c r="BQ39" s="71">
        <f t="shared" si="153"/>
        <v>45</v>
      </c>
      <c r="BR39" s="277">
        <v>201.25294200000016</v>
      </c>
      <c r="BS39" s="41">
        <v>165</v>
      </c>
      <c r="BT39" s="43">
        <v>1</v>
      </c>
      <c r="BU39" s="42">
        <f t="shared" si="154"/>
        <v>1.5</v>
      </c>
      <c r="BV39" s="277">
        <v>264.87040800000023</v>
      </c>
      <c r="BW39" s="41">
        <v>150</v>
      </c>
      <c r="BX39" s="43">
        <v>2</v>
      </c>
      <c r="BY39" s="42">
        <f t="shared" si="155"/>
        <v>1</v>
      </c>
      <c r="BZ39" s="277">
        <v>1605.2026400000013</v>
      </c>
      <c r="CA39" s="73">
        <v>320</v>
      </c>
      <c r="CB39" s="43">
        <v>2</v>
      </c>
      <c r="CC39" s="42">
        <f t="shared" si="156"/>
        <v>3</v>
      </c>
      <c r="CD39" s="277">
        <v>4815.607920000004</v>
      </c>
      <c r="CE39" s="73">
        <v>8000</v>
      </c>
      <c r="CF39" s="43">
        <v>1</v>
      </c>
      <c r="CG39" s="42">
        <f t="shared" si="157"/>
        <v>1</v>
      </c>
      <c r="CH39" s="277">
        <v>3210.4052800000027</v>
      </c>
      <c r="CI39" s="73">
        <v>300</v>
      </c>
      <c r="CJ39" s="43">
        <v>2</v>
      </c>
      <c r="CK39" s="42">
        <f t="shared" si="158"/>
        <v>5.5</v>
      </c>
      <c r="CL39" s="70">
        <f t="shared" si="124"/>
        <v>339.57800000000043</v>
      </c>
      <c r="CM39" s="69">
        <v>50</v>
      </c>
      <c r="CN39" s="43">
        <v>1</v>
      </c>
      <c r="CO39" s="42">
        <f t="shared" si="159"/>
        <v>7</v>
      </c>
      <c r="CP39" s="68">
        <f t="shared" si="160"/>
        <v>19</v>
      </c>
      <c r="CQ39" s="4">
        <f t="shared" si="125"/>
        <v>31</v>
      </c>
      <c r="CR39" s="4">
        <f t="shared" si="126"/>
        <v>45</v>
      </c>
      <c r="CS39" s="4">
        <f t="shared" si="161"/>
        <v>19</v>
      </c>
      <c r="CT39" s="4">
        <f t="shared" si="162"/>
        <v>95</v>
      </c>
      <c r="CY39" s="40"/>
      <c r="DF39" s="40"/>
    </row>
    <row r="40" spans="1:110" s="6" customFormat="1" ht="17.25" customHeight="1">
      <c r="A40" s="40"/>
      <c r="B40" s="180">
        <v>29</v>
      </c>
      <c r="C40" s="180" t="s">
        <v>129</v>
      </c>
      <c r="D40" s="180"/>
      <c r="E40" s="180" t="s">
        <v>18</v>
      </c>
      <c r="F40" s="179">
        <v>62</v>
      </c>
      <c r="G40" s="270">
        <v>7660.7340000000004</v>
      </c>
      <c r="H40" s="270">
        <v>8059.1689999999999</v>
      </c>
      <c r="I40" s="178">
        <f t="shared" si="143"/>
        <v>398.43499999999949</v>
      </c>
      <c r="J40" s="178">
        <f>I40</f>
        <v>398.43499999999949</v>
      </c>
      <c r="K40" s="177"/>
      <c r="L40" s="472" t="s">
        <v>135</v>
      </c>
      <c r="M40" s="410">
        <f>SUM(I40:I43)</f>
        <v>1087.8779999999997</v>
      </c>
      <c r="N40" s="413">
        <f>SUM(CQ40:CQ43,CR40:CS40)/18.4</f>
        <v>9.6739130434782616</v>
      </c>
      <c r="O40" s="420">
        <v>34</v>
      </c>
      <c r="P40" s="191">
        <v>3</v>
      </c>
      <c r="Q40" s="279">
        <v>601.63684999999919</v>
      </c>
      <c r="R40" s="176">
        <v>53.9</v>
      </c>
      <c r="S40" s="175">
        <v>2</v>
      </c>
      <c r="T40" s="174">
        <f t="shared" si="115"/>
        <v>6</v>
      </c>
      <c r="U40" s="279">
        <v>2199.3611999999971</v>
      </c>
      <c r="V40" s="173">
        <v>190</v>
      </c>
      <c r="W40" s="175">
        <v>2</v>
      </c>
      <c r="X40" s="174">
        <f t="shared" si="116"/>
        <v>6</v>
      </c>
      <c r="Y40" s="279">
        <v>533.90289999999936</v>
      </c>
      <c r="Z40" s="173">
        <v>42</v>
      </c>
      <c r="AA40" s="175">
        <v>2</v>
      </c>
      <c r="AB40" s="172">
        <f t="shared" si="144"/>
        <v>7.5</v>
      </c>
      <c r="AC40" s="279">
        <v>318.74799999999965</v>
      </c>
      <c r="AD40" s="173">
        <v>40</v>
      </c>
      <c r="AE40" s="175">
        <v>2</v>
      </c>
      <c r="AF40" s="174">
        <f t="shared" si="145"/>
        <v>4</v>
      </c>
      <c r="AG40" s="279">
        <v>143.43659999999983</v>
      </c>
      <c r="AH40" s="173">
        <v>130</v>
      </c>
      <c r="AI40" s="175">
        <v>1</v>
      </c>
      <c r="AJ40" s="172">
        <f t="shared" si="146"/>
        <v>3</v>
      </c>
      <c r="AK40" s="191">
        <f t="shared" si="147"/>
        <v>2</v>
      </c>
      <c r="AL40" s="279">
        <v>454.21589999999946</v>
      </c>
      <c r="AM40" s="173">
        <v>225</v>
      </c>
      <c r="AN40" s="175">
        <v>1</v>
      </c>
      <c r="AO40" s="174">
        <f t="shared" si="148"/>
        <v>2.5</v>
      </c>
      <c r="AP40" s="171">
        <f t="shared" si="149"/>
        <v>34</v>
      </c>
      <c r="AQ40" s="279">
        <v>159.37399999999982</v>
      </c>
      <c r="AR40" s="170">
        <v>40</v>
      </c>
      <c r="AS40" s="175">
        <v>1</v>
      </c>
      <c r="AT40" s="174">
        <f t="shared" si="118"/>
        <v>4</v>
      </c>
      <c r="AU40" s="279">
        <v>175.31139999999979</v>
      </c>
      <c r="AV40" s="173">
        <v>130</v>
      </c>
      <c r="AW40" s="175">
        <v>1</v>
      </c>
      <c r="AX40" s="172">
        <f t="shared" si="119"/>
        <v>3</v>
      </c>
      <c r="AY40" s="191">
        <f t="shared" si="150"/>
        <v>5</v>
      </c>
      <c r="AZ40" s="279">
        <v>1593.739999999998</v>
      </c>
      <c r="BA40" s="169">
        <f t="shared" si="6"/>
        <v>220</v>
      </c>
      <c r="BB40" s="175">
        <v>1</v>
      </c>
      <c r="BC40" s="174">
        <f t="shared" si="121"/>
        <v>7.5</v>
      </c>
      <c r="BD40" s="279">
        <v>600.83997999999929</v>
      </c>
      <c r="BE40" s="170">
        <v>35</v>
      </c>
      <c r="BF40" s="175">
        <v>2</v>
      </c>
      <c r="BG40" s="172">
        <f t="shared" si="151"/>
        <v>2</v>
      </c>
      <c r="BH40" s="279">
        <v>101.99935999999988</v>
      </c>
      <c r="BI40" s="168">
        <v>3.4</v>
      </c>
      <c r="BJ40" s="175">
        <v>2</v>
      </c>
      <c r="BK40" s="174">
        <f t="shared" si="122"/>
        <v>15</v>
      </c>
      <c r="BL40" s="279">
        <v>546.65281999999945</v>
      </c>
      <c r="BM40" s="173">
        <v>125</v>
      </c>
      <c r="BN40" s="175">
        <v>1</v>
      </c>
      <c r="BO40" s="172">
        <f t="shared" si="152"/>
        <v>6</v>
      </c>
      <c r="BP40" s="191">
        <f t="shared" si="123"/>
        <v>7</v>
      </c>
      <c r="BQ40" s="167">
        <f t="shared" si="153"/>
        <v>50</v>
      </c>
      <c r="BR40" s="279">
        <v>196.82688999999974</v>
      </c>
      <c r="BS40" s="173">
        <v>165</v>
      </c>
      <c r="BT40" s="175">
        <v>1</v>
      </c>
      <c r="BU40" s="174">
        <f t="shared" si="154"/>
        <v>1.5</v>
      </c>
      <c r="BV40" s="279">
        <v>266.95144999999968</v>
      </c>
      <c r="BW40" s="173">
        <v>150</v>
      </c>
      <c r="BX40" s="175">
        <v>2</v>
      </c>
      <c r="BY40" s="174">
        <f t="shared" si="155"/>
        <v>1</v>
      </c>
      <c r="BZ40" s="279">
        <v>1625.614799999998</v>
      </c>
      <c r="CA40" s="170">
        <v>320</v>
      </c>
      <c r="CB40" s="175">
        <v>2</v>
      </c>
      <c r="CC40" s="174">
        <f t="shared" si="156"/>
        <v>3</v>
      </c>
      <c r="CD40" s="279">
        <v>4876.8443999999936</v>
      </c>
      <c r="CE40" s="170">
        <v>8000</v>
      </c>
      <c r="CF40" s="175">
        <v>1</v>
      </c>
      <c r="CG40" s="174">
        <f t="shared" si="157"/>
        <v>1</v>
      </c>
      <c r="CH40" s="279">
        <v>3251.229599999996</v>
      </c>
      <c r="CI40" s="170">
        <v>300</v>
      </c>
      <c r="CJ40" s="175">
        <v>2</v>
      </c>
      <c r="CK40" s="174">
        <f t="shared" si="158"/>
        <v>5.5</v>
      </c>
      <c r="CL40" s="166">
        <f t="shared" si="124"/>
        <v>398.43499999999949</v>
      </c>
      <c r="CM40" s="165">
        <v>50</v>
      </c>
      <c r="CN40" s="175">
        <v>1</v>
      </c>
      <c r="CO40" s="174">
        <f t="shared" si="159"/>
        <v>8</v>
      </c>
      <c r="CP40" s="164">
        <f t="shared" si="160"/>
        <v>20</v>
      </c>
      <c r="CQ40" s="163">
        <f t="shared" si="125"/>
        <v>34</v>
      </c>
      <c r="CR40" s="163">
        <f t="shared" si="126"/>
        <v>50</v>
      </c>
      <c r="CS40" s="163">
        <f t="shared" si="161"/>
        <v>20</v>
      </c>
      <c r="CT40" s="163">
        <f t="shared" si="162"/>
        <v>104</v>
      </c>
      <c r="CY40" s="40"/>
      <c r="DF40" s="40"/>
    </row>
    <row r="41" spans="1:110" s="6" customFormat="1" ht="17.25" customHeight="1">
      <c r="A41" s="40"/>
      <c r="B41" s="221">
        <v>30</v>
      </c>
      <c r="C41" s="229" t="s">
        <v>130</v>
      </c>
      <c r="D41" s="273" t="s">
        <v>81</v>
      </c>
      <c r="E41" s="221" t="s">
        <v>18</v>
      </c>
      <c r="F41" s="93"/>
      <c r="G41" s="271">
        <v>8110.5940000000001</v>
      </c>
      <c r="H41" s="271">
        <v>8345.1409999999996</v>
      </c>
      <c r="I41" s="65">
        <f t="shared" si="143"/>
        <v>234.54699999999957</v>
      </c>
      <c r="J41" s="65">
        <f>J40+I41</f>
        <v>632.98199999999906</v>
      </c>
      <c r="K41" s="181"/>
      <c r="L41" s="473"/>
      <c r="M41" s="411"/>
      <c r="N41" s="414"/>
      <c r="O41" s="433"/>
      <c r="P41" s="19">
        <v>3</v>
      </c>
      <c r="Q41" s="275">
        <v>354.16596999999933</v>
      </c>
      <c r="R41" s="8">
        <v>53.9</v>
      </c>
      <c r="S41" s="9">
        <v>2</v>
      </c>
      <c r="T41" s="10">
        <f t="shared" si="115"/>
        <v>3.5</v>
      </c>
      <c r="U41" s="278">
        <v>1294.6994399999976</v>
      </c>
      <c r="V41" s="11">
        <v>190</v>
      </c>
      <c r="W41" s="9">
        <v>2</v>
      </c>
      <c r="X41" s="10">
        <f t="shared" si="116"/>
        <v>3.5</v>
      </c>
      <c r="Y41" s="278">
        <v>314.29297999999943</v>
      </c>
      <c r="Z41" s="11">
        <v>42</v>
      </c>
      <c r="AA41" s="9">
        <v>2</v>
      </c>
      <c r="AB41" s="12">
        <f t="shared" si="144"/>
        <v>5</v>
      </c>
      <c r="AC41" s="278">
        <v>187.63759999999968</v>
      </c>
      <c r="AD41" s="11">
        <v>40</v>
      </c>
      <c r="AE41" s="9">
        <v>2</v>
      </c>
      <c r="AF41" s="10">
        <f t="shared" si="145"/>
        <v>2.5</v>
      </c>
      <c r="AG41" s="278">
        <v>84.436919999999859</v>
      </c>
      <c r="AH41" s="11">
        <v>130</v>
      </c>
      <c r="AI41" s="9">
        <v>1</v>
      </c>
      <c r="AJ41" s="12">
        <f t="shared" si="146"/>
        <v>2</v>
      </c>
      <c r="AK41" s="19">
        <f t="shared" si="147"/>
        <v>2</v>
      </c>
      <c r="AL41" s="278">
        <v>267.38357999999954</v>
      </c>
      <c r="AM41" s="11">
        <v>225</v>
      </c>
      <c r="AN41" s="9">
        <v>1</v>
      </c>
      <c r="AO41" s="10">
        <f t="shared" si="148"/>
        <v>1.5</v>
      </c>
      <c r="AP41" s="18">
        <f t="shared" si="149"/>
        <v>23</v>
      </c>
      <c r="AQ41" s="278">
        <v>93.81879999999984</v>
      </c>
      <c r="AR41" s="13">
        <v>40</v>
      </c>
      <c r="AS41" s="9">
        <v>1</v>
      </c>
      <c r="AT41" s="10">
        <f t="shared" si="118"/>
        <v>2.5</v>
      </c>
      <c r="AU41" s="278">
        <v>103.20067999999982</v>
      </c>
      <c r="AV41" s="11">
        <v>130</v>
      </c>
      <c r="AW41" s="9">
        <v>1</v>
      </c>
      <c r="AX41" s="12">
        <f t="shared" si="119"/>
        <v>2</v>
      </c>
      <c r="AY41" s="19">
        <f t="shared" si="150"/>
        <v>5</v>
      </c>
      <c r="AZ41" s="278">
        <v>938.18799999999828</v>
      </c>
      <c r="BA41" s="25">
        <f t="shared" si="6"/>
        <v>220</v>
      </c>
      <c r="BB41" s="9">
        <v>1</v>
      </c>
      <c r="BC41" s="10">
        <f t="shared" si="121"/>
        <v>4.5</v>
      </c>
      <c r="BD41" s="278">
        <v>353.69687599999935</v>
      </c>
      <c r="BE41" s="13">
        <v>35</v>
      </c>
      <c r="BF41" s="9">
        <v>2</v>
      </c>
      <c r="BG41" s="12">
        <f t="shared" si="151"/>
        <v>2</v>
      </c>
      <c r="BH41" s="278">
        <v>60.044031999999895</v>
      </c>
      <c r="BI41" s="14">
        <v>3.4</v>
      </c>
      <c r="BJ41" s="9">
        <v>2</v>
      </c>
      <c r="BK41" s="10">
        <f t="shared" si="122"/>
        <v>9</v>
      </c>
      <c r="BL41" s="278">
        <v>321.79848399999946</v>
      </c>
      <c r="BM41" s="11">
        <v>125</v>
      </c>
      <c r="BN41" s="9">
        <v>1</v>
      </c>
      <c r="BO41" s="12">
        <f t="shared" si="152"/>
        <v>4</v>
      </c>
      <c r="BP41" s="19">
        <f t="shared" si="123"/>
        <v>7</v>
      </c>
      <c r="BQ41" s="21">
        <f t="shared" si="153"/>
        <v>36</v>
      </c>
      <c r="BR41" s="278">
        <v>115.86621799999979</v>
      </c>
      <c r="BS41" s="11">
        <v>165</v>
      </c>
      <c r="BT41" s="9">
        <v>1</v>
      </c>
      <c r="BU41" s="10">
        <f t="shared" si="154"/>
        <v>1</v>
      </c>
      <c r="BV41" s="278">
        <v>157.14648999999972</v>
      </c>
      <c r="BW41" s="11">
        <v>150</v>
      </c>
      <c r="BX41" s="9">
        <v>2</v>
      </c>
      <c r="BY41" s="10">
        <f t="shared" si="155"/>
        <v>1</v>
      </c>
      <c r="BZ41" s="278">
        <v>956.95175999999822</v>
      </c>
      <c r="CA41" s="13">
        <v>320</v>
      </c>
      <c r="CB41" s="9">
        <v>2</v>
      </c>
      <c r="CC41" s="10">
        <f t="shared" si="156"/>
        <v>1.5</v>
      </c>
      <c r="CD41" s="278">
        <v>2870.8552799999948</v>
      </c>
      <c r="CE41" s="13">
        <v>8000</v>
      </c>
      <c r="CF41" s="9">
        <v>1</v>
      </c>
      <c r="CG41" s="10">
        <f t="shared" si="157"/>
        <v>0.5</v>
      </c>
      <c r="CH41" s="278">
        <v>1913.9035199999964</v>
      </c>
      <c r="CI41" s="13">
        <v>300</v>
      </c>
      <c r="CJ41" s="9">
        <v>2</v>
      </c>
      <c r="CK41" s="10">
        <f t="shared" si="158"/>
        <v>3.5</v>
      </c>
      <c r="CL41" s="38">
        <f t="shared" si="124"/>
        <v>234.54699999999957</v>
      </c>
      <c r="CM41" s="15">
        <v>50</v>
      </c>
      <c r="CN41" s="9">
        <v>1</v>
      </c>
      <c r="CO41" s="10">
        <f t="shared" si="159"/>
        <v>5</v>
      </c>
      <c r="CP41" s="20">
        <f t="shared" si="160"/>
        <v>13</v>
      </c>
      <c r="CQ41" s="5">
        <f t="shared" si="125"/>
        <v>23</v>
      </c>
      <c r="CR41" s="5">
        <f t="shared" si="126"/>
        <v>36</v>
      </c>
      <c r="CS41" s="5">
        <f t="shared" si="161"/>
        <v>13</v>
      </c>
      <c r="CT41" s="5">
        <f t="shared" si="162"/>
        <v>72</v>
      </c>
      <c r="CY41" s="40"/>
      <c r="DF41" s="40"/>
    </row>
    <row r="42" spans="1:110" s="6" customFormat="1" ht="17.25" customHeight="1">
      <c r="A42" s="40"/>
      <c r="B42" s="221">
        <v>31</v>
      </c>
      <c r="C42" s="221" t="s">
        <v>132</v>
      </c>
      <c r="D42" s="221" t="s">
        <v>131</v>
      </c>
      <c r="E42" s="221" t="s">
        <v>18</v>
      </c>
      <c r="F42" s="93"/>
      <c r="G42" s="271">
        <v>8381.7090000000007</v>
      </c>
      <c r="H42" s="271">
        <v>8667.2330000000002</v>
      </c>
      <c r="I42" s="65">
        <f t="shared" si="143"/>
        <v>285.52399999999943</v>
      </c>
      <c r="J42" s="65">
        <f t="shared" ref="J42:J43" si="163">J41+I42</f>
        <v>918.50599999999849</v>
      </c>
      <c r="K42" s="262" t="s">
        <v>133</v>
      </c>
      <c r="L42" s="473"/>
      <c r="M42" s="411"/>
      <c r="N42" s="414"/>
      <c r="O42" s="433"/>
      <c r="P42" s="19">
        <v>3</v>
      </c>
      <c r="Q42" s="275">
        <v>693.85504000000049</v>
      </c>
      <c r="R42" s="8">
        <v>53.9</v>
      </c>
      <c r="S42" s="9">
        <v>2</v>
      </c>
      <c r="T42" s="10">
        <f t="shared" si="115"/>
        <v>6.5</v>
      </c>
      <c r="U42" s="275">
        <v>2456.4044200000008</v>
      </c>
      <c r="V42" s="11">
        <v>190</v>
      </c>
      <c r="W42" s="9">
        <v>2</v>
      </c>
      <c r="X42" s="10">
        <f t="shared" si="116"/>
        <v>6.5</v>
      </c>
      <c r="Y42" s="275">
        <v>401.50615999999934</v>
      </c>
      <c r="Z42" s="11">
        <v>42</v>
      </c>
      <c r="AA42" s="9">
        <v>2</v>
      </c>
      <c r="AB42" s="12">
        <f t="shared" si="144"/>
        <v>6</v>
      </c>
      <c r="AC42" s="275">
        <v>228.41919999999953</v>
      </c>
      <c r="AD42" s="11">
        <v>40</v>
      </c>
      <c r="AE42" s="9">
        <v>2</v>
      </c>
      <c r="AF42" s="10">
        <f t="shared" si="145"/>
        <v>3</v>
      </c>
      <c r="AG42" s="275">
        <v>106.56943999999982</v>
      </c>
      <c r="AH42" s="11">
        <v>130</v>
      </c>
      <c r="AI42" s="9">
        <v>1</v>
      </c>
      <c r="AJ42" s="12">
        <f t="shared" si="146"/>
        <v>2</v>
      </c>
      <c r="AK42" s="19">
        <f t="shared" si="147"/>
        <v>2</v>
      </c>
      <c r="AL42" s="275">
        <v>471.5878400000002</v>
      </c>
      <c r="AM42" s="11">
        <v>225</v>
      </c>
      <c r="AN42" s="9">
        <v>1</v>
      </c>
      <c r="AO42" s="10">
        <f t="shared" si="148"/>
        <v>2.5</v>
      </c>
      <c r="AP42" s="18">
        <f t="shared" si="149"/>
        <v>32</v>
      </c>
      <c r="AQ42" s="275">
        <v>114.20959999999977</v>
      </c>
      <c r="AR42" s="13">
        <v>40</v>
      </c>
      <c r="AS42" s="9">
        <v>1</v>
      </c>
      <c r="AT42" s="10">
        <f t="shared" si="118"/>
        <v>3</v>
      </c>
      <c r="AU42" s="275">
        <v>125.63055999999978</v>
      </c>
      <c r="AV42" s="11">
        <v>130</v>
      </c>
      <c r="AW42" s="9">
        <v>1</v>
      </c>
      <c r="AX42" s="12">
        <f t="shared" si="119"/>
        <v>2</v>
      </c>
      <c r="AY42" s="19">
        <f t="shared" si="150"/>
        <v>5</v>
      </c>
      <c r="AZ42" s="275">
        <v>1142.0959999999977</v>
      </c>
      <c r="BA42" s="25">
        <f t="shared" si="6"/>
        <v>220</v>
      </c>
      <c r="BB42" s="9">
        <v>1</v>
      </c>
      <c r="BC42" s="10">
        <f t="shared" si="121"/>
        <v>5.5</v>
      </c>
      <c r="BD42" s="275">
        <v>430.57019199999911</v>
      </c>
      <c r="BE42" s="13">
        <v>35</v>
      </c>
      <c r="BF42" s="9">
        <v>2</v>
      </c>
      <c r="BG42" s="12">
        <f t="shared" si="151"/>
        <v>2</v>
      </c>
      <c r="BH42" s="275">
        <v>73.094143999999844</v>
      </c>
      <c r="BI42" s="14">
        <v>3.4</v>
      </c>
      <c r="BJ42" s="9">
        <v>2</v>
      </c>
      <c r="BK42" s="10">
        <f t="shared" si="122"/>
        <v>11</v>
      </c>
      <c r="BL42" s="275">
        <v>391.73892799999925</v>
      </c>
      <c r="BM42" s="11">
        <v>125</v>
      </c>
      <c r="BN42" s="9">
        <v>1</v>
      </c>
      <c r="BO42" s="12">
        <f t="shared" si="152"/>
        <v>5</v>
      </c>
      <c r="BP42" s="19">
        <f t="shared" si="123"/>
        <v>7</v>
      </c>
      <c r="BQ42" s="21">
        <f t="shared" si="153"/>
        <v>41</v>
      </c>
      <c r="BR42" s="275">
        <v>256.07521800000035</v>
      </c>
      <c r="BS42" s="11">
        <v>165</v>
      </c>
      <c r="BT42" s="9">
        <v>1</v>
      </c>
      <c r="BU42" s="10">
        <f t="shared" si="154"/>
        <v>2</v>
      </c>
      <c r="BV42" s="275">
        <v>323.51218800000038</v>
      </c>
      <c r="BW42" s="11">
        <v>150</v>
      </c>
      <c r="BX42" s="9">
        <v>2</v>
      </c>
      <c r="BY42" s="10">
        <f t="shared" si="155"/>
        <v>1.5</v>
      </c>
      <c r="BZ42" s="275">
        <v>1942.650320000002</v>
      </c>
      <c r="CA42" s="13">
        <v>320</v>
      </c>
      <c r="CB42" s="9">
        <v>2</v>
      </c>
      <c r="CC42" s="10">
        <f t="shared" si="156"/>
        <v>3.5</v>
      </c>
      <c r="CD42" s="275">
        <v>5827.9509600000065</v>
      </c>
      <c r="CE42" s="13">
        <v>8000</v>
      </c>
      <c r="CF42" s="9">
        <v>1</v>
      </c>
      <c r="CG42" s="10">
        <f t="shared" si="157"/>
        <v>1</v>
      </c>
      <c r="CH42" s="275">
        <v>3885.300640000004</v>
      </c>
      <c r="CI42" s="13">
        <v>300</v>
      </c>
      <c r="CJ42" s="9">
        <v>2</v>
      </c>
      <c r="CK42" s="10">
        <f t="shared" si="158"/>
        <v>6.5</v>
      </c>
      <c r="CL42" s="38">
        <f t="shared" si="124"/>
        <v>285.52399999999943</v>
      </c>
      <c r="CM42" s="15">
        <v>50</v>
      </c>
      <c r="CN42" s="9">
        <v>1</v>
      </c>
      <c r="CO42" s="10">
        <f t="shared" si="159"/>
        <v>6</v>
      </c>
      <c r="CP42" s="20">
        <f t="shared" si="160"/>
        <v>21</v>
      </c>
      <c r="CQ42" s="5">
        <f t="shared" si="125"/>
        <v>32</v>
      </c>
      <c r="CR42" s="5">
        <f t="shared" si="126"/>
        <v>41</v>
      </c>
      <c r="CS42" s="5">
        <f t="shared" si="161"/>
        <v>21</v>
      </c>
      <c r="CT42" s="5">
        <f t="shared" si="162"/>
        <v>94</v>
      </c>
      <c r="CY42" s="40"/>
      <c r="DF42" s="40"/>
    </row>
    <row r="43" spans="1:110" s="6" customFormat="1" ht="17.25" customHeight="1" thickBot="1">
      <c r="A43" s="40"/>
      <c r="B43" s="59">
        <v>32</v>
      </c>
      <c r="C43" s="263" t="s">
        <v>134</v>
      </c>
      <c r="D43" s="59"/>
      <c r="E43" s="59" t="s">
        <v>18</v>
      </c>
      <c r="F43" s="92">
        <v>62</v>
      </c>
      <c r="G43" s="272">
        <v>8703.7469999999994</v>
      </c>
      <c r="H43" s="272">
        <v>8873.1190000000006</v>
      </c>
      <c r="I43" s="78">
        <f t="shared" si="143"/>
        <v>169.37200000000121</v>
      </c>
      <c r="J43" s="78">
        <f t="shared" si="163"/>
        <v>1087.8779999999997</v>
      </c>
      <c r="K43" s="162"/>
      <c r="L43" s="474"/>
      <c r="M43" s="475"/>
      <c r="N43" s="476"/>
      <c r="O43" s="477"/>
      <c r="P43" s="55">
        <v>3</v>
      </c>
      <c r="Q43" s="276">
        <v>255.75172000000182</v>
      </c>
      <c r="R43" s="54">
        <v>53.9</v>
      </c>
      <c r="S43" s="80">
        <v>2</v>
      </c>
      <c r="T43" s="81">
        <f t="shared" si="115"/>
        <v>2.5</v>
      </c>
      <c r="U43" s="130">
        <v>934.93344000000673</v>
      </c>
      <c r="V43" s="57">
        <v>190</v>
      </c>
      <c r="W43" s="80">
        <v>2</v>
      </c>
      <c r="X43" s="81">
        <f t="shared" si="116"/>
        <v>2.5</v>
      </c>
      <c r="Y43" s="130">
        <v>226.95848000000163</v>
      </c>
      <c r="Z43" s="57">
        <v>42</v>
      </c>
      <c r="AA43" s="80">
        <v>2</v>
      </c>
      <c r="AB43" s="56">
        <f t="shared" si="144"/>
        <v>4</v>
      </c>
      <c r="AC43" s="130">
        <v>135.49760000000097</v>
      </c>
      <c r="AD43" s="57">
        <v>40</v>
      </c>
      <c r="AE43" s="80">
        <v>2</v>
      </c>
      <c r="AF43" s="81">
        <f t="shared" si="145"/>
        <v>2</v>
      </c>
      <c r="AG43" s="130">
        <v>60.97392000000044</v>
      </c>
      <c r="AH43" s="57">
        <v>130</v>
      </c>
      <c r="AI43" s="80">
        <v>1</v>
      </c>
      <c r="AJ43" s="56">
        <f t="shared" si="146"/>
        <v>2</v>
      </c>
      <c r="AK43" s="55">
        <f t="shared" si="147"/>
        <v>2</v>
      </c>
      <c r="AL43" s="130">
        <v>193.08408000000139</v>
      </c>
      <c r="AM43" s="57">
        <v>225</v>
      </c>
      <c r="AN43" s="80">
        <v>1</v>
      </c>
      <c r="AO43" s="81">
        <f t="shared" si="148"/>
        <v>1</v>
      </c>
      <c r="AP43" s="53">
        <f t="shared" si="149"/>
        <v>19</v>
      </c>
      <c r="AQ43" s="130">
        <v>67.748800000000486</v>
      </c>
      <c r="AR43" s="52">
        <v>40</v>
      </c>
      <c r="AS43" s="80">
        <v>1</v>
      </c>
      <c r="AT43" s="81">
        <f t="shared" si="118"/>
        <v>2</v>
      </c>
      <c r="AU43" s="130">
        <v>74.523680000000539</v>
      </c>
      <c r="AV43" s="57">
        <v>130</v>
      </c>
      <c r="AW43" s="80">
        <v>1</v>
      </c>
      <c r="AX43" s="56">
        <f t="shared" si="119"/>
        <v>2</v>
      </c>
      <c r="AY43" s="55">
        <f t="shared" si="150"/>
        <v>5</v>
      </c>
      <c r="AZ43" s="130">
        <v>677.48800000000483</v>
      </c>
      <c r="BA43" s="51">
        <f t="shared" si="6"/>
        <v>220</v>
      </c>
      <c r="BB43" s="80">
        <v>1</v>
      </c>
      <c r="BC43" s="81">
        <f t="shared" si="121"/>
        <v>3.5</v>
      </c>
      <c r="BD43" s="130">
        <v>255.41297600000183</v>
      </c>
      <c r="BE43" s="52">
        <v>35</v>
      </c>
      <c r="BF43" s="80">
        <v>2</v>
      </c>
      <c r="BG43" s="56">
        <f t="shared" si="151"/>
        <v>2</v>
      </c>
      <c r="BH43" s="130">
        <v>43.359232000000311</v>
      </c>
      <c r="BI43" s="50">
        <v>3.4</v>
      </c>
      <c r="BJ43" s="80">
        <v>2</v>
      </c>
      <c r="BK43" s="81">
        <f t="shared" si="122"/>
        <v>6.5</v>
      </c>
      <c r="BL43" s="130">
        <v>232.37838400000169</v>
      </c>
      <c r="BM43" s="57">
        <v>125</v>
      </c>
      <c r="BN43" s="80">
        <v>1</v>
      </c>
      <c r="BO43" s="56">
        <f t="shared" si="152"/>
        <v>3</v>
      </c>
      <c r="BP43" s="55">
        <f t="shared" si="123"/>
        <v>7</v>
      </c>
      <c r="BQ43" s="79">
        <f t="shared" si="153"/>
        <v>31</v>
      </c>
      <c r="BR43" s="130">
        <v>83.669768000000602</v>
      </c>
      <c r="BS43" s="57">
        <v>165</v>
      </c>
      <c r="BT43" s="80">
        <v>1</v>
      </c>
      <c r="BU43" s="81">
        <f t="shared" si="154"/>
        <v>1</v>
      </c>
      <c r="BV43" s="130">
        <v>113.47924000000081</v>
      </c>
      <c r="BW43" s="57">
        <v>150</v>
      </c>
      <c r="BX43" s="80">
        <v>2</v>
      </c>
      <c r="BY43" s="81">
        <f t="shared" si="155"/>
        <v>0.5</v>
      </c>
      <c r="BZ43" s="130">
        <v>691.03776000000494</v>
      </c>
      <c r="CA43" s="52">
        <v>320</v>
      </c>
      <c r="CB43" s="80">
        <v>2</v>
      </c>
      <c r="CC43" s="81">
        <f t="shared" si="156"/>
        <v>1.5</v>
      </c>
      <c r="CD43" s="130">
        <v>2073.113280000015</v>
      </c>
      <c r="CE43" s="52">
        <v>8000</v>
      </c>
      <c r="CF43" s="80">
        <v>1</v>
      </c>
      <c r="CG43" s="81">
        <f t="shared" si="157"/>
        <v>0.5</v>
      </c>
      <c r="CH43" s="130">
        <v>1382.0755200000099</v>
      </c>
      <c r="CI43" s="52">
        <v>300</v>
      </c>
      <c r="CJ43" s="80">
        <v>2</v>
      </c>
      <c r="CK43" s="81">
        <f t="shared" si="158"/>
        <v>2.5</v>
      </c>
      <c r="CL43" s="49">
        <f t="shared" si="124"/>
        <v>169.37200000000121</v>
      </c>
      <c r="CM43" s="58">
        <v>50</v>
      </c>
      <c r="CN43" s="80">
        <v>1</v>
      </c>
      <c r="CO43" s="81">
        <f t="shared" si="159"/>
        <v>3.5</v>
      </c>
      <c r="CP43" s="47">
        <f t="shared" si="160"/>
        <v>10</v>
      </c>
      <c r="CQ43" s="46">
        <f t="shared" si="125"/>
        <v>19</v>
      </c>
      <c r="CR43" s="46">
        <f t="shared" si="126"/>
        <v>31</v>
      </c>
      <c r="CS43" s="46">
        <f t="shared" si="161"/>
        <v>10</v>
      </c>
      <c r="CT43" s="46">
        <f t="shared" si="162"/>
        <v>60</v>
      </c>
      <c r="CY43" s="40"/>
      <c r="DF43" s="40"/>
    </row>
    <row r="44" spans="1:110" s="86" customFormat="1" ht="17.25" customHeight="1" thickBot="1">
      <c r="A44" s="87"/>
      <c r="B44" s="465" t="s">
        <v>74</v>
      </c>
      <c r="C44" s="465"/>
      <c r="D44" s="465"/>
      <c r="E44" s="269" t="s">
        <v>73</v>
      </c>
      <c r="F44" s="261">
        <f>53-4-2-8</f>
        <v>39</v>
      </c>
      <c r="G44" s="280"/>
      <c r="H44" s="280"/>
      <c r="I44" s="281"/>
      <c r="J44" s="281"/>
      <c r="K44" s="282"/>
      <c r="L44" s="282"/>
      <c r="M44" s="282"/>
      <c r="N44" s="283"/>
      <c r="O44" s="284"/>
      <c r="P44" s="285"/>
      <c r="Q44" s="268"/>
      <c r="R44" s="267"/>
      <c r="S44" s="256"/>
      <c r="T44" s="265"/>
      <c r="U44" s="268"/>
      <c r="V44" s="257"/>
      <c r="W44" s="256"/>
      <c r="X44" s="265"/>
      <c r="Y44" s="268"/>
      <c r="Z44" s="268"/>
      <c r="AA44" s="268"/>
      <c r="AB44" s="268"/>
      <c r="AC44" s="254"/>
      <c r="AD44" s="253"/>
      <c r="AE44" s="256"/>
      <c r="AF44" s="265"/>
      <c r="AG44" s="268"/>
      <c r="AH44" s="257"/>
      <c r="AI44" s="256"/>
      <c r="AJ44" s="266"/>
      <c r="AK44" s="285"/>
      <c r="AL44" s="268"/>
      <c r="AM44" s="257"/>
      <c r="AN44" s="256"/>
      <c r="AO44" s="265"/>
      <c r="AP44" s="258"/>
      <c r="AQ44" s="268"/>
      <c r="AR44" s="264"/>
      <c r="AS44" s="256"/>
      <c r="AT44" s="265"/>
      <c r="AU44" s="268"/>
      <c r="AV44" s="257"/>
      <c r="AW44" s="256"/>
      <c r="AX44" s="266"/>
      <c r="AY44" s="285"/>
      <c r="AZ44" s="254"/>
      <c r="BA44" s="253"/>
      <c r="BB44" s="256"/>
      <c r="BC44" s="265"/>
      <c r="BD44" s="254"/>
      <c r="BE44" s="264"/>
      <c r="BF44" s="256"/>
      <c r="BG44" s="266"/>
      <c r="BH44" s="254"/>
      <c r="BI44" s="259"/>
      <c r="BJ44" s="256"/>
      <c r="BK44" s="265"/>
      <c r="BL44" s="254"/>
      <c r="BM44" s="257"/>
      <c r="BN44" s="256"/>
      <c r="BO44" s="266"/>
      <c r="BP44" s="285"/>
      <c r="BQ44" s="258"/>
      <c r="BR44" s="268"/>
      <c r="BS44" s="257"/>
      <c r="BT44" s="256"/>
      <c r="BU44" s="265"/>
      <c r="BV44" s="254"/>
      <c r="BW44" s="257"/>
      <c r="BX44" s="256"/>
      <c r="BY44" s="265"/>
      <c r="BZ44" s="254"/>
      <c r="CA44" s="264"/>
      <c r="CB44" s="256"/>
      <c r="CC44" s="265"/>
      <c r="CD44" s="254"/>
      <c r="CE44" s="264"/>
      <c r="CF44" s="256"/>
      <c r="CG44" s="265"/>
      <c r="CH44" s="254"/>
      <c r="CI44" s="264"/>
      <c r="CJ44" s="256"/>
      <c r="CK44" s="265"/>
      <c r="CL44" s="255"/>
      <c r="CM44" s="286"/>
      <c r="CN44" s="256"/>
      <c r="CO44" s="265"/>
      <c r="CP44" s="260"/>
      <c r="CQ44" s="260"/>
      <c r="CR44" s="260"/>
      <c r="CS44" s="260"/>
      <c r="CT44" s="260"/>
      <c r="CY44" s="87"/>
      <c r="DF44" s="87"/>
    </row>
    <row r="45" spans="1:110" s="6" customFormat="1" ht="17.25" customHeight="1">
      <c r="A45" s="40"/>
      <c r="B45" s="180">
        <v>33</v>
      </c>
      <c r="C45" s="180" t="s">
        <v>136</v>
      </c>
      <c r="D45" s="180" t="s">
        <v>131</v>
      </c>
      <c r="E45" s="180" t="s">
        <v>18</v>
      </c>
      <c r="F45" s="179"/>
      <c r="G45" s="287">
        <v>8926.9509999999991</v>
      </c>
      <c r="H45" s="287">
        <v>9233.4419999999991</v>
      </c>
      <c r="I45" s="178">
        <f>H45-G45</f>
        <v>306.49099999999999</v>
      </c>
      <c r="J45" s="178">
        <f>I45</f>
        <v>306.49099999999999</v>
      </c>
      <c r="K45" s="177" t="s">
        <v>137</v>
      </c>
      <c r="L45" s="447" t="s">
        <v>144</v>
      </c>
      <c r="M45" s="450">
        <f>SUM(I45:I49)</f>
        <v>717.27700000000186</v>
      </c>
      <c r="N45" s="452">
        <f>SUM(CQ45:CQ49,CR45:CS45)/18.4</f>
        <v>8.2608695652173925</v>
      </c>
      <c r="O45" s="455">
        <v>11</v>
      </c>
      <c r="P45" s="191">
        <v>3</v>
      </c>
      <c r="Q45" s="294">
        <v>551.68828999999971</v>
      </c>
      <c r="R45" s="176">
        <v>53.9</v>
      </c>
      <c r="S45" s="175">
        <v>2</v>
      </c>
      <c r="T45" s="174">
        <f t="shared" si="115"/>
        <v>5.5</v>
      </c>
      <c r="U45" s="294">
        <v>2023.9215799999993</v>
      </c>
      <c r="V45" s="173">
        <v>190</v>
      </c>
      <c r="W45" s="175">
        <v>2</v>
      </c>
      <c r="X45" s="174">
        <f t="shared" si="116"/>
        <v>5.5</v>
      </c>
      <c r="Y45" s="294">
        <v>493.41211999999973</v>
      </c>
      <c r="Z45" s="173">
        <v>42</v>
      </c>
      <c r="AA45" s="175">
        <v>2</v>
      </c>
      <c r="AB45" s="172">
        <f>IF(Y45="","",CEILING(Y45/Z45/AA45,0.5)+1)</f>
        <v>7</v>
      </c>
      <c r="AC45" s="294">
        <v>294.57439999999991</v>
      </c>
      <c r="AD45" s="173">
        <v>40</v>
      </c>
      <c r="AE45" s="175">
        <v>2</v>
      </c>
      <c r="AF45" s="174">
        <f>CEILING(AC45/AD45/AE45,0.5)</f>
        <v>4</v>
      </c>
      <c r="AG45" s="294">
        <v>132.55847999999995</v>
      </c>
      <c r="AH45" s="173">
        <v>130</v>
      </c>
      <c r="AI45" s="175">
        <v>1</v>
      </c>
      <c r="AJ45" s="172">
        <f>IF(AG45="","",ROUNDUP(AG45/AH45/AI45,0)+1)</f>
        <v>3</v>
      </c>
      <c r="AK45" s="191">
        <f t="shared" si="147"/>
        <v>2</v>
      </c>
      <c r="AL45" s="294">
        <v>421.00305999999983</v>
      </c>
      <c r="AM45" s="173">
        <v>225</v>
      </c>
      <c r="AN45" s="175">
        <v>1</v>
      </c>
      <c r="AO45" s="174">
        <f>CEILING(AL45/AM45/AN45,0.5)</f>
        <v>2</v>
      </c>
      <c r="AP45" s="171">
        <f>ROUNDUP(SUM(P45,T45,X45,AB45,AF45,AJ45,AK45,AO45),0)</f>
        <v>32</v>
      </c>
      <c r="AQ45" s="294">
        <v>122.5964</v>
      </c>
      <c r="AR45" s="170">
        <v>40</v>
      </c>
      <c r="AS45" s="175">
        <v>1</v>
      </c>
      <c r="AT45" s="174">
        <f t="shared" si="118"/>
        <v>3.5</v>
      </c>
      <c r="AU45" s="294">
        <v>134.85604000000001</v>
      </c>
      <c r="AV45" s="173">
        <v>130</v>
      </c>
      <c r="AW45" s="175">
        <v>1</v>
      </c>
      <c r="AX45" s="172">
        <f t="shared" si="119"/>
        <v>3</v>
      </c>
      <c r="AY45" s="191">
        <f t="shared" si="150"/>
        <v>5</v>
      </c>
      <c r="AZ45" s="294">
        <v>1225.9639999999999</v>
      </c>
      <c r="BA45" s="169">
        <f t="shared" si="6"/>
        <v>220</v>
      </c>
      <c r="BB45" s="175">
        <v>1</v>
      </c>
      <c r="BC45" s="174">
        <f t="shared" si="121"/>
        <v>6</v>
      </c>
      <c r="BD45" s="294">
        <v>462.18842799999999</v>
      </c>
      <c r="BE45" s="170">
        <v>35</v>
      </c>
      <c r="BF45" s="175">
        <v>2</v>
      </c>
      <c r="BG45" s="172">
        <f>IF(BD45="","",2)</f>
        <v>2</v>
      </c>
      <c r="BH45" s="294">
        <v>78.461696000000003</v>
      </c>
      <c r="BI45" s="168">
        <v>3.4</v>
      </c>
      <c r="BJ45" s="175">
        <v>2</v>
      </c>
      <c r="BK45" s="174">
        <f t="shared" si="122"/>
        <v>12</v>
      </c>
      <c r="BL45" s="294">
        <v>420.50565200000005</v>
      </c>
      <c r="BM45" s="173">
        <v>125</v>
      </c>
      <c r="BN45" s="175">
        <v>1</v>
      </c>
      <c r="BO45" s="172">
        <f>IF(BL45="","",ROUNDUP(BL45/BM45/BN45,0)+1)</f>
        <v>5</v>
      </c>
      <c r="BP45" s="191">
        <f t="shared" si="123"/>
        <v>7</v>
      </c>
      <c r="BQ45" s="167">
        <f>ROUNDUP(SUM(AT45,AX45,AY45,BC45,BG45,BK45,BO45,BP45),0)</f>
        <v>44</v>
      </c>
      <c r="BR45" s="294">
        <v>174.98626799999994</v>
      </c>
      <c r="BS45" s="173">
        <v>165</v>
      </c>
      <c r="BT45" s="175">
        <v>1</v>
      </c>
      <c r="BU45" s="174">
        <f>CEILING(BR45/BS45/BT45,0.5)</f>
        <v>1.5</v>
      </c>
      <c r="BV45" s="294">
        <v>243.1258939999999</v>
      </c>
      <c r="BW45" s="173">
        <v>150</v>
      </c>
      <c r="BX45" s="175">
        <v>2</v>
      </c>
      <c r="BY45" s="174">
        <f>CEILING(BV45/BW45/BX45,0.5)</f>
        <v>1</v>
      </c>
      <c r="BZ45" s="294">
        <v>1480.1077199999995</v>
      </c>
      <c r="CA45" s="170">
        <v>320</v>
      </c>
      <c r="CB45" s="175">
        <v>2</v>
      </c>
      <c r="CC45" s="174">
        <f>CEILING(BZ45/CA45/CB45,0.5)</f>
        <v>2.5</v>
      </c>
      <c r="CD45" s="294">
        <v>4440.323159999999</v>
      </c>
      <c r="CE45" s="170">
        <v>8000</v>
      </c>
      <c r="CF45" s="175">
        <v>1</v>
      </c>
      <c r="CG45" s="174">
        <f>CEILING(CD45/CE45/CF45,0.5)</f>
        <v>1</v>
      </c>
      <c r="CH45" s="294">
        <v>2960.215439999999</v>
      </c>
      <c r="CI45" s="170">
        <v>300</v>
      </c>
      <c r="CJ45" s="175">
        <v>2</v>
      </c>
      <c r="CK45" s="174">
        <f>CEILING(CH45/CI45/CJ45,0.5)</f>
        <v>5</v>
      </c>
      <c r="CL45" s="166">
        <f t="shared" si="124"/>
        <v>306.49099999999999</v>
      </c>
      <c r="CM45" s="165">
        <v>50</v>
      </c>
      <c r="CN45" s="175">
        <v>1</v>
      </c>
      <c r="CO45" s="174">
        <f>CEILING(CL45/CM45/CN45,0.5)</f>
        <v>6.5</v>
      </c>
      <c r="CP45" s="164">
        <f>ROUNDUP(SUM(BU45,BY45,CC45,CG45,CK45,CO45),0)</f>
        <v>18</v>
      </c>
      <c r="CQ45" s="163">
        <f t="shared" si="125"/>
        <v>32</v>
      </c>
      <c r="CR45" s="163">
        <f t="shared" si="126"/>
        <v>44</v>
      </c>
      <c r="CS45" s="163">
        <f>CP45</f>
        <v>18</v>
      </c>
      <c r="CT45" s="163">
        <f>SUM(CQ45:CS45)</f>
        <v>94</v>
      </c>
      <c r="CY45" s="40"/>
      <c r="DF45" s="40"/>
    </row>
    <row r="46" spans="1:110" s="6" customFormat="1" ht="17.25" customHeight="1">
      <c r="A46" s="40"/>
      <c r="B46" s="221">
        <v>34</v>
      </c>
      <c r="C46" s="229" t="s">
        <v>138</v>
      </c>
      <c r="D46" s="291" t="s">
        <v>81</v>
      </c>
      <c r="E46" s="221" t="s">
        <v>18</v>
      </c>
      <c r="F46" s="93"/>
      <c r="G46" s="288">
        <v>9293.7639999999992</v>
      </c>
      <c r="H46" s="288">
        <v>9330.5470000000005</v>
      </c>
      <c r="I46" s="65">
        <f>H46-G46</f>
        <v>36.783000000001266</v>
      </c>
      <c r="J46" s="65">
        <f>J45+I46</f>
        <v>343.27400000000125</v>
      </c>
      <c r="K46" s="181" t="s">
        <v>137</v>
      </c>
      <c r="L46" s="448"/>
      <c r="M46" s="451"/>
      <c r="N46" s="453"/>
      <c r="O46" s="456"/>
      <c r="P46" s="19">
        <v>3</v>
      </c>
      <c r="Q46" s="292">
        <v>55.542330000001911</v>
      </c>
      <c r="R46" s="8">
        <v>53.9</v>
      </c>
      <c r="S46" s="9">
        <v>2</v>
      </c>
      <c r="T46" s="10">
        <f t="shared" si="115"/>
        <v>1</v>
      </c>
      <c r="U46" s="293">
        <v>203.04216000000699</v>
      </c>
      <c r="V46" s="11">
        <v>190</v>
      </c>
      <c r="W46" s="9">
        <v>2</v>
      </c>
      <c r="X46" s="10">
        <f t="shared" si="116"/>
        <v>1</v>
      </c>
      <c r="Y46" s="293">
        <v>49.289220000001698</v>
      </c>
      <c r="Z46" s="11">
        <v>42</v>
      </c>
      <c r="AA46" s="9">
        <v>2</v>
      </c>
      <c r="AB46" s="12">
        <f>IF(Y46="","",CEILING(Y46/Z46/AA46,0.5)+1)</f>
        <v>2</v>
      </c>
      <c r="AC46" s="293">
        <v>29.426400000001014</v>
      </c>
      <c r="AD46" s="11">
        <v>40</v>
      </c>
      <c r="AE46" s="9">
        <v>2</v>
      </c>
      <c r="AF46" s="10">
        <f>CEILING(AC46/AD46/AE46,0.5)</f>
        <v>0.5</v>
      </c>
      <c r="AG46" s="293">
        <v>13.241880000000457</v>
      </c>
      <c r="AH46" s="11">
        <v>130</v>
      </c>
      <c r="AI46" s="9">
        <v>1</v>
      </c>
      <c r="AJ46" s="12">
        <f>IF(AG46="","",ROUNDUP(AG46/AH46/AI46,0)+1)</f>
        <v>2</v>
      </c>
      <c r="AK46" s="19">
        <f t="shared" si="147"/>
        <v>2</v>
      </c>
      <c r="AL46" s="293">
        <v>41.93262000000145</v>
      </c>
      <c r="AM46" s="11">
        <v>225</v>
      </c>
      <c r="AN46" s="9">
        <v>1</v>
      </c>
      <c r="AO46" s="10">
        <f>CEILING(AL46/AM46/AN46,0.5)</f>
        <v>0.5</v>
      </c>
      <c r="AP46" s="18">
        <f>ROUNDUP(SUM(P46,T46,X46,AB46,AF46,AJ46,AK46,AO46),0)</f>
        <v>12</v>
      </c>
      <c r="AQ46" s="293">
        <v>14.713200000000507</v>
      </c>
      <c r="AR46" s="13">
        <v>40</v>
      </c>
      <c r="AS46" s="9">
        <v>1</v>
      </c>
      <c r="AT46" s="10">
        <f t="shared" si="118"/>
        <v>0.5</v>
      </c>
      <c r="AU46" s="293">
        <v>16.18452000000056</v>
      </c>
      <c r="AV46" s="11">
        <v>130</v>
      </c>
      <c r="AW46" s="9">
        <v>1</v>
      </c>
      <c r="AX46" s="12">
        <f t="shared" si="119"/>
        <v>2</v>
      </c>
      <c r="AY46" s="19">
        <f t="shared" si="150"/>
        <v>5</v>
      </c>
      <c r="AZ46" s="293">
        <v>147.13200000000506</v>
      </c>
      <c r="BA46" s="25">
        <f t="shared" si="6"/>
        <v>220</v>
      </c>
      <c r="BB46" s="9">
        <v>1</v>
      </c>
      <c r="BC46" s="10">
        <f t="shared" si="121"/>
        <v>1</v>
      </c>
      <c r="BD46" s="293">
        <v>55.468764000001912</v>
      </c>
      <c r="BE46" s="13">
        <v>35</v>
      </c>
      <c r="BF46" s="9">
        <v>2</v>
      </c>
      <c r="BG46" s="12">
        <f>IF(BD46="","",2)</f>
        <v>2</v>
      </c>
      <c r="BH46" s="293">
        <v>9.4164480000003241</v>
      </c>
      <c r="BI46" s="14">
        <v>3.4</v>
      </c>
      <c r="BJ46" s="9">
        <v>2</v>
      </c>
      <c r="BK46" s="10">
        <f t="shared" si="122"/>
        <v>1.5</v>
      </c>
      <c r="BL46" s="293">
        <v>50.466276000001741</v>
      </c>
      <c r="BM46" s="11">
        <v>125</v>
      </c>
      <c r="BN46" s="9">
        <v>1</v>
      </c>
      <c r="BO46" s="12">
        <f>IF(BL46="","",ROUNDUP(BL46/BM46/BN46,0)+1)</f>
        <v>2</v>
      </c>
      <c r="BP46" s="19">
        <f t="shared" si="123"/>
        <v>7</v>
      </c>
      <c r="BQ46" s="21">
        <f>ROUNDUP(SUM(AT46,AX46,AY46,BC46,BG46,BK46,BO46,BP46),0)</f>
        <v>21</v>
      </c>
      <c r="BR46" s="293">
        <v>18.170802000000624</v>
      </c>
      <c r="BS46" s="11">
        <v>165</v>
      </c>
      <c r="BT46" s="9">
        <v>1</v>
      </c>
      <c r="BU46" s="10">
        <f>CEILING(BR46/BS46/BT46,0.5)</f>
        <v>0.5</v>
      </c>
      <c r="BV46" s="293">
        <v>24.644610000000849</v>
      </c>
      <c r="BW46" s="11">
        <v>150</v>
      </c>
      <c r="BX46" s="9">
        <v>2</v>
      </c>
      <c r="BY46" s="10">
        <f>CEILING(BV46/BW46/BX46,0.5)</f>
        <v>0.5</v>
      </c>
      <c r="BZ46" s="293">
        <v>150.07464000000516</v>
      </c>
      <c r="CA46" s="13">
        <v>320</v>
      </c>
      <c r="CB46" s="9">
        <v>2</v>
      </c>
      <c r="CC46" s="10">
        <f>CEILING(BZ46/CA46/CB46,0.5)</f>
        <v>0.5</v>
      </c>
      <c r="CD46" s="293">
        <v>450.22392000001548</v>
      </c>
      <c r="CE46" s="13">
        <v>8000</v>
      </c>
      <c r="CF46" s="9">
        <v>1</v>
      </c>
      <c r="CG46" s="10">
        <f>CEILING(CD46/CE46/CF46,0.5)</f>
        <v>0.5</v>
      </c>
      <c r="CH46" s="293">
        <v>300.14928000001032</v>
      </c>
      <c r="CI46" s="13">
        <v>300</v>
      </c>
      <c r="CJ46" s="9">
        <v>2</v>
      </c>
      <c r="CK46" s="10">
        <f>CEILING(CH46/CI46/CJ46,0.5)</f>
        <v>1</v>
      </c>
      <c r="CL46" s="38">
        <f t="shared" si="124"/>
        <v>36.783000000001266</v>
      </c>
      <c r="CM46" s="15">
        <v>50</v>
      </c>
      <c r="CN46" s="9">
        <v>1</v>
      </c>
      <c r="CO46" s="10">
        <f>CEILING(CL46/CM46/CN46,0.5)</f>
        <v>1</v>
      </c>
      <c r="CP46" s="20">
        <f>ROUNDUP(SUM(BU46,BY46,CC46,CG46,CK46,CO46),0)</f>
        <v>4</v>
      </c>
      <c r="CQ46" s="5">
        <f t="shared" si="125"/>
        <v>12</v>
      </c>
      <c r="CR46" s="5">
        <f t="shared" si="126"/>
        <v>21</v>
      </c>
      <c r="CS46" s="5">
        <f>CP46</f>
        <v>4</v>
      </c>
      <c r="CT46" s="5">
        <f>SUM(CQ46:CS46)</f>
        <v>37</v>
      </c>
      <c r="CY46" s="40"/>
      <c r="DF46" s="40"/>
    </row>
    <row r="47" spans="1:110" s="6" customFormat="1" ht="17.25" customHeight="1">
      <c r="A47" s="40"/>
      <c r="B47" s="223">
        <v>35</v>
      </c>
      <c r="C47" s="289" t="s">
        <v>139</v>
      </c>
      <c r="D47" s="289" t="s">
        <v>81</v>
      </c>
      <c r="E47" s="223" t="s">
        <v>18</v>
      </c>
      <c r="F47" s="224"/>
      <c r="G47" s="290">
        <v>9330.5470000000005</v>
      </c>
      <c r="H47" s="290">
        <v>9414.4670000000006</v>
      </c>
      <c r="I47" s="227">
        <f t="shared" ref="I47" si="164">H47-G47</f>
        <v>83.920000000000073</v>
      </c>
      <c r="J47" s="227">
        <f t="shared" ref="J47:J49" si="165">J46+I47</f>
        <v>427.19400000000132</v>
      </c>
      <c r="K47" s="228" t="s">
        <v>140</v>
      </c>
      <c r="L47" s="448"/>
      <c r="M47" s="451"/>
      <c r="N47" s="453"/>
      <c r="O47" s="456"/>
      <c r="P47" s="19">
        <v>3</v>
      </c>
      <c r="Q47" s="292">
        <v>50.352000000000039</v>
      </c>
      <c r="R47" s="8">
        <v>53.9</v>
      </c>
      <c r="S47" s="9">
        <v>2</v>
      </c>
      <c r="T47" s="10">
        <f t="shared" si="115"/>
        <v>0.5</v>
      </c>
      <c r="U47" s="122"/>
      <c r="V47" s="11">
        <v>190</v>
      </c>
      <c r="W47" s="9">
        <v>2</v>
      </c>
      <c r="X47" s="10">
        <f t="shared" si="116"/>
        <v>0</v>
      </c>
      <c r="Y47" s="394" t="s">
        <v>49</v>
      </c>
      <c r="Z47" s="394"/>
      <c r="AA47" s="394"/>
      <c r="AB47" s="394"/>
      <c r="AC47" s="94">
        <f>I47*2</f>
        <v>167.84000000000015</v>
      </c>
      <c r="AD47" s="25">
        <v>20</v>
      </c>
      <c r="AE47" s="9">
        <v>2</v>
      </c>
      <c r="AF47" s="10">
        <f t="shared" ref="AF47" si="166">CEILING(AC47/AD47/AE47,0.5)</f>
        <v>4.5</v>
      </c>
      <c r="AG47" s="122"/>
      <c r="AH47" s="11"/>
      <c r="AI47" s="9"/>
      <c r="AJ47" s="12"/>
      <c r="AK47" s="19"/>
      <c r="AL47" s="122"/>
      <c r="AM47" s="11">
        <v>225</v>
      </c>
      <c r="AN47" s="9">
        <v>1</v>
      </c>
      <c r="AO47" s="10">
        <f t="shared" ref="AO47" si="167">ROUND(AL47/AM47/AN47,0)</f>
        <v>0</v>
      </c>
      <c r="AP47" s="18">
        <f>ROUNDUP(SUM(T47,X47,AF47,AJ47,AK47,AO47,P47),0)</f>
        <v>8</v>
      </c>
      <c r="AQ47" s="122"/>
      <c r="AR47" s="13">
        <v>40</v>
      </c>
      <c r="AS47" s="9">
        <v>1</v>
      </c>
      <c r="AT47" s="10">
        <f t="shared" si="118"/>
        <v>0</v>
      </c>
      <c r="AU47" s="122"/>
      <c r="AV47" s="11">
        <v>130</v>
      </c>
      <c r="AW47" s="9">
        <v>1</v>
      </c>
      <c r="AX47" s="12" t="str">
        <f t="shared" si="119"/>
        <v/>
      </c>
      <c r="AY47" s="19"/>
      <c r="AZ47" s="293">
        <v>335.68000000000029</v>
      </c>
      <c r="BA47" s="25">
        <f t="shared" si="6"/>
        <v>220</v>
      </c>
      <c r="BB47" s="9">
        <v>1</v>
      </c>
      <c r="BC47" s="10">
        <f t="shared" si="121"/>
        <v>2</v>
      </c>
      <c r="BD47" s="293">
        <v>126.55136000000012</v>
      </c>
      <c r="BE47" s="13">
        <v>35</v>
      </c>
      <c r="BF47" s="9">
        <v>2</v>
      </c>
      <c r="BG47" s="12">
        <f t="shared" ref="BG47" si="168">IF(BD47="","",2)</f>
        <v>2</v>
      </c>
      <c r="BH47" s="293">
        <v>21.48352000000002</v>
      </c>
      <c r="BI47" s="14">
        <v>3.4</v>
      </c>
      <c r="BJ47" s="9">
        <v>2</v>
      </c>
      <c r="BK47" s="10">
        <f t="shared" si="122"/>
        <v>3.5</v>
      </c>
      <c r="BL47" s="293">
        <v>115.13824000000011</v>
      </c>
      <c r="BM47" s="11">
        <v>125</v>
      </c>
      <c r="BN47" s="9">
        <v>1</v>
      </c>
      <c r="BO47" s="12">
        <f t="shared" ref="BO47" si="169">IF(BL47="","",ROUNDUP(BL47/BM47/BN47,0)+1)</f>
        <v>2</v>
      </c>
      <c r="BP47" s="19">
        <f t="shared" si="123"/>
        <v>7</v>
      </c>
      <c r="BQ47" s="21">
        <f t="shared" ref="BQ47" si="170">ROUNDUP(SUM(AT47,AX47,AY47,BC47,BG47,BK47,BO47,BP47),0)</f>
        <v>17</v>
      </c>
      <c r="BR47" s="123"/>
      <c r="BS47" s="11">
        <v>165</v>
      </c>
      <c r="BT47" s="9">
        <v>1</v>
      </c>
      <c r="BU47" s="10">
        <f t="shared" ref="BU47" si="171">CEILING(BR47/BS47/BT47,0.5)</f>
        <v>0</v>
      </c>
      <c r="BV47" s="293">
        <v>15.357360000000012</v>
      </c>
      <c r="BW47" s="11">
        <v>150</v>
      </c>
      <c r="BX47" s="9">
        <v>2</v>
      </c>
      <c r="BY47" s="10">
        <f t="shared" ref="BY47" si="172">CEILING(BV47/BW47/BX47,0.5)</f>
        <v>0.5</v>
      </c>
      <c r="BZ47" s="293">
        <v>130.91520000000011</v>
      </c>
      <c r="CA47" s="13">
        <v>320</v>
      </c>
      <c r="CB47" s="9">
        <v>2</v>
      </c>
      <c r="CC47" s="10">
        <f t="shared" ref="CC47" si="173">CEILING(BZ47/CA47/CB47,0.5)</f>
        <v>0.5</v>
      </c>
      <c r="CD47" s="293">
        <v>392.74560000000031</v>
      </c>
      <c r="CE47" s="13">
        <v>8000</v>
      </c>
      <c r="CF47" s="9">
        <v>1</v>
      </c>
      <c r="CG47" s="10">
        <f t="shared" ref="CG47" si="174">CEILING(CD47/CE47/CF47,0.5)</f>
        <v>0.5</v>
      </c>
      <c r="CH47" s="293">
        <v>261.83040000000022</v>
      </c>
      <c r="CI47" s="13">
        <v>300</v>
      </c>
      <c r="CJ47" s="9">
        <v>2</v>
      </c>
      <c r="CK47" s="10">
        <f t="shared" ref="CK47" si="175">CEILING(CH47/CI47/CJ47,0.5)</f>
        <v>0.5</v>
      </c>
      <c r="CL47" s="38">
        <f t="shared" si="124"/>
        <v>83.920000000000073</v>
      </c>
      <c r="CM47" s="15">
        <v>50</v>
      </c>
      <c r="CN47" s="9">
        <v>1</v>
      </c>
      <c r="CO47" s="10">
        <f t="shared" ref="CO47" si="176">CEILING(CL47/CM47/CN47,0.5)</f>
        <v>2</v>
      </c>
      <c r="CP47" s="20">
        <f t="shared" ref="CP47" si="177">ROUNDUP(SUM(BU47,BY47,CC47,CG47,CK47,CO47),0)</f>
        <v>4</v>
      </c>
      <c r="CQ47" s="5">
        <f t="shared" si="125"/>
        <v>8</v>
      </c>
      <c r="CR47" s="5">
        <f t="shared" si="126"/>
        <v>17</v>
      </c>
      <c r="CS47" s="5">
        <f t="shared" ref="CS47" si="178">CP47</f>
        <v>4</v>
      </c>
      <c r="CT47" s="5">
        <f t="shared" ref="CT47" si="179">SUM(CQ47:CS47)</f>
        <v>29</v>
      </c>
      <c r="CW47" s="6">
        <f>18.4*8.5</f>
        <v>156.39999999999998</v>
      </c>
      <c r="CY47" s="40"/>
      <c r="DF47" s="40"/>
    </row>
    <row r="48" spans="1:110" s="6" customFormat="1" ht="17.25" customHeight="1">
      <c r="A48" s="40"/>
      <c r="B48" s="221">
        <v>36</v>
      </c>
      <c r="C48" s="221" t="s">
        <v>141</v>
      </c>
      <c r="D48" s="291" t="s">
        <v>81</v>
      </c>
      <c r="E48" s="221" t="s">
        <v>18</v>
      </c>
      <c r="F48" s="93"/>
      <c r="G48" s="288">
        <v>9414.4670000000006</v>
      </c>
      <c r="H48" s="288">
        <v>9542.0750000000007</v>
      </c>
      <c r="I48" s="65">
        <f t="shared" ref="I48:I54" si="180">H48-G48</f>
        <v>127.60800000000017</v>
      </c>
      <c r="J48" s="65">
        <f t="shared" si="165"/>
        <v>554.8020000000015</v>
      </c>
      <c r="K48" s="181" t="s">
        <v>137</v>
      </c>
      <c r="L48" s="448"/>
      <c r="M48" s="451"/>
      <c r="N48" s="453"/>
      <c r="O48" s="456"/>
      <c r="P48" s="19">
        <v>3</v>
      </c>
      <c r="Q48" s="292">
        <v>194.55936000000037</v>
      </c>
      <c r="R48" s="8">
        <v>53.9</v>
      </c>
      <c r="S48" s="9">
        <v>2</v>
      </c>
      <c r="T48" s="10">
        <f t="shared" si="115"/>
        <v>2</v>
      </c>
      <c r="U48" s="292">
        <v>709.20431000000121</v>
      </c>
      <c r="V48" s="11">
        <v>190</v>
      </c>
      <c r="W48" s="9">
        <v>2</v>
      </c>
      <c r="X48" s="10">
        <f t="shared" si="116"/>
        <v>2</v>
      </c>
      <c r="Y48" s="292">
        <v>170.99472000000023</v>
      </c>
      <c r="Z48" s="11">
        <v>42</v>
      </c>
      <c r="AA48" s="9">
        <v>2</v>
      </c>
      <c r="AB48" s="12">
        <f t="shared" ref="AB48:AB54" si="181">IF(Y48="","",CEILING(Y48/Z48/AA48,0.5)+1)</f>
        <v>3.5</v>
      </c>
      <c r="AC48" s="292">
        <v>102.08640000000014</v>
      </c>
      <c r="AD48" s="11">
        <v>40</v>
      </c>
      <c r="AE48" s="9">
        <v>2</v>
      </c>
      <c r="AF48" s="10">
        <f t="shared" ref="AF48:AF54" si="182">CEILING(AC48/AD48/AE48,0.5)</f>
        <v>1.5</v>
      </c>
      <c r="AG48" s="292">
        <v>45.938880000000069</v>
      </c>
      <c r="AH48" s="11">
        <v>130</v>
      </c>
      <c r="AI48" s="9">
        <v>1</v>
      </c>
      <c r="AJ48" s="12">
        <f t="shared" ref="AJ48:AJ54" si="183">IF(AG48="","",ROUNDUP(AG48/AH48/AI48,0)+1)</f>
        <v>2</v>
      </c>
      <c r="AK48" s="19">
        <f t="shared" ref="AK48:AK54" si="184">IF(E48="보통",2,IF(E48="조강",1,""))</f>
        <v>2</v>
      </c>
      <c r="AL48" s="292">
        <v>147.44836000000035</v>
      </c>
      <c r="AM48" s="11">
        <v>225</v>
      </c>
      <c r="AN48" s="9">
        <v>1</v>
      </c>
      <c r="AO48" s="10">
        <f t="shared" ref="AO48:AO54" si="185">CEILING(AL48/AM48/AN48,0.5)</f>
        <v>1</v>
      </c>
      <c r="AP48" s="18">
        <f t="shared" ref="AP48:AP54" si="186">ROUNDUP(SUM(P48,T48,X48,AB48,AF48,AJ48,AK48,AO48),0)</f>
        <v>17</v>
      </c>
      <c r="AQ48" s="292">
        <v>51.04320000000007</v>
      </c>
      <c r="AR48" s="13">
        <v>40</v>
      </c>
      <c r="AS48" s="9">
        <v>1</v>
      </c>
      <c r="AT48" s="10">
        <f t="shared" si="118"/>
        <v>1.5</v>
      </c>
      <c r="AU48" s="292">
        <v>56.147520000000085</v>
      </c>
      <c r="AV48" s="11">
        <v>130</v>
      </c>
      <c r="AW48" s="9">
        <v>1</v>
      </c>
      <c r="AX48" s="12">
        <f t="shared" si="119"/>
        <v>2</v>
      </c>
      <c r="AY48" s="19">
        <f t="shared" ref="AY48:AY54" si="187">IF(E48="보통",5,IF(E48="조강",2,""))</f>
        <v>5</v>
      </c>
      <c r="AZ48" s="292">
        <v>510.4320000000007</v>
      </c>
      <c r="BA48" s="25">
        <f t="shared" si="6"/>
        <v>220</v>
      </c>
      <c r="BB48" s="9">
        <v>1</v>
      </c>
      <c r="BC48" s="10">
        <f t="shared" si="121"/>
        <v>2.5</v>
      </c>
      <c r="BD48" s="292">
        <v>192.43286400000025</v>
      </c>
      <c r="BE48" s="13">
        <v>35</v>
      </c>
      <c r="BF48" s="9">
        <v>2</v>
      </c>
      <c r="BG48" s="12">
        <f t="shared" ref="BG48:BG54" si="188">IF(BD48="","",2)</f>
        <v>2</v>
      </c>
      <c r="BH48" s="292">
        <v>32.667648000000042</v>
      </c>
      <c r="BI48" s="14">
        <v>3.4</v>
      </c>
      <c r="BJ48" s="9">
        <v>2</v>
      </c>
      <c r="BK48" s="10">
        <f t="shared" si="122"/>
        <v>5</v>
      </c>
      <c r="BL48" s="292">
        <v>175.07817600000024</v>
      </c>
      <c r="BM48" s="11">
        <v>125</v>
      </c>
      <c r="BN48" s="9">
        <v>1</v>
      </c>
      <c r="BO48" s="12">
        <f t="shared" ref="BO48:BO54" si="189">IF(BL48="","",ROUNDUP(BL48/BM48/BN48,0)+1)</f>
        <v>3</v>
      </c>
      <c r="BP48" s="19">
        <f t="shared" si="123"/>
        <v>7</v>
      </c>
      <c r="BQ48" s="21">
        <f t="shared" ref="BQ48:BQ54" si="190">ROUNDUP(SUM(AT48,AX48,AY48,BC48,BG48,BK48,BO48,BP48),0)</f>
        <v>28</v>
      </c>
      <c r="BR48" s="292">
        <v>64.194907000000157</v>
      </c>
      <c r="BS48" s="11">
        <v>165</v>
      </c>
      <c r="BT48" s="9">
        <v>1</v>
      </c>
      <c r="BU48" s="10">
        <f t="shared" ref="BU48:BU54" si="191">CEILING(BR48/BS48/BT48,0.5)</f>
        <v>0.5</v>
      </c>
      <c r="BV48" s="292">
        <v>87.176314000000218</v>
      </c>
      <c r="BW48" s="11">
        <v>150</v>
      </c>
      <c r="BX48" s="9">
        <v>2</v>
      </c>
      <c r="BY48" s="10">
        <f t="shared" ref="BY48:BY54" si="192">CEILING(BV48/BW48/BX48,0.5)</f>
        <v>0.5</v>
      </c>
      <c r="BZ48" s="292">
        <v>530.51684000000137</v>
      </c>
      <c r="CA48" s="13">
        <v>320</v>
      </c>
      <c r="CB48" s="9">
        <v>2</v>
      </c>
      <c r="CC48" s="10">
        <f t="shared" ref="CC48:CC54" si="193">CEILING(BZ48/CA48/CB48,0.5)</f>
        <v>1</v>
      </c>
      <c r="CD48" s="292">
        <v>1591.5505200000039</v>
      </c>
      <c r="CE48" s="13">
        <v>8000</v>
      </c>
      <c r="CF48" s="9">
        <v>1</v>
      </c>
      <c r="CG48" s="10">
        <f t="shared" ref="CG48:CG54" si="194">CEILING(CD48/CE48/CF48,0.5)</f>
        <v>0.5</v>
      </c>
      <c r="CH48" s="292">
        <v>1061.0336800000027</v>
      </c>
      <c r="CI48" s="13">
        <v>300</v>
      </c>
      <c r="CJ48" s="9">
        <v>2</v>
      </c>
      <c r="CK48" s="10">
        <f t="shared" ref="CK48:CK54" si="195">CEILING(CH48/CI48/CJ48,0.5)</f>
        <v>2</v>
      </c>
      <c r="CL48" s="38">
        <f t="shared" si="124"/>
        <v>127.60800000000017</v>
      </c>
      <c r="CM48" s="15">
        <v>50</v>
      </c>
      <c r="CN48" s="9">
        <v>1</v>
      </c>
      <c r="CO48" s="10">
        <f t="shared" ref="CO48:CO54" si="196">CEILING(CL48/CM48/CN48,0.5)</f>
        <v>3</v>
      </c>
      <c r="CP48" s="20">
        <f t="shared" ref="CP48:CP54" si="197">ROUNDUP(SUM(BU48,BY48,CC48,CG48,CK48,CO48),0)</f>
        <v>8</v>
      </c>
      <c r="CQ48" s="5">
        <f t="shared" si="125"/>
        <v>17</v>
      </c>
      <c r="CR48" s="5">
        <f t="shared" si="126"/>
        <v>28</v>
      </c>
      <c r="CS48" s="5">
        <f t="shared" ref="CS48:CS54" si="198">CP48</f>
        <v>8</v>
      </c>
      <c r="CT48" s="5">
        <f t="shared" ref="CT48:CT54" si="199">SUM(CQ48:CS48)</f>
        <v>53</v>
      </c>
      <c r="CY48" s="40"/>
      <c r="DF48" s="40"/>
    </row>
    <row r="49" spans="1:110" s="6" customFormat="1" ht="17.25" customHeight="1" thickBot="1">
      <c r="A49" s="40"/>
      <c r="B49" s="45">
        <v>37</v>
      </c>
      <c r="C49" s="45" t="s">
        <v>142</v>
      </c>
      <c r="D49" s="297" t="s">
        <v>81</v>
      </c>
      <c r="E49" s="45" t="s">
        <v>18</v>
      </c>
      <c r="F49" s="383" t="s">
        <v>212</v>
      </c>
      <c r="G49" s="298">
        <v>9582.1790000000001</v>
      </c>
      <c r="H49" s="298">
        <v>9744.6540000000005</v>
      </c>
      <c r="I49" s="195">
        <f t="shared" si="180"/>
        <v>162.47500000000036</v>
      </c>
      <c r="J49" s="195">
        <f t="shared" si="165"/>
        <v>717.27700000000186</v>
      </c>
      <c r="K49" s="132" t="s">
        <v>143</v>
      </c>
      <c r="L49" s="449"/>
      <c r="M49" s="440"/>
      <c r="N49" s="454"/>
      <c r="O49" s="457"/>
      <c r="P49" s="77">
        <v>3</v>
      </c>
      <c r="Q49" s="301">
        <v>322.54645000000096</v>
      </c>
      <c r="R49" s="44">
        <v>53.9</v>
      </c>
      <c r="S49" s="43">
        <v>2</v>
      </c>
      <c r="T49" s="42">
        <f t="shared" si="115"/>
        <v>3</v>
      </c>
      <c r="U49" s="301">
        <v>1149.246750000003</v>
      </c>
      <c r="V49" s="41">
        <v>190</v>
      </c>
      <c r="W49" s="43">
        <v>2</v>
      </c>
      <c r="X49" s="42">
        <f t="shared" si="116"/>
        <v>3.5</v>
      </c>
      <c r="Y49" s="301">
        <v>217.71650000000051</v>
      </c>
      <c r="Z49" s="41">
        <v>42</v>
      </c>
      <c r="AA49" s="43">
        <v>2</v>
      </c>
      <c r="AB49" s="75">
        <f t="shared" si="181"/>
        <v>4</v>
      </c>
      <c r="AC49" s="301">
        <v>129.9800000000003</v>
      </c>
      <c r="AD49" s="41">
        <v>40</v>
      </c>
      <c r="AE49" s="43">
        <v>2</v>
      </c>
      <c r="AF49" s="42">
        <f t="shared" si="182"/>
        <v>2</v>
      </c>
      <c r="AG49" s="301">
        <v>58.491000000000142</v>
      </c>
      <c r="AH49" s="41">
        <v>130</v>
      </c>
      <c r="AI49" s="43">
        <v>1</v>
      </c>
      <c r="AJ49" s="75">
        <f t="shared" si="183"/>
        <v>2</v>
      </c>
      <c r="AK49" s="77">
        <f t="shared" si="184"/>
        <v>2</v>
      </c>
      <c r="AL49" s="301">
        <v>231.52010000000087</v>
      </c>
      <c r="AM49" s="41">
        <v>225</v>
      </c>
      <c r="AN49" s="43">
        <v>1</v>
      </c>
      <c r="AO49" s="42">
        <f t="shared" si="185"/>
        <v>1.5</v>
      </c>
      <c r="AP49" s="74">
        <f t="shared" si="186"/>
        <v>21</v>
      </c>
      <c r="AQ49" s="301">
        <v>64.990000000000151</v>
      </c>
      <c r="AR49" s="73">
        <v>40</v>
      </c>
      <c r="AS49" s="43">
        <v>1</v>
      </c>
      <c r="AT49" s="42">
        <f t="shared" si="118"/>
        <v>2</v>
      </c>
      <c r="AU49" s="301">
        <v>71.489000000000175</v>
      </c>
      <c r="AV49" s="41">
        <v>130</v>
      </c>
      <c r="AW49" s="43">
        <v>1</v>
      </c>
      <c r="AX49" s="75">
        <f t="shared" si="119"/>
        <v>2</v>
      </c>
      <c r="AY49" s="77">
        <f t="shared" si="187"/>
        <v>5</v>
      </c>
      <c r="AZ49" s="301">
        <v>649.90000000000146</v>
      </c>
      <c r="BA49" s="76">
        <f t="shared" si="6"/>
        <v>220</v>
      </c>
      <c r="BB49" s="43">
        <v>1</v>
      </c>
      <c r="BC49" s="42">
        <f t="shared" si="121"/>
        <v>3</v>
      </c>
      <c r="BD49" s="301">
        <v>245.01230000000055</v>
      </c>
      <c r="BE49" s="73">
        <v>35</v>
      </c>
      <c r="BF49" s="43">
        <v>2</v>
      </c>
      <c r="BG49" s="75">
        <f t="shared" si="188"/>
        <v>2</v>
      </c>
      <c r="BH49" s="301">
        <v>41.593600000000094</v>
      </c>
      <c r="BI49" s="72">
        <v>3.4</v>
      </c>
      <c r="BJ49" s="43">
        <v>2</v>
      </c>
      <c r="BK49" s="42">
        <f t="shared" si="122"/>
        <v>6.5</v>
      </c>
      <c r="BL49" s="301">
        <v>222.9157000000005</v>
      </c>
      <c r="BM49" s="41">
        <v>125</v>
      </c>
      <c r="BN49" s="43">
        <v>1</v>
      </c>
      <c r="BO49" s="75">
        <f t="shared" si="189"/>
        <v>3</v>
      </c>
      <c r="BP49" s="77">
        <f t="shared" si="123"/>
        <v>7</v>
      </c>
      <c r="BQ49" s="71">
        <f t="shared" si="190"/>
        <v>31</v>
      </c>
      <c r="BR49" s="301">
        <v>115.14222500000044</v>
      </c>
      <c r="BS49" s="41">
        <v>165</v>
      </c>
      <c r="BT49" s="43">
        <v>1</v>
      </c>
      <c r="BU49" s="42">
        <f t="shared" si="191"/>
        <v>1</v>
      </c>
      <c r="BV49" s="301">
        <v>148.2120600000006</v>
      </c>
      <c r="BW49" s="41">
        <v>150</v>
      </c>
      <c r="BX49" s="43">
        <v>2</v>
      </c>
      <c r="BY49" s="42">
        <f t="shared" si="192"/>
        <v>0.5</v>
      </c>
      <c r="BZ49" s="301">
        <v>894.39100000000371</v>
      </c>
      <c r="CA49" s="73">
        <v>320</v>
      </c>
      <c r="CB49" s="43">
        <v>2</v>
      </c>
      <c r="CC49" s="42">
        <f t="shared" si="193"/>
        <v>1.5</v>
      </c>
      <c r="CD49" s="301">
        <v>2683.1730000000111</v>
      </c>
      <c r="CE49" s="73">
        <v>8000</v>
      </c>
      <c r="CF49" s="43">
        <v>1</v>
      </c>
      <c r="CG49" s="42">
        <f t="shared" si="194"/>
        <v>0.5</v>
      </c>
      <c r="CH49" s="301">
        <v>1788.7820000000074</v>
      </c>
      <c r="CI49" s="73">
        <v>300</v>
      </c>
      <c r="CJ49" s="43">
        <v>2</v>
      </c>
      <c r="CK49" s="42">
        <f t="shared" si="195"/>
        <v>3</v>
      </c>
      <c r="CL49" s="70">
        <f t="shared" si="124"/>
        <v>162.47500000000036</v>
      </c>
      <c r="CM49" s="69">
        <v>50</v>
      </c>
      <c r="CN49" s="43">
        <v>1</v>
      </c>
      <c r="CO49" s="42">
        <f t="shared" si="196"/>
        <v>3.5</v>
      </c>
      <c r="CP49" s="68">
        <f t="shared" si="197"/>
        <v>10</v>
      </c>
      <c r="CQ49" s="4">
        <f t="shared" si="125"/>
        <v>21</v>
      </c>
      <c r="CR49" s="4">
        <f t="shared" si="126"/>
        <v>31</v>
      </c>
      <c r="CS49" s="4">
        <f t="shared" si="198"/>
        <v>10</v>
      </c>
      <c r="CT49" s="4">
        <f t="shared" si="199"/>
        <v>62</v>
      </c>
      <c r="CY49" s="40"/>
      <c r="DF49" s="40"/>
    </row>
    <row r="50" spans="1:110" s="6" customFormat="1" ht="17.25" customHeight="1">
      <c r="A50" s="40"/>
      <c r="B50" s="180">
        <v>38</v>
      </c>
      <c r="C50" s="303" t="s">
        <v>145</v>
      </c>
      <c r="D50" s="303" t="s">
        <v>81</v>
      </c>
      <c r="E50" s="180" t="s">
        <v>18</v>
      </c>
      <c r="F50" s="179"/>
      <c r="G50" s="295">
        <v>9802.1389999999992</v>
      </c>
      <c r="H50" s="295">
        <v>10152.303</v>
      </c>
      <c r="I50" s="178">
        <f t="shared" si="180"/>
        <v>350.16400000000067</v>
      </c>
      <c r="J50" s="178">
        <f>I50</f>
        <v>350.16400000000067</v>
      </c>
      <c r="K50" s="177" t="s">
        <v>137</v>
      </c>
      <c r="L50" s="395" t="s">
        <v>149</v>
      </c>
      <c r="M50" s="398">
        <f>SUM(I50:I52)</f>
        <v>859.96999999999935</v>
      </c>
      <c r="N50" s="401">
        <f>SUM(CQ50:CQ52,CR50:CS50)/18.4</f>
        <v>7.9347826086956532</v>
      </c>
      <c r="O50" s="404">
        <v>21</v>
      </c>
      <c r="P50" s="191">
        <v>3</v>
      </c>
      <c r="Q50" s="304">
        <v>528.74764000000107</v>
      </c>
      <c r="R50" s="176">
        <v>53.9</v>
      </c>
      <c r="S50" s="175">
        <v>2</v>
      </c>
      <c r="T50" s="174">
        <f t="shared" si="115"/>
        <v>5</v>
      </c>
      <c r="U50" s="305">
        <v>1932.9052800000038</v>
      </c>
      <c r="V50" s="173">
        <v>190</v>
      </c>
      <c r="W50" s="175">
        <v>2</v>
      </c>
      <c r="X50" s="174">
        <f t="shared" si="116"/>
        <v>5.5</v>
      </c>
      <c r="Y50" s="305">
        <v>469.21976000000092</v>
      </c>
      <c r="Z50" s="173">
        <v>42</v>
      </c>
      <c r="AA50" s="175">
        <v>2</v>
      </c>
      <c r="AB50" s="172">
        <f t="shared" si="181"/>
        <v>7</v>
      </c>
      <c r="AC50" s="305">
        <v>280.13120000000055</v>
      </c>
      <c r="AD50" s="173">
        <v>40</v>
      </c>
      <c r="AE50" s="175">
        <v>2</v>
      </c>
      <c r="AF50" s="174">
        <f t="shared" si="182"/>
        <v>4</v>
      </c>
      <c r="AG50" s="305">
        <v>126.05904000000025</v>
      </c>
      <c r="AH50" s="173">
        <v>130</v>
      </c>
      <c r="AI50" s="175">
        <v>1</v>
      </c>
      <c r="AJ50" s="172">
        <f t="shared" si="183"/>
        <v>2</v>
      </c>
      <c r="AK50" s="191">
        <f t="shared" si="184"/>
        <v>2</v>
      </c>
      <c r="AL50" s="305">
        <v>399.18696000000079</v>
      </c>
      <c r="AM50" s="173">
        <v>225</v>
      </c>
      <c r="AN50" s="175">
        <v>1</v>
      </c>
      <c r="AO50" s="174">
        <f t="shared" si="185"/>
        <v>2</v>
      </c>
      <c r="AP50" s="171">
        <f t="shared" si="186"/>
        <v>31</v>
      </c>
      <c r="AQ50" s="305">
        <v>140.06560000000027</v>
      </c>
      <c r="AR50" s="170">
        <v>40</v>
      </c>
      <c r="AS50" s="175">
        <v>1</v>
      </c>
      <c r="AT50" s="174">
        <f t="shared" si="118"/>
        <v>4</v>
      </c>
      <c r="AU50" s="305">
        <v>154.07216000000031</v>
      </c>
      <c r="AV50" s="173">
        <v>130</v>
      </c>
      <c r="AW50" s="175">
        <v>1</v>
      </c>
      <c r="AX50" s="172">
        <f t="shared" si="119"/>
        <v>3</v>
      </c>
      <c r="AY50" s="191">
        <f t="shared" si="187"/>
        <v>5</v>
      </c>
      <c r="AZ50" s="305">
        <v>1400.6560000000027</v>
      </c>
      <c r="BA50" s="169">
        <f t="shared" si="6"/>
        <v>220</v>
      </c>
      <c r="BB50" s="175">
        <v>1</v>
      </c>
      <c r="BC50" s="174">
        <f t="shared" si="121"/>
        <v>6.5</v>
      </c>
      <c r="BD50" s="305">
        <v>528.04731200000106</v>
      </c>
      <c r="BE50" s="170">
        <v>35</v>
      </c>
      <c r="BF50" s="175">
        <v>2</v>
      </c>
      <c r="BG50" s="172">
        <f t="shared" si="188"/>
        <v>2</v>
      </c>
      <c r="BH50" s="305">
        <v>89.641984000000178</v>
      </c>
      <c r="BI50" s="168">
        <v>3.4</v>
      </c>
      <c r="BJ50" s="175">
        <v>2</v>
      </c>
      <c r="BK50" s="174">
        <f t="shared" si="122"/>
        <v>13.5</v>
      </c>
      <c r="BL50" s="305">
        <v>480.42500800000096</v>
      </c>
      <c r="BM50" s="173">
        <v>125</v>
      </c>
      <c r="BN50" s="175">
        <v>1</v>
      </c>
      <c r="BO50" s="172">
        <f t="shared" si="189"/>
        <v>5</v>
      </c>
      <c r="BP50" s="191">
        <f t="shared" si="123"/>
        <v>7</v>
      </c>
      <c r="BQ50" s="167">
        <f t="shared" si="190"/>
        <v>46</v>
      </c>
      <c r="BR50" s="305">
        <v>172.98101600000032</v>
      </c>
      <c r="BS50" s="173">
        <v>165</v>
      </c>
      <c r="BT50" s="175">
        <v>1</v>
      </c>
      <c r="BU50" s="174">
        <f t="shared" si="191"/>
        <v>1.5</v>
      </c>
      <c r="BV50" s="305">
        <v>234.60988000000046</v>
      </c>
      <c r="BW50" s="173">
        <v>150</v>
      </c>
      <c r="BX50" s="175">
        <v>2</v>
      </c>
      <c r="BY50" s="174">
        <f t="shared" si="192"/>
        <v>1</v>
      </c>
      <c r="BZ50" s="305">
        <v>1428.6691200000027</v>
      </c>
      <c r="CA50" s="170">
        <v>320</v>
      </c>
      <c r="CB50" s="175">
        <v>2</v>
      </c>
      <c r="CC50" s="174">
        <f t="shared" si="193"/>
        <v>2.5</v>
      </c>
      <c r="CD50" s="305">
        <v>4286.0073600000087</v>
      </c>
      <c r="CE50" s="170">
        <v>8000</v>
      </c>
      <c r="CF50" s="175">
        <v>1</v>
      </c>
      <c r="CG50" s="174">
        <f t="shared" si="194"/>
        <v>1</v>
      </c>
      <c r="CH50" s="305">
        <v>2857.3382400000055</v>
      </c>
      <c r="CI50" s="170">
        <v>300</v>
      </c>
      <c r="CJ50" s="175">
        <v>2</v>
      </c>
      <c r="CK50" s="174">
        <f t="shared" si="195"/>
        <v>5</v>
      </c>
      <c r="CL50" s="166">
        <f t="shared" si="124"/>
        <v>350.16400000000067</v>
      </c>
      <c r="CM50" s="165">
        <v>50</v>
      </c>
      <c r="CN50" s="175">
        <v>1</v>
      </c>
      <c r="CO50" s="174">
        <f t="shared" si="196"/>
        <v>7.5</v>
      </c>
      <c r="CP50" s="164">
        <f t="shared" si="197"/>
        <v>19</v>
      </c>
      <c r="CQ50" s="163">
        <f t="shared" si="125"/>
        <v>31</v>
      </c>
      <c r="CR50" s="163">
        <f t="shared" si="126"/>
        <v>46</v>
      </c>
      <c r="CS50" s="163">
        <f t="shared" si="198"/>
        <v>19</v>
      </c>
      <c r="CT50" s="163">
        <f t="shared" si="199"/>
        <v>96</v>
      </c>
      <c r="CY50" s="40"/>
      <c r="DF50" s="40"/>
    </row>
    <row r="51" spans="1:110" s="6" customFormat="1" ht="17.25" customHeight="1">
      <c r="A51" s="40"/>
      <c r="B51" s="252">
        <v>39</v>
      </c>
      <c r="C51" s="299" t="s">
        <v>146</v>
      </c>
      <c r="D51" s="299" t="s">
        <v>81</v>
      </c>
      <c r="E51" s="252" t="s">
        <v>18</v>
      </c>
      <c r="F51" s="93"/>
      <c r="G51" s="296">
        <v>10205.054</v>
      </c>
      <c r="H51" s="296">
        <v>10512.868</v>
      </c>
      <c r="I51" s="65">
        <f t="shared" si="180"/>
        <v>307.81400000000031</v>
      </c>
      <c r="J51" s="65">
        <f>J50+I51</f>
        <v>657.97800000000097</v>
      </c>
      <c r="K51" s="181" t="s">
        <v>137</v>
      </c>
      <c r="L51" s="396"/>
      <c r="M51" s="399"/>
      <c r="N51" s="402"/>
      <c r="O51" s="405"/>
      <c r="P51" s="19">
        <v>3</v>
      </c>
      <c r="Q51" s="300">
        <v>464.79914000000048</v>
      </c>
      <c r="R51" s="8">
        <v>53.9</v>
      </c>
      <c r="S51" s="9">
        <v>2</v>
      </c>
      <c r="T51" s="10">
        <f t="shared" si="115"/>
        <v>4.5</v>
      </c>
      <c r="U51" s="302">
        <v>1699.1332800000018</v>
      </c>
      <c r="V51" s="11">
        <v>190</v>
      </c>
      <c r="W51" s="9">
        <v>2</v>
      </c>
      <c r="X51" s="10">
        <f t="shared" si="116"/>
        <v>4.5</v>
      </c>
      <c r="Y51" s="302">
        <v>412.47076000000044</v>
      </c>
      <c r="Z51" s="11">
        <v>42</v>
      </c>
      <c r="AA51" s="9">
        <v>2</v>
      </c>
      <c r="AB51" s="12">
        <f t="shared" si="181"/>
        <v>6</v>
      </c>
      <c r="AC51" s="302">
        <v>246.25120000000027</v>
      </c>
      <c r="AD51" s="11">
        <v>40</v>
      </c>
      <c r="AE51" s="9">
        <v>2</v>
      </c>
      <c r="AF51" s="10">
        <f t="shared" si="182"/>
        <v>3.5</v>
      </c>
      <c r="AG51" s="302">
        <v>110.81304000000013</v>
      </c>
      <c r="AH51" s="11">
        <v>130</v>
      </c>
      <c r="AI51" s="9">
        <v>1</v>
      </c>
      <c r="AJ51" s="12">
        <f t="shared" si="183"/>
        <v>2</v>
      </c>
      <c r="AK51" s="19">
        <f t="shared" si="184"/>
        <v>2</v>
      </c>
      <c r="AL51" s="302">
        <v>350.9079600000004</v>
      </c>
      <c r="AM51" s="11">
        <v>225</v>
      </c>
      <c r="AN51" s="9">
        <v>1</v>
      </c>
      <c r="AO51" s="10">
        <f t="shared" si="185"/>
        <v>2</v>
      </c>
      <c r="AP51" s="18">
        <f t="shared" si="186"/>
        <v>28</v>
      </c>
      <c r="AQ51" s="302">
        <v>123.12560000000013</v>
      </c>
      <c r="AR51" s="13">
        <v>40</v>
      </c>
      <c r="AS51" s="9">
        <v>1</v>
      </c>
      <c r="AT51" s="10">
        <f t="shared" si="118"/>
        <v>3.5</v>
      </c>
      <c r="AU51" s="302">
        <v>135.43816000000015</v>
      </c>
      <c r="AV51" s="11">
        <v>130</v>
      </c>
      <c r="AW51" s="9">
        <v>1</v>
      </c>
      <c r="AX51" s="12">
        <f t="shared" si="119"/>
        <v>3</v>
      </c>
      <c r="AY51" s="19">
        <f t="shared" si="187"/>
        <v>5</v>
      </c>
      <c r="AZ51" s="302">
        <v>1231.2560000000012</v>
      </c>
      <c r="BA51" s="25">
        <f t="shared" si="6"/>
        <v>220</v>
      </c>
      <c r="BB51" s="9">
        <v>1</v>
      </c>
      <c r="BC51" s="10">
        <f t="shared" si="121"/>
        <v>6</v>
      </c>
      <c r="BD51" s="302">
        <v>464.18351200000046</v>
      </c>
      <c r="BE51" s="13">
        <v>35</v>
      </c>
      <c r="BF51" s="9">
        <v>2</v>
      </c>
      <c r="BG51" s="12">
        <f t="shared" si="188"/>
        <v>2</v>
      </c>
      <c r="BH51" s="302">
        <v>78.800384000000079</v>
      </c>
      <c r="BI51" s="14">
        <v>3.4</v>
      </c>
      <c r="BJ51" s="9">
        <v>2</v>
      </c>
      <c r="BK51" s="10">
        <f t="shared" si="122"/>
        <v>12</v>
      </c>
      <c r="BL51" s="302">
        <v>422.32080800000045</v>
      </c>
      <c r="BM51" s="11">
        <v>125</v>
      </c>
      <c r="BN51" s="9">
        <v>1</v>
      </c>
      <c r="BO51" s="12">
        <f t="shared" si="189"/>
        <v>5</v>
      </c>
      <c r="BP51" s="19">
        <f t="shared" si="123"/>
        <v>7</v>
      </c>
      <c r="BQ51" s="21">
        <f t="shared" si="190"/>
        <v>44</v>
      </c>
      <c r="BR51" s="302">
        <v>152.06011600000014</v>
      </c>
      <c r="BS51" s="11">
        <v>165</v>
      </c>
      <c r="BT51" s="9">
        <v>1</v>
      </c>
      <c r="BU51" s="10">
        <f t="shared" si="191"/>
        <v>1</v>
      </c>
      <c r="BV51" s="302">
        <v>206.23538000000022</v>
      </c>
      <c r="BW51" s="11">
        <v>150</v>
      </c>
      <c r="BX51" s="9">
        <v>2</v>
      </c>
      <c r="BY51" s="10">
        <f t="shared" si="192"/>
        <v>1</v>
      </c>
      <c r="BZ51" s="302">
        <v>1255.8811200000014</v>
      </c>
      <c r="CA51" s="13">
        <v>320</v>
      </c>
      <c r="CB51" s="9">
        <v>2</v>
      </c>
      <c r="CC51" s="10">
        <f t="shared" si="193"/>
        <v>2</v>
      </c>
      <c r="CD51" s="302">
        <v>3767.6433600000041</v>
      </c>
      <c r="CE51" s="13">
        <v>8000</v>
      </c>
      <c r="CF51" s="9">
        <v>1</v>
      </c>
      <c r="CG51" s="10">
        <f t="shared" si="194"/>
        <v>0.5</v>
      </c>
      <c r="CH51" s="302">
        <v>2511.7622400000027</v>
      </c>
      <c r="CI51" s="13">
        <v>300</v>
      </c>
      <c r="CJ51" s="9">
        <v>2</v>
      </c>
      <c r="CK51" s="10">
        <f t="shared" si="195"/>
        <v>4.5</v>
      </c>
      <c r="CL51" s="38">
        <f t="shared" si="124"/>
        <v>307.81400000000031</v>
      </c>
      <c r="CM51" s="15">
        <v>50</v>
      </c>
      <c r="CN51" s="9">
        <v>1</v>
      </c>
      <c r="CO51" s="10">
        <f t="shared" si="196"/>
        <v>6.5</v>
      </c>
      <c r="CP51" s="20">
        <f t="shared" si="197"/>
        <v>16</v>
      </c>
      <c r="CQ51" s="5">
        <f t="shared" si="125"/>
        <v>28</v>
      </c>
      <c r="CR51" s="5">
        <f t="shared" si="126"/>
        <v>44</v>
      </c>
      <c r="CS51" s="5">
        <f t="shared" si="198"/>
        <v>16</v>
      </c>
      <c r="CT51" s="5">
        <f t="shared" si="199"/>
        <v>88</v>
      </c>
      <c r="CY51" s="40"/>
      <c r="DF51" s="40"/>
    </row>
    <row r="52" spans="1:110" s="6" customFormat="1" ht="17.25" customHeight="1" thickBot="1">
      <c r="A52" s="40"/>
      <c r="B52" s="45">
        <v>40</v>
      </c>
      <c r="C52" s="312" t="s">
        <v>147</v>
      </c>
      <c r="D52" s="312" t="s">
        <v>81</v>
      </c>
      <c r="E52" s="45" t="s">
        <v>18</v>
      </c>
      <c r="F52" s="193"/>
      <c r="G52" s="310">
        <v>10557.031000000001</v>
      </c>
      <c r="H52" s="310">
        <v>10759.022999999999</v>
      </c>
      <c r="I52" s="195">
        <f t="shared" si="180"/>
        <v>201.99199999999837</v>
      </c>
      <c r="J52" s="195">
        <f>J51+I52</f>
        <v>859.96999999999935</v>
      </c>
      <c r="K52" s="132" t="s">
        <v>137</v>
      </c>
      <c r="L52" s="397"/>
      <c r="M52" s="400"/>
      <c r="N52" s="403"/>
      <c r="O52" s="406"/>
      <c r="P52" s="77">
        <v>3</v>
      </c>
      <c r="Q52" s="314">
        <v>305.00791999999757</v>
      </c>
      <c r="R52" s="44">
        <v>53.9</v>
      </c>
      <c r="S52" s="43">
        <v>2</v>
      </c>
      <c r="T52" s="42">
        <f t="shared" si="115"/>
        <v>3</v>
      </c>
      <c r="U52" s="316">
        <v>1114.9958399999909</v>
      </c>
      <c r="V52" s="41">
        <v>190</v>
      </c>
      <c r="W52" s="43">
        <v>2</v>
      </c>
      <c r="X52" s="42">
        <f t="shared" si="116"/>
        <v>3</v>
      </c>
      <c r="Y52" s="316">
        <v>270.66927999999785</v>
      </c>
      <c r="Z52" s="41">
        <v>42</v>
      </c>
      <c r="AA52" s="43">
        <v>2</v>
      </c>
      <c r="AB52" s="75">
        <f t="shared" si="181"/>
        <v>4.5</v>
      </c>
      <c r="AC52" s="316">
        <v>161.5935999999987</v>
      </c>
      <c r="AD52" s="41">
        <v>40</v>
      </c>
      <c r="AE52" s="43">
        <v>2</v>
      </c>
      <c r="AF52" s="42">
        <f t="shared" si="182"/>
        <v>2.5</v>
      </c>
      <c r="AG52" s="316">
        <v>72.717119999999426</v>
      </c>
      <c r="AH52" s="41">
        <v>130</v>
      </c>
      <c r="AI52" s="43">
        <v>1</v>
      </c>
      <c r="AJ52" s="75">
        <f t="shared" si="183"/>
        <v>2</v>
      </c>
      <c r="AK52" s="77">
        <f t="shared" si="184"/>
        <v>2</v>
      </c>
      <c r="AL52" s="316">
        <v>230.27087999999816</v>
      </c>
      <c r="AM52" s="41">
        <v>225</v>
      </c>
      <c r="AN52" s="43">
        <v>1</v>
      </c>
      <c r="AO52" s="42">
        <f t="shared" si="185"/>
        <v>1.5</v>
      </c>
      <c r="AP52" s="74">
        <f t="shared" si="186"/>
        <v>22</v>
      </c>
      <c r="AQ52" s="316">
        <v>80.796799999999351</v>
      </c>
      <c r="AR52" s="73">
        <v>40</v>
      </c>
      <c r="AS52" s="43">
        <v>1</v>
      </c>
      <c r="AT52" s="42">
        <f t="shared" si="118"/>
        <v>2.5</v>
      </c>
      <c r="AU52" s="316">
        <v>88.87647999999929</v>
      </c>
      <c r="AV52" s="41">
        <v>130</v>
      </c>
      <c r="AW52" s="43">
        <v>1</v>
      </c>
      <c r="AX52" s="75">
        <f t="shared" si="119"/>
        <v>2</v>
      </c>
      <c r="AY52" s="77">
        <f t="shared" si="187"/>
        <v>5</v>
      </c>
      <c r="AZ52" s="316">
        <v>807.96799999999348</v>
      </c>
      <c r="BA52" s="76">
        <f t="shared" si="6"/>
        <v>220</v>
      </c>
      <c r="BB52" s="43">
        <v>1</v>
      </c>
      <c r="BC52" s="42">
        <f t="shared" si="121"/>
        <v>4</v>
      </c>
      <c r="BD52" s="316">
        <v>304.60393599999753</v>
      </c>
      <c r="BE52" s="73">
        <v>35</v>
      </c>
      <c r="BF52" s="43">
        <v>2</v>
      </c>
      <c r="BG52" s="75">
        <f t="shared" si="188"/>
        <v>2</v>
      </c>
      <c r="BH52" s="316">
        <v>51.709951999999582</v>
      </c>
      <c r="BI52" s="72">
        <v>3.4</v>
      </c>
      <c r="BJ52" s="43">
        <v>2</v>
      </c>
      <c r="BK52" s="42">
        <f t="shared" si="122"/>
        <v>8</v>
      </c>
      <c r="BL52" s="316">
        <v>277.13302399999776</v>
      </c>
      <c r="BM52" s="41">
        <v>125</v>
      </c>
      <c r="BN52" s="43">
        <v>1</v>
      </c>
      <c r="BO52" s="75">
        <f t="shared" si="189"/>
        <v>4</v>
      </c>
      <c r="BP52" s="77">
        <f t="shared" si="123"/>
        <v>7</v>
      </c>
      <c r="BQ52" s="71">
        <f t="shared" si="190"/>
        <v>35</v>
      </c>
      <c r="BR52" s="316">
        <v>99.784047999999189</v>
      </c>
      <c r="BS52" s="41">
        <v>165</v>
      </c>
      <c r="BT52" s="43">
        <v>1</v>
      </c>
      <c r="BU52" s="42">
        <f t="shared" si="191"/>
        <v>1</v>
      </c>
      <c r="BV52" s="316">
        <v>135.33463999999893</v>
      </c>
      <c r="BW52" s="41">
        <v>150</v>
      </c>
      <c r="BX52" s="43">
        <v>2</v>
      </c>
      <c r="BY52" s="42">
        <f t="shared" si="192"/>
        <v>0.5</v>
      </c>
      <c r="BZ52" s="316">
        <v>824.12735999999336</v>
      </c>
      <c r="CA52" s="73">
        <v>320</v>
      </c>
      <c r="CB52" s="43">
        <v>2</v>
      </c>
      <c r="CC52" s="42">
        <f t="shared" si="193"/>
        <v>1.5</v>
      </c>
      <c r="CD52" s="316">
        <v>2472.3820799999803</v>
      </c>
      <c r="CE52" s="73">
        <v>8000</v>
      </c>
      <c r="CF52" s="43">
        <v>1</v>
      </c>
      <c r="CG52" s="42">
        <f t="shared" si="194"/>
        <v>0.5</v>
      </c>
      <c r="CH52" s="316">
        <v>1648.2547199999867</v>
      </c>
      <c r="CI52" s="73">
        <v>300</v>
      </c>
      <c r="CJ52" s="43">
        <v>2</v>
      </c>
      <c r="CK52" s="42">
        <f t="shared" si="195"/>
        <v>3</v>
      </c>
      <c r="CL52" s="70">
        <f t="shared" si="124"/>
        <v>201.99199999999837</v>
      </c>
      <c r="CM52" s="69">
        <v>50</v>
      </c>
      <c r="CN52" s="43">
        <v>1</v>
      </c>
      <c r="CO52" s="42">
        <f t="shared" si="196"/>
        <v>4.5</v>
      </c>
      <c r="CP52" s="68">
        <f t="shared" si="197"/>
        <v>11</v>
      </c>
      <c r="CQ52" s="4">
        <f t="shared" si="125"/>
        <v>22</v>
      </c>
      <c r="CR52" s="4">
        <f t="shared" si="126"/>
        <v>35</v>
      </c>
      <c r="CS52" s="4">
        <f t="shared" si="198"/>
        <v>11</v>
      </c>
      <c r="CT52" s="4">
        <f t="shared" si="199"/>
        <v>68</v>
      </c>
      <c r="CY52" s="40"/>
      <c r="DF52" s="40"/>
    </row>
    <row r="53" spans="1:110" s="6" customFormat="1" ht="17.25" customHeight="1">
      <c r="A53" s="40"/>
      <c r="B53" s="180">
        <v>41</v>
      </c>
      <c r="C53" s="180" t="s">
        <v>150</v>
      </c>
      <c r="D53" s="180" t="s">
        <v>151</v>
      </c>
      <c r="E53" s="180" t="s">
        <v>18</v>
      </c>
      <c r="F53" s="179"/>
      <c r="G53" s="306">
        <v>10804.501</v>
      </c>
      <c r="H53" s="306">
        <v>11034.906999999999</v>
      </c>
      <c r="I53" s="178">
        <f t="shared" si="180"/>
        <v>230.40599999999904</v>
      </c>
      <c r="J53" s="178">
        <f>I53</f>
        <v>230.40599999999904</v>
      </c>
      <c r="K53" s="177" t="s">
        <v>152</v>
      </c>
      <c r="L53" s="407" t="s">
        <v>159</v>
      </c>
      <c r="M53" s="410">
        <f>SUM(I53:I57)</f>
        <v>995.11099999999715</v>
      </c>
      <c r="N53" s="413">
        <f>SUM(CQ53:CQ57,CR57:CS57)/18.4</f>
        <v>10.217391304347826</v>
      </c>
      <c r="O53" s="420">
        <v>31</v>
      </c>
      <c r="P53" s="191">
        <v>3</v>
      </c>
      <c r="Q53" s="317">
        <v>411.79865999999822</v>
      </c>
      <c r="R53" s="176">
        <v>53.9</v>
      </c>
      <c r="S53" s="175">
        <v>2</v>
      </c>
      <c r="T53" s="174">
        <f t="shared" si="115"/>
        <v>4</v>
      </c>
      <c r="U53" s="317">
        <v>1489.9916199999939</v>
      </c>
      <c r="V53" s="173">
        <v>190</v>
      </c>
      <c r="W53" s="175">
        <v>2</v>
      </c>
      <c r="X53" s="174">
        <f t="shared" si="116"/>
        <v>4</v>
      </c>
      <c r="Y53" s="317">
        <v>308.74403999999873</v>
      </c>
      <c r="Z53" s="173">
        <v>42</v>
      </c>
      <c r="AA53" s="175">
        <v>2</v>
      </c>
      <c r="AB53" s="172">
        <f t="shared" si="181"/>
        <v>5</v>
      </c>
      <c r="AC53" s="317">
        <v>184.32479999999924</v>
      </c>
      <c r="AD53" s="173">
        <v>40</v>
      </c>
      <c r="AE53" s="175">
        <v>2</v>
      </c>
      <c r="AF53" s="174">
        <f t="shared" si="182"/>
        <v>2.5</v>
      </c>
      <c r="AG53" s="317">
        <v>82.946159999999665</v>
      </c>
      <c r="AH53" s="173">
        <v>130</v>
      </c>
      <c r="AI53" s="175">
        <v>1</v>
      </c>
      <c r="AJ53" s="172">
        <f t="shared" si="183"/>
        <v>2</v>
      </c>
      <c r="AK53" s="191">
        <f t="shared" si="184"/>
        <v>2</v>
      </c>
      <c r="AL53" s="317">
        <v>294.8976399999986</v>
      </c>
      <c r="AM53" s="173">
        <v>225</v>
      </c>
      <c r="AN53" s="175">
        <v>1</v>
      </c>
      <c r="AO53" s="174">
        <f t="shared" si="185"/>
        <v>1.5</v>
      </c>
      <c r="AP53" s="171">
        <f t="shared" si="186"/>
        <v>24</v>
      </c>
      <c r="AQ53" s="317">
        <v>92.162399999999622</v>
      </c>
      <c r="AR53" s="170">
        <v>40</v>
      </c>
      <c r="AS53" s="175">
        <v>1</v>
      </c>
      <c r="AT53" s="174">
        <f t="shared" si="118"/>
        <v>2.5</v>
      </c>
      <c r="AU53" s="317">
        <v>101.37863999999959</v>
      </c>
      <c r="AV53" s="173">
        <v>130</v>
      </c>
      <c r="AW53" s="175">
        <v>1</v>
      </c>
      <c r="AX53" s="172">
        <f t="shared" si="119"/>
        <v>2</v>
      </c>
      <c r="AY53" s="191">
        <f t="shared" si="187"/>
        <v>5</v>
      </c>
      <c r="AZ53" s="317">
        <v>921.62399999999616</v>
      </c>
      <c r="BA53" s="169">
        <f t="shared" si="6"/>
        <v>220</v>
      </c>
      <c r="BB53" s="175">
        <v>1</v>
      </c>
      <c r="BC53" s="174">
        <f t="shared" si="121"/>
        <v>4.5</v>
      </c>
      <c r="BD53" s="317">
        <v>347.45224799999858</v>
      </c>
      <c r="BE53" s="170">
        <v>35</v>
      </c>
      <c r="BF53" s="175">
        <v>2</v>
      </c>
      <c r="BG53" s="172">
        <f t="shared" si="188"/>
        <v>2</v>
      </c>
      <c r="BH53" s="317">
        <v>58.983935999999758</v>
      </c>
      <c r="BI53" s="168">
        <v>3.4</v>
      </c>
      <c r="BJ53" s="175">
        <v>2</v>
      </c>
      <c r="BK53" s="174">
        <f t="shared" si="122"/>
        <v>9</v>
      </c>
      <c r="BL53" s="317">
        <v>316.11703199999869</v>
      </c>
      <c r="BM53" s="173">
        <v>125</v>
      </c>
      <c r="BN53" s="175">
        <v>1</v>
      </c>
      <c r="BO53" s="172">
        <f t="shared" si="189"/>
        <v>4</v>
      </c>
      <c r="BP53" s="191">
        <f t="shared" si="123"/>
        <v>7</v>
      </c>
      <c r="BQ53" s="167">
        <f t="shared" si="190"/>
        <v>36</v>
      </c>
      <c r="BR53" s="317">
        <v>140.46541399999933</v>
      </c>
      <c r="BS53" s="173">
        <v>165</v>
      </c>
      <c r="BT53" s="175">
        <v>1</v>
      </c>
      <c r="BU53" s="174">
        <f t="shared" si="191"/>
        <v>1</v>
      </c>
      <c r="BV53" s="317">
        <v>181.77159999999907</v>
      </c>
      <c r="BW53" s="173">
        <v>150</v>
      </c>
      <c r="BX53" s="175">
        <v>2</v>
      </c>
      <c r="BY53" s="174">
        <f t="shared" si="192"/>
        <v>1</v>
      </c>
      <c r="BZ53" s="317">
        <v>1101.2304799999945</v>
      </c>
      <c r="CA53" s="170">
        <v>320</v>
      </c>
      <c r="CB53" s="175">
        <v>2</v>
      </c>
      <c r="CC53" s="174">
        <f t="shared" si="193"/>
        <v>2</v>
      </c>
      <c r="CD53" s="317">
        <v>3303.6914399999832</v>
      </c>
      <c r="CE53" s="170">
        <v>8000</v>
      </c>
      <c r="CF53" s="175">
        <v>1</v>
      </c>
      <c r="CG53" s="174">
        <f t="shared" si="194"/>
        <v>0.5</v>
      </c>
      <c r="CH53" s="317">
        <v>2202.460959999989</v>
      </c>
      <c r="CI53" s="170">
        <v>300</v>
      </c>
      <c r="CJ53" s="175">
        <v>2</v>
      </c>
      <c r="CK53" s="174">
        <f t="shared" si="195"/>
        <v>4</v>
      </c>
      <c r="CL53" s="166">
        <f t="shared" si="124"/>
        <v>230.40599999999904</v>
      </c>
      <c r="CM53" s="165">
        <v>50</v>
      </c>
      <c r="CN53" s="175">
        <v>1</v>
      </c>
      <c r="CO53" s="174">
        <f t="shared" si="196"/>
        <v>5</v>
      </c>
      <c r="CP53" s="164">
        <f t="shared" si="197"/>
        <v>14</v>
      </c>
      <c r="CQ53" s="163">
        <f t="shared" si="125"/>
        <v>24</v>
      </c>
      <c r="CR53" s="163">
        <f t="shared" si="126"/>
        <v>36</v>
      </c>
      <c r="CS53" s="163">
        <f t="shared" si="198"/>
        <v>14</v>
      </c>
      <c r="CT53" s="163">
        <f t="shared" si="199"/>
        <v>74</v>
      </c>
      <c r="CY53" s="40"/>
      <c r="DF53" s="40"/>
    </row>
    <row r="54" spans="1:110" s="6" customFormat="1" ht="17.25" customHeight="1">
      <c r="A54" s="40"/>
      <c r="B54" s="252">
        <v>42</v>
      </c>
      <c r="C54" s="252" t="s">
        <v>153</v>
      </c>
      <c r="D54" s="252" t="s">
        <v>151</v>
      </c>
      <c r="E54" s="252" t="s">
        <v>18</v>
      </c>
      <c r="F54" s="93"/>
      <c r="G54" s="307">
        <v>11072.369000000001</v>
      </c>
      <c r="H54" s="307">
        <v>11256.986999999999</v>
      </c>
      <c r="I54" s="65">
        <f t="shared" si="180"/>
        <v>184.61799999999857</v>
      </c>
      <c r="J54" s="65">
        <f>J53+I54</f>
        <v>415.02399999999761</v>
      </c>
      <c r="K54" s="181" t="s">
        <v>154</v>
      </c>
      <c r="L54" s="408"/>
      <c r="M54" s="411"/>
      <c r="N54" s="414"/>
      <c r="O54" s="433"/>
      <c r="P54" s="19">
        <v>3</v>
      </c>
      <c r="Q54" s="313">
        <v>291.12621999999732</v>
      </c>
      <c r="R54" s="8">
        <v>53.9</v>
      </c>
      <c r="S54" s="9">
        <v>2</v>
      </c>
      <c r="T54" s="10">
        <f t="shared" si="115"/>
        <v>3</v>
      </c>
      <c r="U54" s="313">
        <v>1050.8318099999908</v>
      </c>
      <c r="V54" s="11">
        <v>190</v>
      </c>
      <c r="W54" s="9">
        <v>2</v>
      </c>
      <c r="X54" s="10">
        <f t="shared" si="116"/>
        <v>3</v>
      </c>
      <c r="Y54" s="313">
        <v>247.38811999999811</v>
      </c>
      <c r="Z54" s="11">
        <v>42</v>
      </c>
      <c r="AA54" s="9">
        <v>2</v>
      </c>
      <c r="AB54" s="12">
        <f t="shared" si="181"/>
        <v>4</v>
      </c>
      <c r="AC54" s="313">
        <v>147.69439999999886</v>
      </c>
      <c r="AD54" s="11">
        <v>40</v>
      </c>
      <c r="AE54" s="9">
        <v>2</v>
      </c>
      <c r="AF54" s="10">
        <f t="shared" si="182"/>
        <v>2</v>
      </c>
      <c r="AG54" s="313">
        <v>66.462479999999502</v>
      </c>
      <c r="AH54" s="11">
        <v>130</v>
      </c>
      <c r="AI54" s="9">
        <v>1</v>
      </c>
      <c r="AJ54" s="12">
        <f t="shared" si="183"/>
        <v>2</v>
      </c>
      <c r="AK54" s="19">
        <f t="shared" si="184"/>
        <v>2</v>
      </c>
      <c r="AL54" s="313">
        <v>223.50383999999784</v>
      </c>
      <c r="AM54" s="11">
        <v>225</v>
      </c>
      <c r="AN54" s="9">
        <v>1</v>
      </c>
      <c r="AO54" s="10">
        <f t="shared" si="185"/>
        <v>1</v>
      </c>
      <c r="AP54" s="18">
        <f t="shared" si="186"/>
        <v>20</v>
      </c>
      <c r="AQ54" s="313">
        <v>73.847199999999432</v>
      </c>
      <c r="AR54" s="13">
        <v>40</v>
      </c>
      <c r="AS54" s="9">
        <v>1</v>
      </c>
      <c r="AT54" s="10">
        <f t="shared" si="118"/>
        <v>2</v>
      </c>
      <c r="AU54" s="313">
        <v>81.231919999999377</v>
      </c>
      <c r="AV54" s="11">
        <v>130</v>
      </c>
      <c r="AW54" s="9">
        <v>1</v>
      </c>
      <c r="AX54" s="12">
        <f t="shared" si="119"/>
        <v>2</v>
      </c>
      <c r="AY54" s="19">
        <f t="shared" si="187"/>
        <v>5</v>
      </c>
      <c r="AZ54" s="313">
        <v>738.4719999999943</v>
      </c>
      <c r="BA54" s="25">
        <f t="shared" si="6"/>
        <v>220</v>
      </c>
      <c r="BB54" s="9">
        <v>1</v>
      </c>
      <c r="BC54" s="10">
        <f t="shared" si="121"/>
        <v>3.5</v>
      </c>
      <c r="BD54" s="313">
        <v>278.40394399999786</v>
      </c>
      <c r="BE54" s="13">
        <v>35</v>
      </c>
      <c r="BF54" s="9">
        <v>2</v>
      </c>
      <c r="BG54" s="12">
        <f t="shared" si="188"/>
        <v>2</v>
      </c>
      <c r="BH54" s="313">
        <v>47.262207999999632</v>
      </c>
      <c r="BI54" s="14">
        <v>3.4</v>
      </c>
      <c r="BJ54" s="9">
        <v>2</v>
      </c>
      <c r="BK54" s="10">
        <f t="shared" si="122"/>
        <v>7</v>
      </c>
      <c r="BL54" s="313">
        <v>253.29589599999807</v>
      </c>
      <c r="BM54" s="11">
        <v>125</v>
      </c>
      <c r="BN54" s="9">
        <v>1</v>
      </c>
      <c r="BO54" s="12">
        <f t="shared" si="189"/>
        <v>4</v>
      </c>
      <c r="BP54" s="19">
        <f t="shared" si="123"/>
        <v>7</v>
      </c>
      <c r="BQ54" s="21">
        <f t="shared" si="190"/>
        <v>33</v>
      </c>
      <c r="BR54" s="313">
        <v>98.836156999998948</v>
      </c>
      <c r="BS54" s="11">
        <v>165</v>
      </c>
      <c r="BT54" s="9">
        <v>1</v>
      </c>
      <c r="BU54" s="10">
        <f t="shared" si="191"/>
        <v>1</v>
      </c>
      <c r="BV54" s="313">
        <v>134.77748199999857</v>
      </c>
      <c r="BW54" s="11">
        <v>150</v>
      </c>
      <c r="BX54" s="9">
        <v>2</v>
      </c>
      <c r="BY54" s="10">
        <f t="shared" si="192"/>
        <v>0.5</v>
      </c>
      <c r="BZ54" s="313">
        <v>818.43803999999136</v>
      </c>
      <c r="CA54" s="13">
        <v>320</v>
      </c>
      <c r="CB54" s="9">
        <v>2</v>
      </c>
      <c r="CC54" s="10">
        <f t="shared" si="193"/>
        <v>1.5</v>
      </c>
      <c r="CD54" s="313">
        <v>2455.3141199999736</v>
      </c>
      <c r="CE54" s="13">
        <v>8000</v>
      </c>
      <c r="CF54" s="9">
        <v>1</v>
      </c>
      <c r="CG54" s="10">
        <f t="shared" si="194"/>
        <v>0.5</v>
      </c>
      <c r="CH54" s="313">
        <v>1636.8760799999827</v>
      </c>
      <c r="CI54" s="13">
        <v>300</v>
      </c>
      <c r="CJ54" s="9">
        <v>2</v>
      </c>
      <c r="CK54" s="10">
        <f t="shared" si="195"/>
        <v>3</v>
      </c>
      <c r="CL54" s="38">
        <f t="shared" si="124"/>
        <v>184.61799999999857</v>
      </c>
      <c r="CM54" s="15">
        <v>50</v>
      </c>
      <c r="CN54" s="9">
        <v>1</v>
      </c>
      <c r="CO54" s="10">
        <f t="shared" si="196"/>
        <v>4</v>
      </c>
      <c r="CP54" s="20">
        <f t="shared" si="197"/>
        <v>11</v>
      </c>
      <c r="CQ54" s="5">
        <f t="shared" si="125"/>
        <v>20</v>
      </c>
      <c r="CR54" s="5">
        <f t="shared" si="126"/>
        <v>33</v>
      </c>
      <c r="CS54" s="5">
        <f t="shared" si="198"/>
        <v>11</v>
      </c>
      <c r="CT54" s="5">
        <f t="shared" si="199"/>
        <v>64</v>
      </c>
      <c r="CY54" s="40"/>
      <c r="DF54" s="40"/>
    </row>
    <row r="55" spans="1:110" s="6" customFormat="1" ht="17.25" customHeight="1">
      <c r="A55" s="40"/>
      <c r="B55" s="223">
        <v>43</v>
      </c>
      <c r="C55" s="308" t="s">
        <v>155</v>
      </c>
      <c r="D55" s="308" t="s">
        <v>81</v>
      </c>
      <c r="E55" s="223" t="s">
        <v>18</v>
      </c>
      <c r="F55" s="224"/>
      <c r="G55" s="309">
        <v>11256.986999999999</v>
      </c>
      <c r="H55" s="309">
        <v>11316.957</v>
      </c>
      <c r="I55" s="227">
        <f t="shared" ref="I55" si="200">H55-G55</f>
        <v>59.970000000001164</v>
      </c>
      <c r="J55" s="227">
        <f t="shared" ref="J55:J57" si="201">J54+I55</f>
        <v>474.99399999999878</v>
      </c>
      <c r="K55" s="228" t="s">
        <v>156</v>
      </c>
      <c r="L55" s="408"/>
      <c r="M55" s="411"/>
      <c r="N55" s="414"/>
      <c r="O55" s="433"/>
      <c r="P55" s="19">
        <v>3</v>
      </c>
      <c r="Q55" s="313">
        <v>35.982000000000696</v>
      </c>
      <c r="R55" s="8">
        <v>53.9</v>
      </c>
      <c r="S55" s="9">
        <v>2</v>
      </c>
      <c r="T55" s="10">
        <f t="shared" si="115"/>
        <v>0.5</v>
      </c>
      <c r="U55" s="122"/>
      <c r="V55" s="11">
        <v>190</v>
      </c>
      <c r="W55" s="9">
        <v>2</v>
      </c>
      <c r="X55" s="10">
        <f t="shared" si="116"/>
        <v>0</v>
      </c>
      <c r="Y55" s="394" t="s">
        <v>49</v>
      </c>
      <c r="Z55" s="394"/>
      <c r="AA55" s="394"/>
      <c r="AB55" s="394"/>
      <c r="AC55" s="94">
        <f>I55*2</f>
        <v>119.94000000000233</v>
      </c>
      <c r="AD55" s="25">
        <v>20</v>
      </c>
      <c r="AE55" s="9">
        <v>2</v>
      </c>
      <c r="AF55" s="10">
        <f t="shared" ref="AF55" si="202">CEILING(AC55/AD55/AE55,0.5)</f>
        <v>3</v>
      </c>
      <c r="AG55" s="122"/>
      <c r="AH55" s="11"/>
      <c r="AI55" s="9"/>
      <c r="AJ55" s="12"/>
      <c r="AK55" s="19"/>
      <c r="AL55" s="122"/>
      <c r="AM55" s="11">
        <v>225</v>
      </c>
      <c r="AN55" s="9">
        <v>1</v>
      </c>
      <c r="AO55" s="10">
        <f t="shared" ref="AO55" si="203">ROUND(AL55/AM55/AN55,0)</f>
        <v>0</v>
      </c>
      <c r="AP55" s="18">
        <f>ROUNDUP(SUM(T55,X55,AF55,AJ55,AK55,AO55,P55),0)</f>
        <v>7</v>
      </c>
      <c r="AQ55" s="122"/>
      <c r="AR55" s="13">
        <v>40</v>
      </c>
      <c r="AS55" s="9">
        <v>1</v>
      </c>
      <c r="AT55" s="10">
        <f t="shared" si="118"/>
        <v>0</v>
      </c>
      <c r="AU55" s="122"/>
      <c r="AV55" s="11">
        <v>130</v>
      </c>
      <c r="AW55" s="9">
        <v>1</v>
      </c>
      <c r="AX55" s="12" t="str">
        <f t="shared" si="119"/>
        <v/>
      </c>
      <c r="AY55" s="19"/>
      <c r="AZ55" s="315">
        <v>239.88000000000466</v>
      </c>
      <c r="BA55" s="25">
        <f t="shared" si="6"/>
        <v>220</v>
      </c>
      <c r="BB55" s="9">
        <v>1</v>
      </c>
      <c r="BC55" s="10">
        <f t="shared" si="121"/>
        <v>1.5</v>
      </c>
      <c r="BD55" s="315">
        <v>90.434760000001759</v>
      </c>
      <c r="BE55" s="13">
        <v>35</v>
      </c>
      <c r="BF55" s="9">
        <v>2</v>
      </c>
      <c r="BG55" s="12">
        <f t="shared" ref="BG55" si="204">IF(BD55="","",2)</f>
        <v>2</v>
      </c>
      <c r="BH55" s="315">
        <v>15.352320000000299</v>
      </c>
      <c r="BI55" s="14">
        <v>3.4</v>
      </c>
      <c r="BJ55" s="9">
        <v>2</v>
      </c>
      <c r="BK55" s="10">
        <f t="shared" si="122"/>
        <v>2.5</v>
      </c>
      <c r="BL55" s="315">
        <v>82.278840000001608</v>
      </c>
      <c r="BM55" s="11">
        <v>125</v>
      </c>
      <c r="BN55" s="9">
        <v>1</v>
      </c>
      <c r="BO55" s="12">
        <f t="shared" ref="BO55" si="205">IF(BL55="","",ROUNDUP(BL55/BM55/BN55,0)+1)</f>
        <v>2</v>
      </c>
      <c r="BP55" s="19">
        <f t="shared" si="123"/>
        <v>7</v>
      </c>
      <c r="BQ55" s="21">
        <f t="shared" ref="BQ55" si="206">ROUNDUP(SUM(AT55,AX55,AY55,BC55,BG55,BK55,BO55,BP55),0)</f>
        <v>15</v>
      </c>
      <c r="BR55" s="122"/>
      <c r="BS55" s="11">
        <v>165</v>
      </c>
      <c r="BT55" s="9">
        <v>1</v>
      </c>
      <c r="BU55" s="10">
        <f t="shared" ref="BU55" si="207">CEILING(BR55/BS55/BT55,0.5)</f>
        <v>0</v>
      </c>
      <c r="BV55" s="315">
        <v>10.974510000000214</v>
      </c>
      <c r="BW55" s="11">
        <v>150</v>
      </c>
      <c r="BX55" s="9">
        <v>2</v>
      </c>
      <c r="BY55" s="10">
        <f t="shared" ref="BY55" si="208">CEILING(BV55/BW55/BX55,0.5)</f>
        <v>0.5</v>
      </c>
      <c r="BZ55" s="315">
        <v>93.553200000001823</v>
      </c>
      <c r="CA55" s="13">
        <v>320</v>
      </c>
      <c r="CB55" s="9">
        <v>2</v>
      </c>
      <c r="CC55" s="10">
        <f t="shared" ref="CC55" si="209">CEILING(BZ55/CA55/CB55,0.5)</f>
        <v>0.5</v>
      </c>
      <c r="CD55" s="315">
        <v>280.65960000000547</v>
      </c>
      <c r="CE55" s="13">
        <v>8000</v>
      </c>
      <c r="CF55" s="9">
        <v>1</v>
      </c>
      <c r="CG55" s="10">
        <f t="shared" ref="CG55" si="210">CEILING(CD55/CE55/CF55,0.5)</f>
        <v>0.5</v>
      </c>
      <c r="CH55" s="315">
        <v>187.10640000000365</v>
      </c>
      <c r="CI55" s="13">
        <v>300</v>
      </c>
      <c r="CJ55" s="9">
        <v>2</v>
      </c>
      <c r="CK55" s="10">
        <f t="shared" ref="CK55" si="211">CEILING(CH55/CI55/CJ55,0.5)</f>
        <v>0.5</v>
      </c>
      <c r="CL55" s="38">
        <f t="shared" si="124"/>
        <v>59.970000000001164</v>
      </c>
      <c r="CM55" s="15">
        <v>50</v>
      </c>
      <c r="CN55" s="9">
        <v>1</v>
      </c>
      <c r="CO55" s="10">
        <f t="shared" ref="CO55" si="212">CEILING(CL55/CM55/CN55,0.5)</f>
        <v>1.5</v>
      </c>
      <c r="CP55" s="20">
        <f t="shared" ref="CP55" si="213">ROUNDUP(SUM(BU55,BY55,CC55,CG55,CK55,CO55),0)</f>
        <v>4</v>
      </c>
      <c r="CQ55" s="5">
        <f t="shared" si="125"/>
        <v>7</v>
      </c>
      <c r="CR55" s="5">
        <f t="shared" si="126"/>
        <v>15</v>
      </c>
      <c r="CS55" s="5">
        <f t="shared" ref="CS55" si="214">CP55</f>
        <v>4</v>
      </c>
      <c r="CT55" s="5">
        <f t="shared" ref="CT55" si="215">SUM(CQ55:CS55)</f>
        <v>26</v>
      </c>
      <c r="CY55" s="40"/>
      <c r="DF55" s="40"/>
    </row>
    <row r="56" spans="1:110" s="6" customFormat="1" ht="17.25" customHeight="1">
      <c r="A56" s="40"/>
      <c r="B56" s="252">
        <v>44</v>
      </c>
      <c r="C56" s="311" t="s">
        <v>157</v>
      </c>
      <c r="D56" s="311" t="s">
        <v>81</v>
      </c>
      <c r="E56" s="252" t="s">
        <v>18</v>
      </c>
      <c r="F56" s="93"/>
      <c r="G56" s="307">
        <v>11316.957</v>
      </c>
      <c r="H56" s="307">
        <v>11329.264999999999</v>
      </c>
      <c r="I56" s="65">
        <f>H56-G56</f>
        <v>12.307999999999083</v>
      </c>
      <c r="J56" s="65">
        <f t="shared" si="201"/>
        <v>487.30199999999786</v>
      </c>
      <c r="K56" s="181" t="s">
        <v>154</v>
      </c>
      <c r="L56" s="408"/>
      <c r="M56" s="411"/>
      <c r="N56" s="414"/>
      <c r="O56" s="433"/>
      <c r="P56" s="19">
        <v>3</v>
      </c>
      <c r="Q56" s="313">
        <v>18.585079999998616</v>
      </c>
      <c r="R56" s="8">
        <v>53.9</v>
      </c>
      <c r="S56" s="9">
        <v>2</v>
      </c>
      <c r="T56" s="10">
        <f t="shared" si="115"/>
        <v>0.5</v>
      </c>
      <c r="U56" s="315">
        <v>67.940159999994933</v>
      </c>
      <c r="V56" s="11">
        <v>190</v>
      </c>
      <c r="W56" s="9">
        <v>2</v>
      </c>
      <c r="X56" s="10">
        <f t="shared" si="116"/>
        <v>0.5</v>
      </c>
      <c r="Y56" s="315">
        <v>16.492719999998773</v>
      </c>
      <c r="Z56" s="11">
        <v>42</v>
      </c>
      <c r="AA56" s="9">
        <v>2</v>
      </c>
      <c r="AB56" s="12">
        <f>IF(Y56="","",CEILING(Y56/Z56/AA56,0.5)+1)</f>
        <v>1.5</v>
      </c>
      <c r="AC56" s="315">
        <v>9.8463999999992673</v>
      </c>
      <c r="AD56" s="11">
        <v>40</v>
      </c>
      <c r="AE56" s="9">
        <v>2</v>
      </c>
      <c r="AF56" s="10">
        <f>CEILING(AC56/AD56/AE56,0.5)</f>
        <v>0.5</v>
      </c>
      <c r="AG56" s="315">
        <v>4.4308799999996706</v>
      </c>
      <c r="AH56" s="11">
        <v>130</v>
      </c>
      <c r="AI56" s="9">
        <v>1</v>
      </c>
      <c r="AJ56" s="12">
        <f>IF(AG56="","",ROUNDUP(AG56/AH56/AI56,0)+1)</f>
        <v>2</v>
      </c>
      <c r="AK56" s="19">
        <f t="shared" ref="AK56:AK59" si="216">IF(E56="보통",2,IF(E56="조강",1,""))</f>
        <v>2</v>
      </c>
      <c r="AL56" s="315">
        <v>14.031119999998957</v>
      </c>
      <c r="AM56" s="11">
        <v>225</v>
      </c>
      <c r="AN56" s="9">
        <v>1</v>
      </c>
      <c r="AO56" s="10">
        <f>CEILING(AL56/AM56/AN56,0.5)</f>
        <v>0.5</v>
      </c>
      <c r="AP56" s="18">
        <f>ROUNDUP(SUM(P56,T56,X56,AB56,AF56,AJ56,AK56,AO56),0)</f>
        <v>11</v>
      </c>
      <c r="AQ56" s="315">
        <v>4.9231999999996336</v>
      </c>
      <c r="AR56" s="13">
        <v>40</v>
      </c>
      <c r="AS56" s="9">
        <v>1</v>
      </c>
      <c r="AT56" s="10">
        <f t="shared" si="118"/>
        <v>0.5</v>
      </c>
      <c r="AU56" s="315">
        <v>5.4155199999995975</v>
      </c>
      <c r="AV56" s="11">
        <v>130</v>
      </c>
      <c r="AW56" s="9">
        <v>1</v>
      </c>
      <c r="AX56" s="12">
        <f t="shared" si="119"/>
        <v>2</v>
      </c>
      <c r="AY56" s="19">
        <f t="shared" ref="AY56:AY59" si="217">IF(E56="보통",5,IF(E56="조강",2,""))</f>
        <v>5</v>
      </c>
      <c r="AZ56" s="315">
        <v>49.231999999996333</v>
      </c>
      <c r="BA56" s="25">
        <f t="shared" si="6"/>
        <v>220</v>
      </c>
      <c r="BB56" s="9">
        <v>1</v>
      </c>
      <c r="BC56" s="10">
        <f t="shared" si="121"/>
        <v>0.5</v>
      </c>
      <c r="BD56" s="315">
        <v>18.560463999998618</v>
      </c>
      <c r="BE56" s="13">
        <v>35</v>
      </c>
      <c r="BF56" s="9">
        <v>2</v>
      </c>
      <c r="BG56" s="12">
        <f>IF(BD56="","",2)</f>
        <v>2</v>
      </c>
      <c r="BH56" s="315">
        <v>3.1508479999997654</v>
      </c>
      <c r="BI56" s="14">
        <v>3.4</v>
      </c>
      <c r="BJ56" s="9">
        <v>2</v>
      </c>
      <c r="BK56" s="10">
        <f t="shared" si="122"/>
        <v>0.5</v>
      </c>
      <c r="BL56" s="315">
        <v>16.886575999998744</v>
      </c>
      <c r="BM56" s="11">
        <v>125</v>
      </c>
      <c r="BN56" s="9">
        <v>1</v>
      </c>
      <c r="BO56" s="12">
        <f>IF(BL56="","",ROUNDUP(BL56/BM56/BN56,0)+1)</f>
        <v>2</v>
      </c>
      <c r="BP56" s="19">
        <f t="shared" si="123"/>
        <v>7</v>
      </c>
      <c r="BQ56" s="21">
        <f>ROUNDUP(SUM(AT56,AX56,AY56,BC56,BG56,BK56,BO56,BP56),0)</f>
        <v>20</v>
      </c>
      <c r="BR56" s="315">
        <v>6.080151999999547</v>
      </c>
      <c r="BS56" s="11">
        <v>165</v>
      </c>
      <c r="BT56" s="9">
        <v>1</v>
      </c>
      <c r="BU56" s="10">
        <f>CEILING(BR56/BS56/BT56,0.5)</f>
        <v>0.5</v>
      </c>
      <c r="BV56" s="315">
        <v>8.2463599999993864</v>
      </c>
      <c r="BW56" s="11">
        <v>150</v>
      </c>
      <c r="BX56" s="9">
        <v>2</v>
      </c>
      <c r="BY56" s="10">
        <f>CEILING(BV56/BW56/BX56,0.5)</f>
        <v>0.5</v>
      </c>
      <c r="BZ56" s="315">
        <v>50.216639999996261</v>
      </c>
      <c r="CA56" s="13">
        <v>320</v>
      </c>
      <c r="CB56" s="9">
        <v>2</v>
      </c>
      <c r="CC56" s="10">
        <f>CEILING(BZ56/CA56/CB56,0.5)</f>
        <v>0.5</v>
      </c>
      <c r="CD56" s="315">
        <v>150.64991999998878</v>
      </c>
      <c r="CE56" s="13">
        <v>8000</v>
      </c>
      <c r="CF56" s="9">
        <v>1</v>
      </c>
      <c r="CG56" s="10">
        <f>CEILING(CD56/CE56/CF56,0.5)</f>
        <v>0.5</v>
      </c>
      <c r="CH56" s="315">
        <v>100.43327999999252</v>
      </c>
      <c r="CI56" s="13">
        <v>300</v>
      </c>
      <c r="CJ56" s="9">
        <v>2</v>
      </c>
      <c r="CK56" s="10">
        <f>CEILING(CH56/CI56/CJ56,0.5)</f>
        <v>0.5</v>
      </c>
      <c r="CL56" s="38">
        <f t="shared" si="124"/>
        <v>12.307999999999083</v>
      </c>
      <c r="CM56" s="15">
        <v>50</v>
      </c>
      <c r="CN56" s="9">
        <v>1</v>
      </c>
      <c r="CO56" s="10">
        <f>CEILING(CL56/CM56/CN56,0.5)</f>
        <v>0.5</v>
      </c>
      <c r="CP56" s="20">
        <f>ROUNDUP(SUM(BU56,BY56,CC56,CG56,CK56,CO56),0)</f>
        <v>3</v>
      </c>
      <c r="CQ56" s="5">
        <f t="shared" si="125"/>
        <v>11</v>
      </c>
      <c r="CR56" s="5">
        <f t="shared" si="126"/>
        <v>20</v>
      </c>
      <c r="CS56" s="5">
        <f>CP56</f>
        <v>3</v>
      </c>
      <c r="CT56" s="5">
        <f>SUM(CQ56:CS56)</f>
        <v>34</v>
      </c>
      <c r="CY56" s="40"/>
      <c r="DF56" s="40"/>
    </row>
    <row r="57" spans="1:110" s="6" customFormat="1" ht="17.25" customHeight="1" thickBot="1">
      <c r="A57" s="40"/>
      <c r="B57" s="45">
        <v>45</v>
      </c>
      <c r="C57" s="327" t="s">
        <v>158</v>
      </c>
      <c r="D57" s="324"/>
      <c r="E57" s="45" t="s">
        <v>18</v>
      </c>
      <c r="F57" s="193">
        <v>62</v>
      </c>
      <c r="G57" s="325">
        <v>11388.429</v>
      </c>
      <c r="H57" s="325">
        <v>11896.237999999999</v>
      </c>
      <c r="I57" s="195">
        <f>H57-G57</f>
        <v>507.80899999999929</v>
      </c>
      <c r="J57" s="195">
        <f t="shared" si="201"/>
        <v>995.11099999999715</v>
      </c>
      <c r="K57" s="132" t="s">
        <v>154</v>
      </c>
      <c r="L57" s="409"/>
      <c r="M57" s="412"/>
      <c r="N57" s="415"/>
      <c r="O57" s="421"/>
      <c r="P57" s="77">
        <v>3</v>
      </c>
      <c r="Q57" s="329">
        <v>766.79158999999891</v>
      </c>
      <c r="R57" s="44">
        <v>53.9</v>
      </c>
      <c r="S57" s="43">
        <v>2</v>
      </c>
      <c r="T57" s="42">
        <f t="shared" si="115"/>
        <v>7.5</v>
      </c>
      <c r="U57" s="331">
        <v>2803.105679999996</v>
      </c>
      <c r="V57" s="41">
        <v>190</v>
      </c>
      <c r="W57" s="43">
        <v>2</v>
      </c>
      <c r="X57" s="42">
        <f t="shared" si="116"/>
        <v>7.5</v>
      </c>
      <c r="Y57" s="331">
        <v>680.46405999999911</v>
      </c>
      <c r="Z57" s="41">
        <v>42</v>
      </c>
      <c r="AA57" s="43">
        <v>2</v>
      </c>
      <c r="AB57" s="75">
        <f>IF(Y57="","",CEILING(Y57/Z57/AA57,0.5)+1)</f>
        <v>9.5</v>
      </c>
      <c r="AC57" s="331">
        <v>406.24719999999945</v>
      </c>
      <c r="AD57" s="41">
        <v>40</v>
      </c>
      <c r="AE57" s="43">
        <v>2</v>
      </c>
      <c r="AF57" s="42">
        <f>CEILING(AC57/AD57/AE57,0.5)</f>
        <v>5.5</v>
      </c>
      <c r="AG57" s="331">
        <v>182.81123999999977</v>
      </c>
      <c r="AH57" s="41">
        <v>130</v>
      </c>
      <c r="AI57" s="43">
        <v>1</v>
      </c>
      <c r="AJ57" s="75">
        <f>IF(AG57="","",ROUNDUP(AG57/AH57/AI57,0)+1)</f>
        <v>3</v>
      </c>
      <c r="AK57" s="77">
        <f t="shared" si="216"/>
        <v>2</v>
      </c>
      <c r="AL57" s="331">
        <v>578.90225999999927</v>
      </c>
      <c r="AM57" s="41">
        <v>225</v>
      </c>
      <c r="AN57" s="43">
        <v>1</v>
      </c>
      <c r="AO57" s="42">
        <f>CEILING(AL57/AM57/AN57,0.5)</f>
        <v>3</v>
      </c>
      <c r="AP57" s="74">
        <f>ROUNDUP(SUM(P57,T57,X57,AB57,AF57,AJ57,AK57,AO57),0)</f>
        <v>41</v>
      </c>
      <c r="AQ57" s="331">
        <v>203.12359999999973</v>
      </c>
      <c r="AR57" s="73">
        <v>40</v>
      </c>
      <c r="AS57" s="43">
        <v>1</v>
      </c>
      <c r="AT57" s="42">
        <f t="shared" si="118"/>
        <v>5.5</v>
      </c>
      <c r="AU57" s="331">
        <v>223.43595999999971</v>
      </c>
      <c r="AV57" s="41">
        <v>130</v>
      </c>
      <c r="AW57" s="43">
        <v>1</v>
      </c>
      <c r="AX57" s="75">
        <f t="shared" si="119"/>
        <v>3</v>
      </c>
      <c r="AY57" s="77">
        <f t="shared" si="217"/>
        <v>5</v>
      </c>
      <c r="AZ57" s="331">
        <v>2031.2359999999971</v>
      </c>
      <c r="BA57" s="76">
        <f t="shared" si="6"/>
        <v>220</v>
      </c>
      <c r="BB57" s="43">
        <v>1</v>
      </c>
      <c r="BC57" s="42">
        <f t="shared" si="121"/>
        <v>9.5</v>
      </c>
      <c r="BD57" s="331">
        <v>765.77597199999889</v>
      </c>
      <c r="BE57" s="73">
        <v>35</v>
      </c>
      <c r="BF57" s="43">
        <v>2</v>
      </c>
      <c r="BG57" s="75">
        <f>IF(BD57="","",2)</f>
        <v>2</v>
      </c>
      <c r="BH57" s="331">
        <v>129.99910399999982</v>
      </c>
      <c r="BI57" s="72">
        <v>3.4</v>
      </c>
      <c r="BJ57" s="43">
        <v>2</v>
      </c>
      <c r="BK57" s="42">
        <f t="shared" si="122"/>
        <v>19.5</v>
      </c>
      <c r="BL57" s="331">
        <v>696.71394799999905</v>
      </c>
      <c r="BM57" s="41">
        <v>125</v>
      </c>
      <c r="BN57" s="43">
        <v>1</v>
      </c>
      <c r="BO57" s="75">
        <f>IF(BL57="","",ROUNDUP(BL57/BM57/BN57,0)+1)</f>
        <v>7</v>
      </c>
      <c r="BP57" s="77">
        <f t="shared" si="123"/>
        <v>7</v>
      </c>
      <c r="BQ57" s="71">
        <f>ROUNDUP(SUM(AT57,AX57,AY57,BC57,BG57,BK57,BO57,BP57),0)</f>
        <v>59</v>
      </c>
      <c r="BR57" s="331">
        <v>250.85764599999965</v>
      </c>
      <c r="BS57" s="41">
        <v>165</v>
      </c>
      <c r="BT57" s="43">
        <v>1</v>
      </c>
      <c r="BU57" s="42">
        <f>CEILING(BR57/BS57/BT57,0.5)</f>
        <v>2</v>
      </c>
      <c r="BV57" s="331">
        <v>340.23202999999955</v>
      </c>
      <c r="BW57" s="41">
        <v>150</v>
      </c>
      <c r="BX57" s="43">
        <v>2</v>
      </c>
      <c r="BY57" s="42">
        <f>CEILING(BV57/BW57/BX57,0.5)</f>
        <v>1.5</v>
      </c>
      <c r="BZ57" s="331">
        <v>2071.8607199999969</v>
      </c>
      <c r="CA57" s="73">
        <v>320</v>
      </c>
      <c r="CB57" s="43">
        <v>2</v>
      </c>
      <c r="CC57" s="42">
        <f>CEILING(BZ57/CA57/CB57,0.5)</f>
        <v>3.5</v>
      </c>
      <c r="CD57" s="331">
        <v>6215.5821599999908</v>
      </c>
      <c r="CE57" s="73">
        <v>8000</v>
      </c>
      <c r="CF57" s="43">
        <v>1</v>
      </c>
      <c r="CG57" s="42">
        <f>CEILING(CD57/CE57/CF57,0.5)</f>
        <v>1</v>
      </c>
      <c r="CH57" s="331">
        <v>4143.7214399999939</v>
      </c>
      <c r="CI57" s="73">
        <v>300</v>
      </c>
      <c r="CJ57" s="43">
        <v>2</v>
      </c>
      <c r="CK57" s="42">
        <f>CEILING(CH57/CI57/CJ57,0.5)</f>
        <v>7</v>
      </c>
      <c r="CL57" s="70">
        <f t="shared" si="124"/>
        <v>507.80899999999929</v>
      </c>
      <c r="CM57" s="69">
        <v>50</v>
      </c>
      <c r="CN57" s="43">
        <v>1</v>
      </c>
      <c r="CO57" s="42">
        <f>CEILING(CL57/CM57/CN57,0.5)</f>
        <v>10.5</v>
      </c>
      <c r="CP57" s="68">
        <f>ROUNDUP(SUM(BU57,BY57,CC57,CG57,CK57,CO57),0)</f>
        <v>26</v>
      </c>
      <c r="CQ57" s="4">
        <f t="shared" si="125"/>
        <v>41</v>
      </c>
      <c r="CR57" s="4">
        <f t="shared" si="126"/>
        <v>59</v>
      </c>
      <c r="CS57" s="4">
        <f>CP57</f>
        <v>26</v>
      </c>
      <c r="CT57" s="4">
        <f>SUM(CQ57:CS57)</f>
        <v>126</v>
      </c>
      <c r="CY57" s="40"/>
      <c r="DF57" s="40"/>
    </row>
    <row r="58" spans="1:110" s="6" customFormat="1" ht="17.25" customHeight="1">
      <c r="A58" s="40"/>
      <c r="B58" s="180">
        <v>46</v>
      </c>
      <c r="C58" s="180" t="s">
        <v>160</v>
      </c>
      <c r="D58" s="180" t="s">
        <v>151</v>
      </c>
      <c r="E58" s="180" t="s">
        <v>18</v>
      </c>
      <c r="F58" s="179"/>
      <c r="G58" s="318">
        <v>11958.413</v>
      </c>
      <c r="H58" s="318">
        <v>12380.499</v>
      </c>
      <c r="I58" s="178">
        <f>H58-G58</f>
        <v>422.08599999999933</v>
      </c>
      <c r="J58" s="178">
        <f>I58</f>
        <v>422.08599999999933</v>
      </c>
      <c r="K58" s="177" t="s">
        <v>161</v>
      </c>
      <c r="L58" s="407" t="s">
        <v>148</v>
      </c>
      <c r="M58" s="410">
        <f>SUM(I58:I61)</f>
        <v>1119.5349999999999</v>
      </c>
      <c r="N58" s="413">
        <f>SUM(CQ58:CQ61,CR58:CS58)/18.4</f>
        <v>9.6195652173913047</v>
      </c>
      <c r="O58" s="420">
        <v>32</v>
      </c>
      <c r="P58" s="191">
        <v>3</v>
      </c>
      <c r="Q58" s="332">
        <v>704.86713999999859</v>
      </c>
      <c r="R58" s="176">
        <v>53.9</v>
      </c>
      <c r="S58" s="175">
        <v>2</v>
      </c>
      <c r="T58" s="174">
        <f t="shared" si="115"/>
        <v>7</v>
      </c>
      <c r="U58" s="332">
        <v>2557.3966199999954</v>
      </c>
      <c r="V58" s="173">
        <v>190</v>
      </c>
      <c r="W58" s="175">
        <v>2</v>
      </c>
      <c r="X58" s="174">
        <f t="shared" si="116"/>
        <v>7</v>
      </c>
      <c r="Y58" s="332">
        <v>565.59523999999919</v>
      </c>
      <c r="Z58" s="173">
        <v>42</v>
      </c>
      <c r="AA58" s="175">
        <v>2</v>
      </c>
      <c r="AB58" s="172">
        <f>IF(Y58="","",CEILING(Y58/Z58/AA58,0.5)+1)</f>
        <v>8</v>
      </c>
      <c r="AC58" s="332">
        <v>337.66879999999946</v>
      </c>
      <c r="AD58" s="173">
        <v>40</v>
      </c>
      <c r="AE58" s="175">
        <v>2</v>
      </c>
      <c r="AF58" s="174">
        <f>CEILING(AC58/AD58/AE58,0.5)</f>
        <v>4.5</v>
      </c>
      <c r="AG58" s="332">
        <v>151.95095999999978</v>
      </c>
      <c r="AH58" s="173">
        <v>130</v>
      </c>
      <c r="AI58" s="175">
        <v>1</v>
      </c>
      <c r="AJ58" s="172">
        <f>IF(AG58="","",ROUNDUP(AG58/AH58/AI58,0)+1)</f>
        <v>3</v>
      </c>
      <c r="AK58" s="191">
        <f t="shared" si="216"/>
        <v>2</v>
      </c>
      <c r="AL58" s="332">
        <v>517.24627999999882</v>
      </c>
      <c r="AM58" s="173">
        <v>225</v>
      </c>
      <c r="AN58" s="175">
        <v>1</v>
      </c>
      <c r="AO58" s="174">
        <f>CEILING(AL58/AM58/AN58,0.5)</f>
        <v>2.5</v>
      </c>
      <c r="AP58" s="171">
        <f>ROUNDUP(SUM(P58,T58,X58,AB58,AF58,AJ58,AK58,AO58),0)</f>
        <v>37</v>
      </c>
      <c r="AQ58" s="332">
        <v>168.83439999999973</v>
      </c>
      <c r="AR58" s="170">
        <v>40</v>
      </c>
      <c r="AS58" s="175">
        <v>1</v>
      </c>
      <c r="AT58" s="174">
        <f t="shared" si="118"/>
        <v>4.5</v>
      </c>
      <c r="AU58" s="332">
        <v>185.71783999999974</v>
      </c>
      <c r="AV58" s="173">
        <v>130</v>
      </c>
      <c r="AW58" s="175">
        <v>1</v>
      </c>
      <c r="AX58" s="172">
        <f t="shared" si="119"/>
        <v>3</v>
      </c>
      <c r="AY58" s="191">
        <f t="shared" si="217"/>
        <v>5</v>
      </c>
      <c r="AZ58" s="332">
        <v>1688.3439999999973</v>
      </c>
      <c r="BA58" s="169">
        <f t="shared" si="6"/>
        <v>220</v>
      </c>
      <c r="BB58" s="175">
        <v>1</v>
      </c>
      <c r="BC58" s="174">
        <f t="shared" si="121"/>
        <v>8</v>
      </c>
      <c r="BD58" s="332">
        <v>636.50568799999894</v>
      </c>
      <c r="BE58" s="170">
        <v>35</v>
      </c>
      <c r="BF58" s="175">
        <v>2</v>
      </c>
      <c r="BG58" s="172">
        <f>IF(BD58="","",2)</f>
        <v>2</v>
      </c>
      <c r="BH58" s="332">
        <v>108.05401599999982</v>
      </c>
      <c r="BI58" s="168">
        <v>3.4</v>
      </c>
      <c r="BJ58" s="175">
        <v>2</v>
      </c>
      <c r="BK58" s="174">
        <f t="shared" si="122"/>
        <v>16</v>
      </c>
      <c r="BL58" s="332">
        <v>579.1019919999992</v>
      </c>
      <c r="BM58" s="173">
        <v>125</v>
      </c>
      <c r="BN58" s="175">
        <v>1</v>
      </c>
      <c r="BO58" s="172">
        <f>IF(BL58="","",ROUNDUP(BL58/BM58/BN58,0)+1)</f>
        <v>6</v>
      </c>
      <c r="BP58" s="191">
        <f t="shared" si="123"/>
        <v>7</v>
      </c>
      <c r="BQ58" s="167">
        <f>ROUNDUP(SUM(AT58,AX58,AY58,BC58,BG58,BK58,BO58,BP58),0)</f>
        <v>52</v>
      </c>
      <c r="BR58" s="332">
        <v>237.3999139999994</v>
      </c>
      <c r="BS58" s="173">
        <v>165</v>
      </c>
      <c r="BT58" s="175">
        <v>1</v>
      </c>
      <c r="BU58" s="174">
        <f>CEILING(BR58/BS58/BT58,0.5)</f>
        <v>1.5</v>
      </c>
      <c r="BV58" s="332">
        <v>313.4556239999992</v>
      </c>
      <c r="BW58" s="173">
        <v>150</v>
      </c>
      <c r="BX58" s="175">
        <v>2</v>
      </c>
      <c r="BY58" s="174">
        <f>CEILING(BV58/BW58/BX58,0.5)</f>
        <v>1.5</v>
      </c>
      <c r="BZ58" s="332">
        <v>1902.452079999995</v>
      </c>
      <c r="CA58" s="170">
        <v>320</v>
      </c>
      <c r="CB58" s="175">
        <v>2</v>
      </c>
      <c r="CC58" s="174">
        <f>CEILING(BZ58/CA58/CB58,0.5)</f>
        <v>3</v>
      </c>
      <c r="CD58" s="332">
        <v>5707.3562399999855</v>
      </c>
      <c r="CE58" s="170">
        <v>8000</v>
      </c>
      <c r="CF58" s="175">
        <v>1</v>
      </c>
      <c r="CG58" s="174">
        <f>CEILING(CD58/CE58/CF58,0.5)</f>
        <v>1</v>
      </c>
      <c r="CH58" s="332">
        <v>3804.90415999999</v>
      </c>
      <c r="CI58" s="170">
        <v>300</v>
      </c>
      <c r="CJ58" s="175">
        <v>2</v>
      </c>
      <c r="CK58" s="174">
        <f>CEILING(CH58/CI58/CJ58,0.5)</f>
        <v>6.5</v>
      </c>
      <c r="CL58" s="166">
        <f t="shared" si="124"/>
        <v>422.08599999999933</v>
      </c>
      <c r="CM58" s="165">
        <v>50</v>
      </c>
      <c r="CN58" s="175">
        <v>1</v>
      </c>
      <c r="CO58" s="174">
        <f>CEILING(CL58/CM58/CN58,0.5)</f>
        <v>8.5</v>
      </c>
      <c r="CP58" s="164">
        <f>ROUNDUP(SUM(BU58,BY58,CC58,CG58,CK58,CO58),0)</f>
        <v>22</v>
      </c>
      <c r="CQ58" s="163">
        <f t="shared" si="125"/>
        <v>37</v>
      </c>
      <c r="CR58" s="163">
        <f t="shared" si="126"/>
        <v>52</v>
      </c>
      <c r="CS58" s="163">
        <f>CP58</f>
        <v>22</v>
      </c>
      <c r="CT58" s="163">
        <f>SUM(CQ58:CS58)</f>
        <v>111</v>
      </c>
      <c r="CY58" s="40"/>
      <c r="DF58" s="40"/>
    </row>
    <row r="59" spans="1:110" s="6" customFormat="1" ht="17.25" customHeight="1">
      <c r="A59" s="40"/>
      <c r="B59" s="252">
        <v>47</v>
      </c>
      <c r="C59" s="326" t="s">
        <v>162</v>
      </c>
      <c r="D59" s="323" t="s">
        <v>81</v>
      </c>
      <c r="E59" s="252" t="s">
        <v>18</v>
      </c>
      <c r="F59" s="93"/>
      <c r="G59" s="319">
        <v>12420.794</v>
      </c>
      <c r="H59" s="319">
        <v>12653.433000000001</v>
      </c>
      <c r="I59" s="65">
        <f>H59-G59</f>
        <v>232.63900000000103</v>
      </c>
      <c r="J59" s="65">
        <f>J58+I59</f>
        <v>654.72500000000036</v>
      </c>
      <c r="K59" s="181" t="s">
        <v>154</v>
      </c>
      <c r="L59" s="434"/>
      <c r="M59" s="411"/>
      <c r="N59" s="414"/>
      <c r="O59" s="433"/>
      <c r="P59" s="19">
        <v>3</v>
      </c>
      <c r="Q59" s="328">
        <v>351.28489000000155</v>
      </c>
      <c r="R59" s="8">
        <v>53.9</v>
      </c>
      <c r="S59" s="9">
        <v>2</v>
      </c>
      <c r="T59" s="10">
        <f t="shared" si="115"/>
        <v>3.5</v>
      </c>
      <c r="U59" s="330">
        <v>1284.1672800000058</v>
      </c>
      <c r="V59" s="11">
        <v>190</v>
      </c>
      <c r="W59" s="9">
        <v>2</v>
      </c>
      <c r="X59" s="10">
        <f t="shared" si="116"/>
        <v>3.5</v>
      </c>
      <c r="Y59" s="330">
        <v>311.73626000000138</v>
      </c>
      <c r="Z59" s="11">
        <v>42</v>
      </c>
      <c r="AA59" s="9">
        <v>2</v>
      </c>
      <c r="AB59" s="12">
        <f>IF(Y59="","",CEILING(Y59/Z59/AA59,0.5)+1)</f>
        <v>5</v>
      </c>
      <c r="AC59" s="330">
        <v>186.11120000000085</v>
      </c>
      <c r="AD59" s="11">
        <v>40</v>
      </c>
      <c r="AE59" s="9">
        <v>2</v>
      </c>
      <c r="AF59" s="10">
        <f>CEILING(AC59/AD59/AE59,0.5)</f>
        <v>2.5</v>
      </c>
      <c r="AG59" s="330">
        <v>83.750040000000382</v>
      </c>
      <c r="AH59" s="11">
        <v>130</v>
      </c>
      <c r="AI59" s="9">
        <v>1</v>
      </c>
      <c r="AJ59" s="12">
        <f>IF(AG59="","",ROUNDUP(AG59/AH59/AI59,0)+1)</f>
        <v>2</v>
      </c>
      <c r="AK59" s="19">
        <f t="shared" si="216"/>
        <v>2</v>
      </c>
      <c r="AL59" s="330">
        <v>265.2084600000012</v>
      </c>
      <c r="AM59" s="11">
        <v>225</v>
      </c>
      <c r="AN59" s="9">
        <v>1</v>
      </c>
      <c r="AO59" s="10">
        <f>CEILING(AL59/AM59/AN59,0.5)</f>
        <v>1.5</v>
      </c>
      <c r="AP59" s="18">
        <f>ROUNDUP(SUM(P59,T59,X59,AB59,AF59,AJ59,AK59,AO59),0)</f>
        <v>23</v>
      </c>
      <c r="AQ59" s="330">
        <v>93.055600000000425</v>
      </c>
      <c r="AR59" s="13">
        <v>40</v>
      </c>
      <c r="AS59" s="9">
        <v>1</v>
      </c>
      <c r="AT59" s="10">
        <f t="shared" si="118"/>
        <v>2.5</v>
      </c>
      <c r="AU59" s="330">
        <v>102.36116000000047</v>
      </c>
      <c r="AV59" s="11">
        <v>130</v>
      </c>
      <c r="AW59" s="9">
        <v>1</v>
      </c>
      <c r="AX59" s="12">
        <f t="shared" si="119"/>
        <v>2</v>
      </c>
      <c r="AY59" s="19">
        <f t="shared" si="217"/>
        <v>5</v>
      </c>
      <c r="AZ59" s="330">
        <v>930.55600000000413</v>
      </c>
      <c r="BA59" s="25">
        <f t="shared" si="6"/>
        <v>220</v>
      </c>
      <c r="BB59" s="9">
        <v>1</v>
      </c>
      <c r="BC59" s="10">
        <f t="shared" si="121"/>
        <v>4.5</v>
      </c>
      <c r="BD59" s="330">
        <v>350.81961200000154</v>
      </c>
      <c r="BE59" s="13">
        <v>35</v>
      </c>
      <c r="BF59" s="9">
        <v>2</v>
      </c>
      <c r="BG59" s="12">
        <f>IF(BD59="","",2)</f>
        <v>2</v>
      </c>
      <c r="BH59" s="330">
        <v>59.555584000000266</v>
      </c>
      <c r="BI59" s="14">
        <v>3.4</v>
      </c>
      <c r="BJ59" s="9">
        <v>2</v>
      </c>
      <c r="BK59" s="10">
        <f t="shared" si="122"/>
        <v>9</v>
      </c>
      <c r="BL59" s="330">
        <v>319.18070800000146</v>
      </c>
      <c r="BM59" s="11">
        <v>125</v>
      </c>
      <c r="BN59" s="9">
        <v>1</v>
      </c>
      <c r="BO59" s="12">
        <f>IF(BL59="","",ROUNDUP(BL59/BM59/BN59,0)+1)</f>
        <v>4</v>
      </c>
      <c r="BP59" s="19">
        <f t="shared" si="123"/>
        <v>7</v>
      </c>
      <c r="BQ59" s="21">
        <f>ROUNDUP(SUM(AT59,AX59,AY59,BC59,BG59,BK59,BO59,BP59),0)</f>
        <v>36</v>
      </c>
      <c r="BR59" s="330">
        <v>114.92366600000051</v>
      </c>
      <c r="BS59" s="11">
        <v>165</v>
      </c>
      <c r="BT59" s="9">
        <v>1</v>
      </c>
      <c r="BU59" s="10">
        <f>CEILING(BR59/BS59/BT59,0.5)</f>
        <v>1</v>
      </c>
      <c r="BV59" s="330">
        <v>155.86813000000069</v>
      </c>
      <c r="BW59" s="11">
        <v>150</v>
      </c>
      <c r="BX59" s="9">
        <v>2</v>
      </c>
      <c r="BY59" s="10">
        <f>CEILING(BV59/BW59/BX59,0.5)</f>
        <v>1</v>
      </c>
      <c r="BZ59" s="330">
        <v>949.16712000000427</v>
      </c>
      <c r="CA59" s="13">
        <v>320</v>
      </c>
      <c r="CB59" s="9">
        <v>2</v>
      </c>
      <c r="CC59" s="10">
        <f>CEILING(BZ59/CA59/CB59,0.5)</f>
        <v>1.5</v>
      </c>
      <c r="CD59" s="330">
        <v>2847.5013600000129</v>
      </c>
      <c r="CE59" s="13">
        <v>8000</v>
      </c>
      <c r="CF59" s="9">
        <v>1</v>
      </c>
      <c r="CG59" s="10">
        <f>CEILING(CD59/CE59/CF59,0.5)</f>
        <v>0.5</v>
      </c>
      <c r="CH59" s="330">
        <v>1898.3342400000085</v>
      </c>
      <c r="CI59" s="13">
        <v>300</v>
      </c>
      <c r="CJ59" s="9">
        <v>2</v>
      </c>
      <c r="CK59" s="10">
        <f>CEILING(CH59/CI59/CJ59,0.5)</f>
        <v>3.5</v>
      </c>
      <c r="CL59" s="38">
        <f t="shared" si="124"/>
        <v>232.63900000000103</v>
      </c>
      <c r="CM59" s="15">
        <v>50</v>
      </c>
      <c r="CN59" s="9">
        <v>1</v>
      </c>
      <c r="CO59" s="10">
        <f>CEILING(CL59/CM59/CN59,0.5)</f>
        <v>5</v>
      </c>
      <c r="CP59" s="20">
        <f>ROUNDUP(SUM(BU59,BY59,CC59,CG59,CK59,CO59),0)</f>
        <v>13</v>
      </c>
      <c r="CQ59" s="5">
        <f t="shared" si="125"/>
        <v>23</v>
      </c>
      <c r="CR59" s="5">
        <f t="shared" si="126"/>
        <v>36</v>
      </c>
      <c r="CS59" s="5">
        <f>CP59</f>
        <v>13</v>
      </c>
      <c r="CT59" s="5">
        <f>SUM(CQ59:CS59)</f>
        <v>72</v>
      </c>
      <c r="CY59" s="40"/>
      <c r="DF59" s="40"/>
    </row>
    <row r="60" spans="1:110" s="6" customFormat="1" ht="17.25" customHeight="1">
      <c r="A60" s="40"/>
      <c r="B60" s="223">
        <v>48</v>
      </c>
      <c r="C60" s="320" t="s">
        <v>163</v>
      </c>
      <c r="D60" s="320" t="s">
        <v>81</v>
      </c>
      <c r="E60" s="223" t="s">
        <v>18</v>
      </c>
      <c r="F60" s="224"/>
      <c r="G60" s="321">
        <v>12653.433000000001</v>
      </c>
      <c r="H60" s="321">
        <v>12743.433000000001</v>
      </c>
      <c r="I60" s="227">
        <f t="shared" ref="I60" si="218">H60-G60</f>
        <v>90</v>
      </c>
      <c r="J60" s="227">
        <f>J59+I60</f>
        <v>744.72500000000036</v>
      </c>
      <c r="K60" s="322" t="s">
        <v>164</v>
      </c>
      <c r="L60" s="434"/>
      <c r="M60" s="411"/>
      <c r="N60" s="414"/>
      <c r="O60" s="433"/>
      <c r="P60" s="19">
        <v>3</v>
      </c>
      <c r="Q60" s="328">
        <v>54</v>
      </c>
      <c r="R60" s="8">
        <v>53.9</v>
      </c>
      <c r="S60" s="9">
        <v>2</v>
      </c>
      <c r="T60" s="10">
        <f t="shared" si="115"/>
        <v>1</v>
      </c>
      <c r="U60" s="122"/>
      <c r="V60" s="11">
        <v>190</v>
      </c>
      <c r="W60" s="9">
        <v>2</v>
      </c>
      <c r="X60" s="10">
        <f t="shared" si="116"/>
        <v>0</v>
      </c>
      <c r="Y60" s="394" t="s">
        <v>49</v>
      </c>
      <c r="Z60" s="394"/>
      <c r="AA60" s="394"/>
      <c r="AB60" s="394"/>
      <c r="AC60" s="94">
        <f>I60*2</f>
        <v>180</v>
      </c>
      <c r="AD60" s="25">
        <v>20</v>
      </c>
      <c r="AE60" s="9">
        <v>2</v>
      </c>
      <c r="AF60" s="10">
        <f t="shared" ref="AF60" si="219">CEILING(AC60/AD60/AE60,0.5)</f>
        <v>4.5</v>
      </c>
      <c r="AG60" s="122"/>
      <c r="AH60" s="11"/>
      <c r="AI60" s="9"/>
      <c r="AJ60" s="12"/>
      <c r="AK60" s="19"/>
      <c r="AL60" s="122"/>
      <c r="AM60" s="11">
        <v>225</v>
      </c>
      <c r="AN60" s="9">
        <v>1</v>
      </c>
      <c r="AO60" s="10">
        <f t="shared" ref="AO60" si="220">ROUND(AL60/AM60/AN60,0)</f>
        <v>0</v>
      </c>
      <c r="AP60" s="18">
        <f>ROUNDUP(SUM(T60,X60,AF60,AJ60,AK60,AO60,P60),0)</f>
        <v>9</v>
      </c>
      <c r="AQ60" s="122"/>
      <c r="AR60" s="13">
        <v>40</v>
      </c>
      <c r="AS60" s="9">
        <v>1</v>
      </c>
      <c r="AT60" s="10">
        <f t="shared" si="118"/>
        <v>0</v>
      </c>
      <c r="AU60" s="122"/>
      <c r="AV60" s="11">
        <v>130</v>
      </c>
      <c r="AW60" s="9">
        <v>1</v>
      </c>
      <c r="AX60" s="12" t="str">
        <f t="shared" si="119"/>
        <v/>
      </c>
      <c r="AY60" s="19"/>
      <c r="AZ60" s="330">
        <v>360</v>
      </c>
      <c r="BA60" s="25">
        <f t="shared" si="6"/>
        <v>220</v>
      </c>
      <c r="BB60" s="9">
        <v>1</v>
      </c>
      <c r="BC60" s="10">
        <f t="shared" si="121"/>
        <v>2</v>
      </c>
      <c r="BD60" s="330">
        <v>135.72</v>
      </c>
      <c r="BE60" s="13">
        <v>35</v>
      </c>
      <c r="BF60" s="9">
        <v>2</v>
      </c>
      <c r="BG60" s="12">
        <f t="shared" ref="BG60" si="221">IF(BD60="","",2)</f>
        <v>2</v>
      </c>
      <c r="BH60" s="330">
        <v>23.04</v>
      </c>
      <c r="BI60" s="14">
        <v>3.4</v>
      </c>
      <c r="BJ60" s="9">
        <v>2</v>
      </c>
      <c r="BK60" s="10">
        <f t="shared" si="122"/>
        <v>3.5</v>
      </c>
      <c r="BL60" s="330">
        <v>123.48</v>
      </c>
      <c r="BM60" s="11">
        <v>125</v>
      </c>
      <c r="BN60" s="9">
        <v>1</v>
      </c>
      <c r="BO60" s="12">
        <f t="shared" ref="BO60" si="222">IF(BL60="","",ROUNDUP(BL60/BM60/BN60,0)+1)</f>
        <v>2</v>
      </c>
      <c r="BP60" s="19">
        <f t="shared" si="123"/>
        <v>7</v>
      </c>
      <c r="BQ60" s="21">
        <f t="shared" ref="BQ60" si="223">ROUNDUP(SUM(AT60,AX60,AY60,BC60,BG60,BK60,BO60,BP60),0)</f>
        <v>17</v>
      </c>
      <c r="BR60" s="122"/>
      <c r="BS60" s="11">
        <v>165</v>
      </c>
      <c r="BT60" s="9">
        <v>1</v>
      </c>
      <c r="BU60" s="10">
        <f t="shared" ref="BU60" si="224">CEILING(BR60/BS60/BT60,0.5)</f>
        <v>0</v>
      </c>
      <c r="BV60" s="330">
        <v>16.47</v>
      </c>
      <c r="BW60" s="11">
        <v>150</v>
      </c>
      <c r="BX60" s="9">
        <v>2</v>
      </c>
      <c r="BY60" s="10">
        <f t="shared" ref="BY60" si="225">CEILING(BV60/BW60/BX60,0.5)</f>
        <v>0.5</v>
      </c>
      <c r="BZ60" s="330">
        <v>140.4</v>
      </c>
      <c r="CA60" s="13">
        <v>320</v>
      </c>
      <c r="CB60" s="9">
        <v>2</v>
      </c>
      <c r="CC60" s="10">
        <f t="shared" ref="CC60" si="226">CEILING(BZ60/CA60/CB60,0.5)</f>
        <v>0.5</v>
      </c>
      <c r="CD60" s="330">
        <v>421.20000000000005</v>
      </c>
      <c r="CE60" s="13">
        <v>8000</v>
      </c>
      <c r="CF60" s="9">
        <v>1</v>
      </c>
      <c r="CG60" s="10">
        <f t="shared" ref="CG60" si="227">CEILING(CD60/CE60/CF60,0.5)</f>
        <v>0.5</v>
      </c>
      <c r="CH60" s="330">
        <v>280.8</v>
      </c>
      <c r="CI60" s="13">
        <v>300</v>
      </c>
      <c r="CJ60" s="9">
        <v>2</v>
      </c>
      <c r="CK60" s="10">
        <f t="shared" ref="CK60" si="228">CEILING(CH60/CI60/CJ60,0.5)</f>
        <v>0.5</v>
      </c>
      <c r="CL60" s="38">
        <f t="shared" si="124"/>
        <v>90</v>
      </c>
      <c r="CM60" s="15">
        <v>50</v>
      </c>
      <c r="CN60" s="9">
        <v>1</v>
      </c>
      <c r="CO60" s="10">
        <f t="shared" ref="CO60" si="229">CEILING(CL60/CM60/CN60,0.5)</f>
        <v>2</v>
      </c>
      <c r="CP60" s="20">
        <f t="shared" ref="CP60" si="230">ROUNDUP(SUM(BU60,BY60,CC60,CG60,CK60,CO60),0)</f>
        <v>4</v>
      </c>
      <c r="CQ60" s="5">
        <f t="shared" si="125"/>
        <v>9</v>
      </c>
      <c r="CR60" s="5">
        <f t="shared" si="126"/>
        <v>17</v>
      </c>
      <c r="CS60" s="5">
        <f t="shared" ref="CS60" si="231">CP60</f>
        <v>4</v>
      </c>
      <c r="CT60" s="5">
        <f t="shared" ref="CT60" si="232">SUM(CQ60:CS60)</f>
        <v>30</v>
      </c>
      <c r="CY60" s="40"/>
      <c r="DF60" s="40"/>
    </row>
    <row r="61" spans="1:110" s="6" customFormat="1" ht="17.25" customHeight="1" thickBot="1">
      <c r="A61" s="40"/>
      <c r="B61" s="45">
        <v>49</v>
      </c>
      <c r="C61" s="45" t="s">
        <v>165</v>
      </c>
      <c r="D61" s="354" t="s">
        <v>81</v>
      </c>
      <c r="E61" s="45" t="s">
        <v>18</v>
      </c>
      <c r="F61" s="193"/>
      <c r="G61" s="355">
        <v>12743.433000000001</v>
      </c>
      <c r="H61" s="355">
        <v>13118.243</v>
      </c>
      <c r="I61" s="195">
        <f>H61-G61</f>
        <v>374.80999999999949</v>
      </c>
      <c r="J61" s="195">
        <f>J60+I61</f>
        <v>1119.5349999999999</v>
      </c>
      <c r="K61" s="132" t="s">
        <v>154</v>
      </c>
      <c r="L61" s="419"/>
      <c r="M61" s="412"/>
      <c r="N61" s="415"/>
      <c r="O61" s="421"/>
      <c r="P61" s="77">
        <v>3</v>
      </c>
      <c r="Q61" s="356">
        <v>625.01173999999969</v>
      </c>
      <c r="R61" s="44">
        <v>53.9</v>
      </c>
      <c r="S61" s="43">
        <v>2</v>
      </c>
      <c r="T61" s="42">
        <f t="shared" si="115"/>
        <v>6</v>
      </c>
      <c r="U61" s="356">
        <v>2220.6733999999983</v>
      </c>
      <c r="V61" s="41">
        <v>190</v>
      </c>
      <c r="W61" s="43">
        <v>2</v>
      </c>
      <c r="X61" s="42">
        <f t="shared" si="116"/>
        <v>6</v>
      </c>
      <c r="Y61" s="356">
        <v>502.24539999999934</v>
      </c>
      <c r="Z61" s="41">
        <v>42</v>
      </c>
      <c r="AA61" s="43">
        <v>2</v>
      </c>
      <c r="AB61" s="75">
        <f>IF(Y61="","",CEILING(Y61/Z61/AA61,0.5)+1)</f>
        <v>7</v>
      </c>
      <c r="AC61" s="356">
        <v>299.84799999999962</v>
      </c>
      <c r="AD61" s="41">
        <v>40</v>
      </c>
      <c r="AE61" s="43">
        <v>2</v>
      </c>
      <c r="AF61" s="42">
        <f>CEILING(AC61/AD61/AE61,0.5)</f>
        <v>4</v>
      </c>
      <c r="AG61" s="356">
        <v>134.93159999999983</v>
      </c>
      <c r="AH61" s="41">
        <v>130</v>
      </c>
      <c r="AI61" s="43">
        <v>1</v>
      </c>
      <c r="AJ61" s="75">
        <f>IF(AG61="","",ROUNDUP(AG61/AH61/AI61,0)+1)</f>
        <v>3</v>
      </c>
      <c r="AK61" s="77">
        <f t="shared" ref="AK61:AK64" si="233">IF(E61="보통",2,IF(E61="조강",1,""))</f>
        <v>2</v>
      </c>
      <c r="AL61" s="356">
        <v>489.6125199999999</v>
      </c>
      <c r="AM61" s="41">
        <v>225</v>
      </c>
      <c r="AN61" s="43">
        <v>1</v>
      </c>
      <c r="AO61" s="42">
        <f>CEILING(AL61/AM61/AN61,0.5)</f>
        <v>2.5</v>
      </c>
      <c r="AP61" s="74">
        <f>ROUNDUP(SUM(P61,T61,X61,AB61,AF61,AJ61,AK61,AO61),0)</f>
        <v>34</v>
      </c>
      <c r="AQ61" s="356">
        <v>149.92399999999981</v>
      </c>
      <c r="AR61" s="73">
        <v>40</v>
      </c>
      <c r="AS61" s="43">
        <v>1</v>
      </c>
      <c r="AT61" s="42">
        <f t="shared" si="118"/>
        <v>4</v>
      </c>
      <c r="AU61" s="356">
        <v>164.91639999999978</v>
      </c>
      <c r="AV61" s="41">
        <v>130</v>
      </c>
      <c r="AW61" s="43">
        <v>1</v>
      </c>
      <c r="AX61" s="75">
        <f t="shared" si="119"/>
        <v>3</v>
      </c>
      <c r="AY61" s="77">
        <f t="shared" ref="AY61:AY64" si="234">IF(E61="보통",5,IF(E61="조강",2,""))</f>
        <v>5</v>
      </c>
      <c r="AZ61" s="356">
        <v>1499.239999999998</v>
      </c>
      <c r="BA61" s="76">
        <f t="shared" si="6"/>
        <v>220</v>
      </c>
      <c r="BB61" s="43">
        <v>1</v>
      </c>
      <c r="BC61" s="42">
        <f t="shared" si="121"/>
        <v>7</v>
      </c>
      <c r="BD61" s="356">
        <v>565.21347999999921</v>
      </c>
      <c r="BE61" s="73">
        <v>35</v>
      </c>
      <c r="BF61" s="43">
        <v>2</v>
      </c>
      <c r="BG61" s="75">
        <f>IF(BD61="","",2)</f>
        <v>2</v>
      </c>
      <c r="BH61" s="356">
        <v>95.95135999999988</v>
      </c>
      <c r="BI61" s="72">
        <v>3.4</v>
      </c>
      <c r="BJ61" s="43">
        <v>2</v>
      </c>
      <c r="BK61" s="42">
        <f t="shared" si="122"/>
        <v>14.5</v>
      </c>
      <c r="BL61" s="356">
        <v>514.23931999999934</v>
      </c>
      <c r="BM61" s="41">
        <v>125</v>
      </c>
      <c r="BN61" s="43">
        <v>1</v>
      </c>
      <c r="BO61" s="75">
        <f>IF(BL61="","",ROUNDUP(BL61/BM61/BN61,0)+1)</f>
        <v>6</v>
      </c>
      <c r="BP61" s="77">
        <f t="shared" si="123"/>
        <v>7</v>
      </c>
      <c r="BQ61" s="71">
        <f>ROUNDUP(SUM(AT61,AX61,AY61,BC61,BG61,BK61,BO61,BP61),0)</f>
        <v>49</v>
      </c>
      <c r="BR61" s="356">
        <v>221.65148000000002</v>
      </c>
      <c r="BS61" s="41">
        <v>165</v>
      </c>
      <c r="BT61" s="43">
        <v>1</v>
      </c>
      <c r="BU61" s="42">
        <f>CEILING(BR61/BS61/BT61,0.5)</f>
        <v>1.5</v>
      </c>
      <c r="BV61" s="356">
        <v>304.10245200000008</v>
      </c>
      <c r="BW61" s="41">
        <v>150</v>
      </c>
      <c r="BX61" s="43">
        <v>2</v>
      </c>
      <c r="BY61" s="42">
        <f>CEILING(BV61/BW61/BX61,0.5)</f>
        <v>1.5</v>
      </c>
      <c r="BZ61" s="356">
        <v>1840.8704000000002</v>
      </c>
      <c r="CA61" s="73">
        <v>320</v>
      </c>
      <c r="CB61" s="43">
        <v>2</v>
      </c>
      <c r="CC61" s="42">
        <f>CEILING(BZ61/CA61/CB61,0.5)</f>
        <v>3</v>
      </c>
      <c r="CD61" s="356">
        <v>5522.6112000000012</v>
      </c>
      <c r="CE61" s="73">
        <v>8000</v>
      </c>
      <c r="CF61" s="43">
        <v>1</v>
      </c>
      <c r="CG61" s="42">
        <f>CEILING(CD61/CE61/CF61,0.5)</f>
        <v>1</v>
      </c>
      <c r="CH61" s="356">
        <v>3681.7408000000005</v>
      </c>
      <c r="CI61" s="73">
        <v>300</v>
      </c>
      <c r="CJ61" s="43">
        <v>2</v>
      </c>
      <c r="CK61" s="42">
        <f>CEILING(CH61/CI61/CJ61,0.5)</f>
        <v>6.5</v>
      </c>
      <c r="CL61" s="70">
        <f t="shared" si="124"/>
        <v>374.80999999999949</v>
      </c>
      <c r="CM61" s="69">
        <v>50</v>
      </c>
      <c r="CN61" s="43">
        <v>1</v>
      </c>
      <c r="CO61" s="42">
        <f>CEILING(CL61/CM61/CN61,0.5)</f>
        <v>7.5</v>
      </c>
      <c r="CP61" s="68">
        <f>ROUNDUP(SUM(BU61,BY61,CC61,CG61,CK61,CO61),0)</f>
        <v>21</v>
      </c>
      <c r="CQ61" s="4">
        <f t="shared" si="125"/>
        <v>34</v>
      </c>
      <c r="CR61" s="4">
        <f t="shared" si="126"/>
        <v>49</v>
      </c>
      <c r="CS61" s="4">
        <f>CP61</f>
        <v>21</v>
      </c>
      <c r="CT61" s="4">
        <f>SUM(CQ61:CS61)</f>
        <v>104</v>
      </c>
      <c r="CY61" s="40"/>
      <c r="DF61" s="40"/>
    </row>
    <row r="62" spans="1:110" s="6" customFormat="1" ht="17.25" customHeight="1">
      <c r="A62" s="40"/>
      <c r="B62" s="180">
        <v>50</v>
      </c>
      <c r="C62" s="180" t="s">
        <v>166</v>
      </c>
      <c r="D62" s="180" t="s">
        <v>151</v>
      </c>
      <c r="E62" s="180" t="s">
        <v>18</v>
      </c>
      <c r="F62" s="179"/>
      <c r="G62" s="361">
        <v>13162.977999999999</v>
      </c>
      <c r="H62" s="361">
        <v>13571.804</v>
      </c>
      <c r="I62" s="178">
        <f>H62-G62</f>
        <v>408.82600000000093</v>
      </c>
      <c r="J62" s="178">
        <f>I62</f>
        <v>408.82600000000093</v>
      </c>
      <c r="K62" s="177" t="s">
        <v>167</v>
      </c>
      <c r="L62" s="407" t="s">
        <v>176</v>
      </c>
      <c r="M62" s="410">
        <f>SUM(I62:I63)</f>
        <v>695.89400000000023</v>
      </c>
      <c r="N62" s="413">
        <f>SUM(CQ62:CQ63,CR62:CS62)/18.4</f>
        <v>8.1521739130434785</v>
      </c>
      <c r="O62" s="420">
        <v>33</v>
      </c>
      <c r="P62" s="191">
        <v>3</v>
      </c>
      <c r="Q62" s="379">
        <v>911.68198000000211</v>
      </c>
      <c r="R62" s="176">
        <v>53.9</v>
      </c>
      <c r="S62" s="175">
        <v>2</v>
      </c>
      <c r="T62" s="174">
        <f t="shared" si="115"/>
        <v>8.5</v>
      </c>
      <c r="U62" s="379">
        <v>3067.0476200000066</v>
      </c>
      <c r="V62" s="173">
        <v>190</v>
      </c>
      <c r="W62" s="175">
        <v>2</v>
      </c>
      <c r="X62" s="174">
        <f t="shared" si="116"/>
        <v>8.5</v>
      </c>
      <c r="Y62" s="379">
        <v>547.82684000000131</v>
      </c>
      <c r="Z62" s="173">
        <v>42</v>
      </c>
      <c r="AA62" s="175">
        <v>2</v>
      </c>
      <c r="AB62" s="172">
        <f>IF(Y62="","",CEILING(Y62/Z62/AA62,0.5)+1)</f>
        <v>8</v>
      </c>
      <c r="AC62" s="379">
        <v>327.06080000000077</v>
      </c>
      <c r="AD62" s="173">
        <v>40</v>
      </c>
      <c r="AE62" s="175">
        <v>2</v>
      </c>
      <c r="AF62" s="174">
        <f>CEILING(AC62/AD62/AE62,0.5)</f>
        <v>4.5</v>
      </c>
      <c r="AG62" s="379">
        <v>147.17736000000036</v>
      </c>
      <c r="AH62" s="173">
        <v>130</v>
      </c>
      <c r="AI62" s="175">
        <v>1</v>
      </c>
      <c r="AJ62" s="172">
        <f>IF(AG62="","",ROUNDUP(AG62/AH62/AI62,0)+1)</f>
        <v>3</v>
      </c>
      <c r="AK62" s="191">
        <f t="shared" si="233"/>
        <v>2</v>
      </c>
      <c r="AL62" s="379">
        <v>741.56940000000179</v>
      </c>
      <c r="AM62" s="173">
        <v>225</v>
      </c>
      <c r="AN62" s="175">
        <v>1</v>
      </c>
      <c r="AO62" s="174">
        <f>CEILING(AL62/AM62/AN62,0.5)</f>
        <v>3.5</v>
      </c>
      <c r="AP62" s="171">
        <f>ROUNDUP(SUM(P62,T62,X62,AB62,AF62,AJ62,AK62,AO62),0)</f>
        <v>41</v>
      </c>
      <c r="AQ62" s="379">
        <v>163.53040000000038</v>
      </c>
      <c r="AR62" s="170">
        <v>40</v>
      </c>
      <c r="AS62" s="175">
        <v>1</v>
      </c>
      <c r="AT62" s="174">
        <f t="shared" si="118"/>
        <v>4.5</v>
      </c>
      <c r="AU62" s="379">
        <v>179.88344000000043</v>
      </c>
      <c r="AV62" s="173">
        <v>130</v>
      </c>
      <c r="AW62" s="175">
        <v>1</v>
      </c>
      <c r="AX62" s="172">
        <f t="shared" si="119"/>
        <v>3</v>
      </c>
      <c r="AY62" s="191">
        <f t="shared" si="234"/>
        <v>5</v>
      </c>
      <c r="AZ62" s="379">
        <v>1635.3040000000037</v>
      </c>
      <c r="BA62" s="169">
        <f t="shared" si="6"/>
        <v>220</v>
      </c>
      <c r="BB62" s="175">
        <v>1</v>
      </c>
      <c r="BC62" s="174">
        <f t="shared" si="121"/>
        <v>7.5</v>
      </c>
      <c r="BD62" s="379">
        <v>616.50960800000144</v>
      </c>
      <c r="BE62" s="170">
        <v>35</v>
      </c>
      <c r="BF62" s="175">
        <v>2</v>
      </c>
      <c r="BG62" s="172">
        <f>IF(BD62="","",2)</f>
        <v>2</v>
      </c>
      <c r="BH62" s="379">
        <v>104.65945600000023</v>
      </c>
      <c r="BI62" s="168">
        <v>3.4</v>
      </c>
      <c r="BJ62" s="175">
        <v>2</v>
      </c>
      <c r="BK62" s="174">
        <f t="shared" si="122"/>
        <v>15.5</v>
      </c>
      <c r="BL62" s="379">
        <v>560.90927200000135</v>
      </c>
      <c r="BM62" s="173">
        <v>125</v>
      </c>
      <c r="BN62" s="175">
        <v>1</v>
      </c>
      <c r="BO62" s="172">
        <f>IF(BL62="","",ROUNDUP(BL62/BM62/BN62,0)+1)</f>
        <v>6</v>
      </c>
      <c r="BP62" s="191">
        <f t="shared" si="123"/>
        <v>7</v>
      </c>
      <c r="BQ62" s="167">
        <f>ROUNDUP(SUM(AT62,AX62,AY62,BC62,BG62,BK62,BO62,BP62),0)</f>
        <v>51</v>
      </c>
      <c r="BR62" s="379">
        <v>371.04761400000081</v>
      </c>
      <c r="BS62" s="173">
        <v>165</v>
      </c>
      <c r="BT62" s="175">
        <v>1</v>
      </c>
      <c r="BU62" s="174">
        <f>CEILING(BR62/BS62/BT62,0.5)</f>
        <v>2.5</v>
      </c>
      <c r="BV62" s="379">
        <v>508.09501600000124</v>
      </c>
      <c r="BW62" s="173">
        <v>150</v>
      </c>
      <c r="BX62" s="175">
        <v>2</v>
      </c>
      <c r="BY62" s="174">
        <f>CEILING(BV62/BW62/BX62,0.5)</f>
        <v>2</v>
      </c>
      <c r="BZ62" s="379">
        <v>3045.5488800000076</v>
      </c>
      <c r="CA62" s="170">
        <v>320</v>
      </c>
      <c r="CB62" s="175">
        <v>2</v>
      </c>
      <c r="CC62" s="174">
        <f>CEILING(BZ62/CA62/CB62,0.5)</f>
        <v>5</v>
      </c>
      <c r="CD62" s="379">
        <v>9136.6466400000227</v>
      </c>
      <c r="CE62" s="170">
        <v>8000</v>
      </c>
      <c r="CF62" s="175">
        <v>1</v>
      </c>
      <c r="CG62" s="174">
        <f>CEILING(CD62/CE62/CF62,0.5)</f>
        <v>1.5</v>
      </c>
      <c r="CH62" s="379">
        <v>6091.0977600000151</v>
      </c>
      <c r="CI62" s="170">
        <v>300</v>
      </c>
      <c r="CJ62" s="175">
        <v>2</v>
      </c>
      <c r="CK62" s="174">
        <f>CEILING(CH62/CI62/CJ62,0.5)</f>
        <v>10.5</v>
      </c>
      <c r="CL62" s="166">
        <f t="shared" si="124"/>
        <v>408.82600000000093</v>
      </c>
      <c r="CM62" s="165">
        <v>50</v>
      </c>
      <c r="CN62" s="175">
        <v>1</v>
      </c>
      <c r="CO62" s="174">
        <f>CEILING(CL62/CM62/CN62,0.5)</f>
        <v>8.5</v>
      </c>
      <c r="CP62" s="164">
        <f>ROUNDUP(SUM(BU62,BY62,CC62,CG62,CK62,CO62),0)</f>
        <v>30</v>
      </c>
      <c r="CQ62" s="163">
        <f t="shared" si="125"/>
        <v>41</v>
      </c>
      <c r="CR62" s="163">
        <f t="shared" si="126"/>
        <v>51</v>
      </c>
      <c r="CS62" s="163">
        <f>CP62</f>
        <v>30</v>
      </c>
      <c r="CT62" s="163">
        <f>SUM(CQ62:CS62)</f>
        <v>122</v>
      </c>
      <c r="CY62" s="40"/>
      <c r="DF62" s="40"/>
    </row>
    <row r="63" spans="1:110" s="6" customFormat="1" ht="17.25" customHeight="1" thickBot="1">
      <c r="A63" s="40"/>
      <c r="B63" s="45">
        <v>51</v>
      </c>
      <c r="C63" s="45" t="s">
        <v>168</v>
      </c>
      <c r="D63" s="45" t="s">
        <v>151</v>
      </c>
      <c r="E63" s="45" t="s">
        <v>18</v>
      </c>
      <c r="F63" s="193"/>
      <c r="G63" s="370">
        <v>13610.768</v>
      </c>
      <c r="H63" s="370">
        <v>13897.835999999999</v>
      </c>
      <c r="I63" s="195">
        <f>H63-G63</f>
        <v>287.0679999999993</v>
      </c>
      <c r="J63" s="195">
        <f>J62+I63</f>
        <v>695.89400000000023</v>
      </c>
      <c r="K63" s="132" t="s">
        <v>169</v>
      </c>
      <c r="L63" s="419"/>
      <c r="M63" s="412"/>
      <c r="N63" s="415"/>
      <c r="O63" s="421"/>
      <c r="P63" s="77">
        <v>3</v>
      </c>
      <c r="Q63" s="375">
        <v>499.92219999999838</v>
      </c>
      <c r="R63" s="44">
        <v>53.9</v>
      </c>
      <c r="S63" s="43">
        <v>2</v>
      </c>
      <c r="T63" s="42">
        <f t="shared" si="115"/>
        <v>5</v>
      </c>
      <c r="U63" s="375">
        <v>1809.3537099999949</v>
      </c>
      <c r="V63" s="41">
        <v>190</v>
      </c>
      <c r="W63" s="43">
        <v>2</v>
      </c>
      <c r="X63" s="42">
        <f t="shared" si="116"/>
        <v>5</v>
      </c>
      <c r="Y63" s="375">
        <v>384.67111999999912</v>
      </c>
      <c r="Z63" s="41">
        <v>42</v>
      </c>
      <c r="AA63" s="43">
        <v>2</v>
      </c>
      <c r="AB63" s="75">
        <f>IF(Y63="","",CEILING(Y63/Z63/AA63,0.5)+1)</f>
        <v>6</v>
      </c>
      <c r="AC63" s="375">
        <v>229.65439999999944</v>
      </c>
      <c r="AD63" s="41">
        <v>40</v>
      </c>
      <c r="AE63" s="43">
        <v>2</v>
      </c>
      <c r="AF63" s="42">
        <f>CEILING(AC63/AD63/AE63,0.5)</f>
        <v>3</v>
      </c>
      <c r="AG63" s="375">
        <v>103.34447999999978</v>
      </c>
      <c r="AH63" s="41">
        <v>130</v>
      </c>
      <c r="AI63" s="43">
        <v>1</v>
      </c>
      <c r="AJ63" s="75">
        <f>IF(AG63="","",ROUNDUP(AG63/AH63/AI63,0)+1)</f>
        <v>2</v>
      </c>
      <c r="AK63" s="77">
        <f t="shared" si="233"/>
        <v>2</v>
      </c>
      <c r="AL63" s="375">
        <v>362.19867999999872</v>
      </c>
      <c r="AM63" s="41">
        <v>225</v>
      </c>
      <c r="AN63" s="43">
        <v>1</v>
      </c>
      <c r="AO63" s="42">
        <f>CEILING(AL63/AM63/AN63,0.5)</f>
        <v>2</v>
      </c>
      <c r="AP63" s="74">
        <f>ROUNDUP(SUM(P63,T63,X63,AB63,AF63,AJ63,AK63,AO63),0)</f>
        <v>28</v>
      </c>
      <c r="AQ63" s="375">
        <v>114.82719999999972</v>
      </c>
      <c r="AR63" s="73">
        <v>40</v>
      </c>
      <c r="AS63" s="43">
        <v>1</v>
      </c>
      <c r="AT63" s="42">
        <f t="shared" si="118"/>
        <v>3</v>
      </c>
      <c r="AU63" s="375">
        <v>126.30991999999969</v>
      </c>
      <c r="AV63" s="41">
        <v>130</v>
      </c>
      <c r="AW63" s="43">
        <v>1</v>
      </c>
      <c r="AX63" s="75">
        <f t="shared" si="119"/>
        <v>2</v>
      </c>
      <c r="AY63" s="77">
        <f t="shared" si="234"/>
        <v>5</v>
      </c>
      <c r="AZ63" s="375">
        <v>1148.2719999999972</v>
      </c>
      <c r="BA63" s="76">
        <f t="shared" si="6"/>
        <v>220</v>
      </c>
      <c r="BB63" s="43">
        <v>1</v>
      </c>
      <c r="BC63" s="42">
        <f t="shared" si="121"/>
        <v>5.5</v>
      </c>
      <c r="BD63" s="375">
        <v>432.89854399999894</v>
      </c>
      <c r="BE63" s="73">
        <v>35</v>
      </c>
      <c r="BF63" s="43">
        <v>2</v>
      </c>
      <c r="BG63" s="75">
        <f>IF(BD63="","",2)</f>
        <v>2</v>
      </c>
      <c r="BH63" s="375">
        <v>73.489407999999827</v>
      </c>
      <c r="BI63" s="72">
        <v>3.4</v>
      </c>
      <c r="BJ63" s="43">
        <v>2</v>
      </c>
      <c r="BK63" s="42">
        <f t="shared" si="122"/>
        <v>11</v>
      </c>
      <c r="BL63" s="375">
        <v>393.85729599999911</v>
      </c>
      <c r="BM63" s="41">
        <v>125</v>
      </c>
      <c r="BN63" s="43">
        <v>1</v>
      </c>
      <c r="BO63" s="75">
        <f>IF(BL63="","",ROUNDUP(BL63/BM63/BN63,0)+1)</f>
        <v>5</v>
      </c>
      <c r="BP63" s="77">
        <f t="shared" si="123"/>
        <v>7</v>
      </c>
      <c r="BQ63" s="71">
        <f>ROUNDUP(SUM(AT63,AX63,AY63,BC63,BG63,BK63,BO63,BP63),0)</f>
        <v>41</v>
      </c>
      <c r="BR63" s="375">
        <v>170.04108699999932</v>
      </c>
      <c r="BS63" s="41">
        <v>165</v>
      </c>
      <c r="BT63" s="43">
        <v>1</v>
      </c>
      <c r="BU63" s="42">
        <f>CEILING(BR63/BS63/BT63,0.5)</f>
        <v>1.5</v>
      </c>
      <c r="BV63" s="375">
        <v>222.03554599999907</v>
      </c>
      <c r="BW63" s="41">
        <v>150</v>
      </c>
      <c r="BX63" s="43">
        <v>2</v>
      </c>
      <c r="BY63" s="42">
        <f>CEILING(BV63/BW63/BX63,0.5)</f>
        <v>1</v>
      </c>
      <c r="BZ63" s="375">
        <v>1345.9432399999944</v>
      </c>
      <c r="CA63" s="73">
        <v>320</v>
      </c>
      <c r="CB63" s="43">
        <v>2</v>
      </c>
      <c r="CC63" s="42">
        <f>CEILING(BZ63/CA63/CB63,0.5)</f>
        <v>2.5</v>
      </c>
      <c r="CD63" s="375">
        <v>4037.8297199999834</v>
      </c>
      <c r="CE63" s="73">
        <v>8000</v>
      </c>
      <c r="CF63" s="43">
        <v>1</v>
      </c>
      <c r="CG63" s="42">
        <f>CEILING(CD63/CE63/CF63,0.5)</f>
        <v>1</v>
      </c>
      <c r="CH63" s="375">
        <v>2691.8864799999888</v>
      </c>
      <c r="CI63" s="73">
        <v>300</v>
      </c>
      <c r="CJ63" s="43">
        <v>2</v>
      </c>
      <c r="CK63" s="42">
        <f>CEILING(CH63/CI63/CJ63,0.5)</f>
        <v>4.5</v>
      </c>
      <c r="CL63" s="70">
        <f t="shared" si="124"/>
        <v>287.0679999999993</v>
      </c>
      <c r="CM63" s="69">
        <v>50</v>
      </c>
      <c r="CN63" s="43">
        <v>1</v>
      </c>
      <c r="CO63" s="42">
        <f>CEILING(CL63/CM63/CN63,0.5)</f>
        <v>6</v>
      </c>
      <c r="CP63" s="68">
        <f>ROUNDUP(SUM(BU63,BY63,CC63,CG63,CK63,CO63),0)</f>
        <v>17</v>
      </c>
      <c r="CQ63" s="4">
        <f t="shared" si="125"/>
        <v>28</v>
      </c>
      <c r="CR63" s="4">
        <f t="shared" si="126"/>
        <v>41</v>
      </c>
      <c r="CS63" s="4">
        <f>CP63</f>
        <v>17</v>
      </c>
      <c r="CT63" s="4">
        <f>SUM(CQ63:CS63)</f>
        <v>86</v>
      </c>
      <c r="CY63" s="40"/>
      <c r="DF63" s="40"/>
    </row>
    <row r="64" spans="1:110" s="6" customFormat="1" ht="17.25" customHeight="1">
      <c r="A64" s="40"/>
      <c r="B64" s="180">
        <v>52</v>
      </c>
      <c r="C64" s="378" t="s">
        <v>170</v>
      </c>
      <c r="D64" s="381" t="s">
        <v>81</v>
      </c>
      <c r="E64" s="180" t="s">
        <v>18</v>
      </c>
      <c r="F64" s="179"/>
      <c r="G64" s="361">
        <v>13965.753000000001</v>
      </c>
      <c r="H64" s="361">
        <v>14126.883</v>
      </c>
      <c r="I64" s="178">
        <f>H64-G64</f>
        <v>161.1299999999992</v>
      </c>
      <c r="J64" s="178">
        <f>I64</f>
        <v>161.1299999999992</v>
      </c>
      <c r="K64" s="177" t="s">
        <v>171</v>
      </c>
      <c r="L64" s="425" t="s">
        <v>183</v>
      </c>
      <c r="M64" s="416">
        <f>SUM(I64:I70)</f>
        <v>901.70199999999932</v>
      </c>
      <c r="N64" s="386">
        <f>SUM(CQ64:CQ70,CR69:CS69)/18.4</f>
        <v>8.0978260869565215</v>
      </c>
      <c r="O64" s="389">
        <v>41</v>
      </c>
      <c r="P64" s="191">
        <v>3</v>
      </c>
      <c r="Q64" s="379">
        <v>243.3062999999988</v>
      </c>
      <c r="R64" s="176">
        <v>53.9</v>
      </c>
      <c r="S64" s="175">
        <v>2</v>
      </c>
      <c r="T64" s="174">
        <f t="shared" si="115"/>
        <v>2.5</v>
      </c>
      <c r="U64" s="380">
        <v>889.43759999999565</v>
      </c>
      <c r="V64" s="173">
        <v>190</v>
      </c>
      <c r="W64" s="175">
        <v>2</v>
      </c>
      <c r="X64" s="174">
        <f t="shared" si="116"/>
        <v>2.5</v>
      </c>
      <c r="Y64" s="380">
        <v>215.91419999999894</v>
      </c>
      <c r="Z64" s="173">
        <v>42</v>
      </c>
      <c r="AA64" s="175">
        <v>2</v>
      </c>
      <c r="AB64" s="172">
        <f>IF(Y64="","",CEILING(Y64/Z64/AA64,0.5)+1)</f>
        <v>4</v>
      </c>
      <c r="AC64" s="380">
        <v>128.90399999999937</v>
      </c>
      <c r="AD64" s="173">
        <v>40</v>
      </c>
      <c r="AE64" s="175">
        <v>2</v>
      </c>
      <c r="AF64" s="174">
        <f>CEILING(AC64/AD64/AE64,0.5)</f>
        <v>2</v>
      </c>
      <c r="AG64" s="380">
        <v>58.006799999999721</v>
      </c>
      <c r="AH64" s="173">
        <v>130</v>
      </c>
      <c r="AI64" s="175">
        <v>1</v>
      </c>
      <c r="AJ64" s="172">
        <f>IF(AG64="","",ROUNDUP(AG64/AH64/AI64,0)+1)</f>
        <v>2</v>
      </c>
      <c r="AK64" s="191">
        <f t="shared" si="233"/>
        <v>2</v>
      </c>
      <c r="AL64" s="380">
        <v>183.68819999999911</v>
      </c>
      <c r="AM64" s="173">
        <v>225</v>
      </c>
      <c r="AN64" s="175">
        <v>1</v>
      </c>
      <c r="AO64" s="174">
        <f>CEILING(AL64/AM64/AN64,0.5)</f>
        <v>1</v>
      </c>
      <c r="AP64" s="171">
        <f>ROUNDUP(SUM(P64,T64,X64,AB64,AF64,AJ64,AK64,AO64),0)</f>
        <v>19</v>
      </c>
      <c r="AQ64" s="380">
        <v>64.451999999999686</v>
      </c>
      <c r="AR64" s="170">
        <v>40</v>
      </c>
      <c r="AS64" s="175">
        <v>1</v>
      </c>
      <c r="AT64" s="174">
        <f t="shared" si="118"/>
        <v>2</v>
      </c>
      <c r="AU64" s="380">
        <v>70.897199999999657</v>
      </c>
      <c r="AV64" s="173">
        <v>130</v>
      </c>
      <c r="AW64" s="175">
        <v>1</v>
      </c>
      <c r="AX64" s="172">
        <f t="shared" si="119"/>
        <v>2</v>
      </c>
      <c r="AY64" s="191">
        <f t="shared" si="234"/>
        <v>5</v>
      </c>
      <c r="AZ64" s="380">
        <v>644.5199999999968</v>
      </c>
      <c r="BA64" s="169">
        <f t="shared" si="6"/>
        <v>220</v>
      </c>
      <c r="BB64" s="175">
        <v>1</v>
      </c>
      <c r="BC64" s="174">
        <f t="shared" si="121"/>
        <v>3</v>
      </c>
      <c r="BD64" s="380">
        <v>242.9840399999988</v>
      </c>
      <c r="BE64" s="170">
        <v>35</v>
      </c>
      <c r="BF64" s="175">
        <v>2</v>
      </c>
      <c r="BG64" s="172">
        <f>IF(BD64="","",2)</f>
        <v>2</v>
      </c>
      <c r="BH64" s="380">
        <v>41.249279999999793</v>
      </c>
      <c r="BI64" s="168">
        <v>3.4</v>
      </c>
      <c r="BJ64" s="175">
        <v>2</v>
      </c>
      <c r="BK64" s="174">
        <f t="shared" si="122"/>
        <v>6.5</v>
      </c>
      <c r="BL64" s="380">
        <v>221.07035999999891</v>
      </c>
      <c r="BM64" s="173">
        <v>125</v>
      </c>
      <c r="BN64" s="175">
        <v>1</v>
      </c>
      <c r="BO64" s="172">
        <f>IF(BL64="","",ROUNDUP(BL64/BM64/BN64,0)+1)</f>
        <v>3</v>
      </c>
      <c r="BP64" s="191">
        <f t="shared" si="123"/>
        <v>7</v>
      </c>
      <c r="BQ64" s="167">
        <f>ROUNDUP(SUM(AT64,AX64,AY64,BC64,BG64,BK64,BO64,BP64),0)</f>
        <v>31</v>
      </c>
      <c r="BR64" s="380">
        <v>79.5982199999996</v>
      </c>
      <c r="BS64" s="173">
        <v>165</v>
      </c>
      <c r="BT64" s="175">
        <v>1</v>
      </c>
      <c r="BU64" s="174">
        <f>CEILING(BR64/BS64/BT64,0.5)</f>
        <v>0.5</v>
      </c>
      <c r="BV64" s="380">
        <v>107.95709999999947</v>
      </c>
      <c r="BW64" s="173">
        <v>150</v>
      </c>
      <c r="BX64" s="175">
        <v>2</v>
      </c>
      <c r="BY64" s="174">
        <f>CEILING(BV64/BW64/BX64,0.5)</f>
        <v>0.5</v>
      </c>
      <c r="BZ64" s="380">
        <v>657.4103999999968</v>
      </c>
      <c r="CA64" s="170">
        <v>320</v>
      </c>
      <c r="CB64" s="175">
        <v>2</v>
      </c>
      <c r="CC64" s="174">
        <f>CEILING(BZ64/CA64/CB64,0.5)</f>
        <v>1.5</v>
      </c>
      <c r="CD64" s="380">
        <v>1972.2311999999904</v>
      </c>
      <c r="CE64" s="170">
        <v>8000</v>
      </c>
      <c r="CF64" s="175">
        <v>1</v>
      </c>
      <c r="CG64" s="174">
        <f>CEILING(CD64/CE64/CF64,0.5)</f>
        <v>0.5</v>
      </c>
      <c r="CH64" s="380">
        <v>1314.8207999999936</v>
      </c>
      <c r="CI64" s="170">
        <v>300</v>
      </c>
      <c r="CJ64" s="175">
        <v>2</v>
      </c>
      <c r="CK64" s="174">
        <f>CEILING(CH64/CI64/CJ64,0.5)</f>
        <v>2.5</v>
      </c>
      <c r="CL64" s="166">
        <f t="shared" si="124"/>
        <v>161.1299999999992</v>
      </c>
      <c r="CM64" s="165">
        <v>50</v>
      </c>
      <c r="CN64" s="175">
        <v>1</v>
      </c>
      <c r="CO64" s="174">
        <f>CEILING(CL64/CM64/CN64,0.5)</f>
        <v>3.5</v>
      </c>
      <c r="CP64" s="164">
        <f>ROUNDUP(SUM(BU64,BY64,CC64,CG64,CK64,CO64),0)</f>
        <v>9</v>
      </c>
      <c r="CQ64" s="163">
        <f t="shared" si="125"/>
        <v>19</v>
      </c>
      <c r="CR64" s="163">
        <f t="shared" si="126"/>
        <v>31</v>
      </c>
      <c r="CS64" s="163">
        <f>CP64</f>
        <v>9</v>
      </c>
      <c r="CT64" s="163">
        <f>SUM(CQ64:CS64)</f>
        <v>59</v>
      </c>
      <c r="CY64" s="40"/>
      <c r="DF64" s="40"/>
    </row>
    <row r="65" spans="1:110" s="6" customFormat="1" ht="17.25" customHeight="1">
      <c r="A65" s="40"/>
      <c r="B65" s="223">
        <v>53</v>
      </c>
      <c r="C65" s="365" t="s">
        <v>172</v>
      </c>
      <c r="D65" s="365" t="s">
        <v>81</v>
      </c>
      <c r="E65" s="223" t="s">
        <v>18</v>
      </c>
      <c r="F65" s="224"/>
      <c r="G65" s="366">
        <v>14126.883</v>
      </c>
      <c r="H65" s="366">
        <v>14206.036</v>
      </c>
      <c r="I65" s="227">
        <f t="shared" ref="I65" si="235">H65-G65</f>
        <v>79.153000000000247</v>
      </c>
      <c r="J65" s="227">
        <f>J64+I65</f>
        <v>240.28299999999945</v>
      </c>
      <c r="K65" s="367" t="s">
        <v>173</v>
      </c>
      <c r="L65" s="426"/>
      <c r="M65" s="417"/>
      <c r="N65" s="387"/>
      <c r="O65" s="390"/>
      <c r="P65" s="19">
        <v>3</v>
      </c>
      <c r="Q65" s="372">
        <v>47.491800000000147</v>
      </c>
      <c r="R65" s="8">
        <v>53.9</v>
      </c>
      <c r="S65" s="9">
        <v>2</v>
      </c>
      <c r="T65" s="10">
        <f t="shared" si="115"/>
        <v>0.5</v>
      </c>
      <c r="U65" s="122"/>
      <c r="V65" s="11">
        <v>190</v>
      </c>
      <c r="W65" s="9">
        <v>2</v>
      </c>
      <c r="X65" s="10">
        <f t="shared" si="116"/>
        <v>0</v>
      </c>
      <c r="Y65" s="394" t="s">
        <v>49</v>
      </c>
      <c r="Z65" s="394"/>
      <c r="AA65" s="394"/>
      <c r="AB65" s="394"/>
      <c r="AC65" s="94">
        <f>I65*2</f>
        <v>158.30600000000049</v>
      </c>
      <c r="AD65" s="25">
        <v>20</v>
      </c>
      <c r="AE65" s="9">
        <v>2</v>
      </c>
      <c r="AF65" s="10">
        <f t="shared" ref="AF65" si="236">CEILING(AC65/AD65/AE65,0.5)</f>
        <v>4</v>
      </c>
      <c r="AG65" s="122"/>
      <c r="AH65" s="11"/>
      <c r="AI65" s="9"/>
      <c r="AJ65" s="12"/>
      <c r="AK65" s="19"/>
      <c r="AL65" s="122"/>
      <c r="AM65" s="11">
        <v>225</v>
      </c>
      <c r="AN65" s="9">
        <v>1</v>
      </c>
      <c r="AO65" s="10">
        <f t="shared" ref="AO65" si="237">ROUND(AL65/AM65/AN65,0)</f>
        <v>0</v>
      </c>
      <c r="AP65" s="18">
        <f>ROUNDUP(SUM(T65,X65,AF65,AJ65,AK65,AO65,P65),0)</f>
        <v>8</v>
      </c>
      <c r="AQ65" s="122"/>
      <c r="AR65" s="13">
        <v>40</v>
      </c>
      <c r="AS65" s="9">
        <v>1</v>
      </c>
      <c r="AT65" s="10">
        <f t="shared" si="118"/>
        <v>0</v>
      </c>
      <c r="AU65" s="122"/>
      <c r="AV65" s="11">
        <v>130</v>
      </c>
      <c r="AW65" s="9">
        <v>1</v>
      </c>
      <c r="AX65" s="12" t="str">
        <f t="shared" si="119"/>
        <v/>
      </c>
      <c r="AY65" s="19"/>
      <c r="AZ65" s="376">
        <v>316.61200000000099</v>
      </c>
      <c r="BA65" s="25">
        <f t="shared" si="6"/>
        <v>220</v>
      </c>
      <c r="BB65" s="9">
        <v>1</v>
      </c>
      <c r="BC65" s="10">
        <f t="shared" si="121"/>
        <v>1.5</v>
      </c>
      <c r="BD65" s="376">
        <v>119.36272400000037</v>
      </c>
      <c r="BE65" s="13">
        <v>35</v>
      </c>
      <c r="BF65" s="9">
        <v>2</v>
      </c>
      <c r="BG65" s="12">
        <f t="shared" ref="BG65" si="238">IF(BD65="","",2)</f>
        <v>2</v>
      </c>
      <c r="BH65" s="376">
        <v>20.263168000000064</v>
      </c>
      <c r="BI65" s="14">
        <v>3.4</v>
      </c>
      <c r="BJ65" s="9">
        <v>2</v>
      </c>
      <c r="BK65" s="10">
        <f t="shared" si="122"/>
        <v>3</v>
      </c>
      <c r="BL65" s="376">
        <v>108.59791600000035</v>
      </c>
      <c r="BM65" s="11">
        <v>125</v>
      </c>
      <c r="BN65" s="9">
        <v>1</v>
      </c>
      <c r="BO65" s="12">
        <f t="shared" ref="BO65" si="239">IF(BL65="","",ROUNDUP(BL65/BM65/BN65,0)+1)</f>
        <v>2</v>
      </c>
      <c r="BP65" s="19">
        <f t="shared" si="123"/>
        <v>7</v>
      </c>
      <c r="BQ65" s="21">
        <f t="shared" ref="BQ65" si="240">ROUNDUP(SUM(AT65,AX65,AY65,BC65,BG65,BK65,BO65,BP65),0)</f>
        <v>16</v>
      </c>
      <c r="BR65" s="122"/>
      <c r="BS65" s="11">
        <v>165</v>
      </c>
      <c r="BT65" s="9">
        <v>1</v>
      </c>
      <c r="BU65" s="10">
        <f t="shared" ref="BU65" si="241">CEILING(BR65/BS65/BT65,0.5)</f>
        <v>0</v>
      </c>
      <c r="BV65" s="376">
        <v>14.484999000000045</v>
      </c>
      <c r="BW65" s="11">
        <v>150</v>
      </c>
      <c r="BX65" s="9">
        <v>2</v>
      </c>
      <c r="BY65" s="10">
        <f t="shared" ref="BY65" si="242">CEILING(BV65/BW65/BX65,0.5)</f>
        <v>0.5</v>
      </c>
      <c r="BZ65" s="376">
        <v>123.4786800000004</v>
      </c>
      <c r="CA65" s="13">
        <v>320</v>
      </c>
      <c r="CB65" s="9">
        <v>2</v>
      </c>
      <c r="CC65" s="10">
        <f t="shared" ref="CC65" si="243">CEILING(BZ65/CA65/CB65,0.5)</f>
        <v>0.5</v>
      </c>
      <c r="CD65" s="376">
        <v>370.43604000000119</v>
      </c>
      <c r="CE65" s="13">
        <v>8000</v>
      </c>
      <c r="CF65" s="9">
        <v>1</v>
      </c>
      <c r="CG65" s="10">
        <f t="shared" ref="CG65" si="244">CEILING(CD65/CE65/CF65,0.5)</f>
        <v>0.5</v>
      </c>
      <c r="CH65" s="376">
        <v>246.95736000000079</v>
      </c>
      <c r="CI65" s="13">
        <v>300</v>
      </c>
      <c r="CJ65" s="9">
        <v>2</v>
      </c>
      <c r="CK65" s="10">
        <f t="shared" ref="CK65" si="245">CEILING(CH65/CI65/CJ65,0.5)</f>
        <v>0.5</v>
      </c>
      <c r="CL65" s="38">
        <f t="shared" si="124"/>
        <v>79.153000000000247</v>
      </c>
      <c r="CM65" s="15">
        <v>50</v>
      </c>
      <c r="CN65" s="9">
        <v>1</v>
      </c>
      <c r="CO65" s="10">
        <f t="shared" ref="CO65" si="246">CEILING(CL65/CM65/CN65,0.5)</f>
        <v>2</v>
      </c>
      <c r="CP65" s="20">
        <f t="shared" ref="CP65" si="247">ROUNDUP(SUM(BU65,BY65,CC65,CG65,CK65,CO65),0)</f>
        <v>4</v>
      </c>
      <c r="CQ65" s="5">
        <f t="shared" si="125"/>
        <v>8</v>
      </c>
      <c r="CR65" s="5">
        <f t="shared" si="126"/>
        <v>16</v>
      </c>
      <c r="CS65" s="5">
        <f t="shared" ref="CS65" si="248">CP65</f>
        <v>4</v>
      </c>
      <c r="CT65" s="5">
        <f t="shared" ref="CT65" si="249">SUM(CQ65:CS65)</f>
        <v>28</v>
      </c>
      <c r="CY65" s="40"/>
      <c r="DF65" s="40"/>
    </row>
    <row r="66" spans="1:110" s="6" customFormat="1" ht="17.25" customHeight="1">
      <c r="A66" s="40"/>
      <c r="B66" s="333">
        <v>54</v>
      </c>
      <c r="C66" s="333" t="s">
        <v>174</v>
      </c>
      <c r="D66" s="333" t="s">
        <v>175</v>
      </c>
      <c r="E66" s="333" t="s">
        <v>18</v>
      </c>
      <c r="F66" s="93"/>
      <c r="G66" s="362">
        <v>14206.036</v>
      </c>
      <c r="H66" s="362">
        <v>14298.004000000001</v>
      </c>
      <c r="I66" s="65">
        <f>H66-G66</f>
        <v>91.968000000000757</v>
      </c>
      <c r="J66" s="65">
        <f t="shared" ref="J66:J70" si="250">J65+I66</f>
        <v>332.2510000000002</v>
      </c>
      <c r="K66" s="181" t="s">
        <v>171</v>
      </c>
      <c r="L66" s="426"/>
      <c r="M66" s="417"/>
      <c r="N66" s="387"/>
      <c r="O66" s="390"/>
      <c r="P66" s="19">
        <v>3</v>
      </c>
      <c r="Q66" s="372">
        <v>165.01128000000136</v>
      </c>
      <c r="R66" s="8">
        <v>53.9</v>
      </c>
      <c r="S66" s="9">
        <v>2</v>
      </c>
      <c r="T66" s="10">
        <f t="shared" si="115"/>
        <v>2</v>
      </c>
      <c r="U66" s="372">
        <v>574.8276100000046</v>
      </c>
      <c r="V66" s="11">
        <v>190</v>
      </c>
      <c r="W66" s="9">
        <v>2</v>
      </c>
      <c r="X66" s="10">
        <f t="shared" si="116"/>
        <v>2</v>
      </c>
      <c r="Y66" s="372">
        <v>123.23712000000103</v>
      </c>
      <c r="Z66" s="11">
        <v>42</v>
      </c>
      <c r="AA66" s="9">
        <v>2</v>
      </c>
      <c r="AB66" s="12">
        <f>IF(Y66="","",CEILING(Y66/Z66/AA66,0.5)+1)</f>
        <v>2.5</v>
      </c>
      <c r="AC66" s="372">
        <v>73.574400000000608</v>
      </c>
      <c r="AD66" s="11">
        <v>40</v>
      </c>
      <c r="AE66" s="9">
        <v>2</v>
      </c>
      <c r="AF66" s="10">
        <f>CEILING(AC66/AD66/AE66,0.5)</f>
        <v>1</v>
      </c>
      <c r="AG66" s="372">
        <v>33.108480000000277</v>
      </c>
      <c r="AH66" s="11">
        <v>130</v>
      </c>
      <c r="AI66" s="9">
        <v>1</v>
      </c>
      <c r="AJ66" s="12">
        <f>IF(AG66="","",ROUNDUP(AG66/AH66/AI66,0)+1)</f>
        <v>2</v>
      </c>
      <c r="AK66" s="19">
        <f t="shared" ref="AK66" si="251">IF(E66="보통",2,IF(E66="조강",1,""))</f>
        <v>2</v>
      </c>
      <c r="AL66" s="372">
        <v>132.4353200000011</v>
      </c>
      <c r="AM66" s="11">
        <v>225</v>
      </c>
      <c r="AN66" s="9">
        <v>1</v>
      </c>
      <c r="AO66" s="10">
        <f>CEILING(AL66/AM66/AN66,0.5)</f>
        <v>1</v>
      </c>
      <c r="AP66" s="18">
        <f>ROUNDUP(SUM(P66,T66,X66,AB66,AF66,AJ66,AK66,AO66),0)</f>
        <v>16</v>
      </c>
      <c r="AQ66" s="372">
        <v>36.787200000000304</v>
      </c>
      <c r="AR66" s="13">
        <v>40</v>
      </c>
      <c r="AS66" s="9">
        <v>1</v>
      </c>
      <c r="AT66" s="10">
        <f t="shared" si="118"/>
        <v>1</v>
      </c>
      <c r="AU66" s="372">
        <v>40.465920000000338</v>
      </c>
      <c r="AV66" s="11">
        <v>130</v>
      </c>
      <c r="AW66" s="9">
        <v>1</v>
      </c>
      <c r="AX66" s="12">
        <f t="shared" si="119"/>
        <v>2</v>
      </c>
      <c r="AY66" s="19">
        <f t="shared" ref="AY66" si="252">IF(E66="보통",5,IF(E66="조강",2,""))</f>
        <v>5</v>
      </c>
      <c r="AZ66" s="372">
        <v>367.87200000000303</v>
      </c>
      <c r="BA66" s="25">
        <f t="shared" si="6"/>
        <v>220</v>
      </c>
      <c r="BB66" s="9">
        <v>1</v>
      </c>
      <c r="BC66" s="10">
        <f t="shared" si="121"/>
        <v>2</v>
      </c>
      <c r="BD66" s="372">
        <v>138.68774400000115</v>
      </c>
      <c r="BE66" s="13">
        <v>35</v>
      </c>
      <c r="BF66" s="9">
        <v>2</v>
      </c>
      <c r="BG66" s="12">
        <f>IF(BD66="","",2)</f>
        <v>2</v>
      </c>
      <c r="BH66" s="372">
        <v>23.543808000000194</v>
      </c>
      <c r="BI66" s="14">
        <v>3.4</v>
      </c>
      <c r="BJ66" s="9">
        <v>2</v>
      </c>
      <c r="BK66" s="10">
        <f t="shared" si="122"/>
        <v>3.5</v>
      </c>
      <c r="BL66" s="372">
        <v>126.18009600000104</v>
      </c>
      <c r="BM66" s="11">
        <v>125</v>
      </c>
      <c r="BN66" s="9">
        <v>1</v>
      </c>
      <c r="BO66" s="12">
        <f>IF(BL66="","",ROUNDUP(BL66/BM66/BN66,0)+1)</f>
        <v>3</v>
      </c>
      <c r="BP66" s="19">
        <f t="shared" si="123"/>
        <v>7</v>
      </c>
      <c r="BQ66" s="21">
        <f>ROUNDUP(SUM(AT66,AX66,AY66,BC66,BG66,BK66,BO66,BP66),0)</f>
        <v>26</v>
      </c>
      <c r="BR66" s="372">
        <v>61.587917000000502</v>
      </c>
      <c r="BS66" s="11">
        <v>165</v>
      </c>
      <c r="BT66" s="9">
        <v>1</v>
      </c>
      <c r="BU66" s="10">
        <f>CEILING(BR66/BS66/BT66,0.5)</f>
        <v>0.5</v>
      </c>
      <c r="BV66" s="372">
        <v>85.071590000000697</v>
      </c>
      <c r="BW66" s="11">
        <v>150</v>
      </c>
      <c r="BX66" s="9">
        <v>2</v>
      </c>
      <c r="BY66" s="10">
        <f>CEILING(BV66/BW66/BX66,0.5)</f>
        <v>0.5</v>
      </c>
      <c r="BZ66" s="372">
        <v>513.18844000000422</v>
      </c>
      <c r="CA66" s="13">
        <v>320</v>
      </c>
      <c r="CB66" s="9">
        <v>2</v>
      </c>
      <c r="CC66" s="10">
        <f>CEILING(BZ66/CA66/CB66,0.5)</f>
        <v>1</v>
      </c>
      <c r="CD66" s="372">
        <v>1539.5653200000127</v>
      </c>
      <c r="CE66" s="13">
        <v>8000</v>
      </c>
      <c r="CF66" s="9">
        <v>1</v>
      </c>
      <c r="CG66" s="10">
        <f>CEILING(CD66/CE66/CF66,0.5)</f>
        <v>0.5</v>
      </c>
      <c r="CH66" s="372">
        <v>1026.3768800000084</v>
      </c>
      <c r="CI66" s="13">
        <v>300</v>
      </c>
      <c r="CJ66" s="9">
        <v>2</v>
      </c>
      <c r="CK66" s="10">
        <f>CEILING(CH66/CI66/CJ66,0.5)</f>
        <v>2</v>
      </c>
      <c r="CL66" s="38">
        <f t="shared" si="124"/>
        <v>91.968000000000757</v>
      </c>
      <c r="CM66" s="15">
        <v>50</v>
      </c>
      <c r="CN66" s="9">
        <v>1</v>
      </c>
      <c r="CO66" s="10">
        <f>CEILING(CL66/CM66/CN66,0.5)</f>
        <v>2</v>
      </c>
      <c r="CP66" s="20">
        <f>ROUNDUP(SUM(BU66,BY66,CC66,CG66,CK66,CO66),0)</f>
        <v>7</v>
      </c>
      <c r="CQ66" s="5">
        <f t="shared" si="125"/>
        <v>16</v>
      </c>
      <c r="CR66" s="5">
        <f t="shared" si="126"/>
        <v>26</v>
      </c>
      <c r="CS66" s="5">
        <f>CP66</f>
        <v>7</v>
      </c>
      <c r="CT66" s="5">
        <f>SUM(CQ66:CS66)</f>
        <v>49</v>
      </c>
      <c r="CV66" s="350">
        <f>SUM(N40,N53,N58,N62)</f>
        <v>37.663043478260867</v>
      </c>
      <c r="CY66" s="40"/>
      <c r="DF66" s="40"/>
    </row>
    <row r="67" spans="1:110" s="6" customFormat="1" ht="17.25" customHeight="1">
      <c r="A67" s="40"/>
      <c r="B67" s="223">
        <v>55</v>
      </c>
      <c r="C67" s="365" t="s">
        <v>177</v>
      </c>
      <c r="D67" s="365" t="s">
        <v>81</v>
      </c>
      <c r="E67" s="223" t="s">
        <v>18</v>
      </c>
      <c r="F67" s="224"/>
      <c r="G67" s="366">
        <v>14298.004000000001</v>
      </c>
      <c r="H67" s="366">
        <v>14318.504000000001</v>
      </c>
      <c r="I67" s="227">
        <f t="shared" ref="I67" si="253">H67-G67</f>
        <v>20.5</v>
      </c>
      <c r="J67" s="227">
        <f t="shared" si="250"/>
        <v>352.7510000000002</v>
      </c>
      <c r="K67" s="367" t="s">
        <v>178</v>
      </c>
      <c r="L67" s="426"/>
      <c r="M67" s="417"/>
      <c r="N67" s="387"/>
      <c r="O67" s="390"/>
      <c r="P67" s="19">
        <v>3</v>
      </c>
      <c r="Q67" s="372">
        <v>12.299999999999999</v>
      </c>
      <c r="R67" s="8">
        <v>53.9</v>
      </c>
      <c r="S67" s="9">
        <v>2</v>
      </c>
      <c r="T67" s="10">
        <f t="shared" si="115"/>
        <v>0.5</v>
      </c>
      <c r="U67" s="122"/>
      <c r="V67" s="11">
        <v>190</v>
      </c>
      <c r="W67" s="9">
        <v>2</v>
      </c>
      <c r="X67" s="10">
        <f t="shared" si="116"/>
        <v>0</v>
      </c>
      <c r="Y67" s="394" t="s">
        <v>49</v>
      </c>
      <c r="Z67" s="394"/>
      <c r="AA67" s="394"/>
      <c r="AB67" s="394"/>
      <c r="AC67" s="94">
        <f>I67*2</f>
        <v>41</v>
      </c>
      <c r="AD67" s="25">
        <v>20</v>
      </c>
      <c r="AE67" s="9">
        <v>2</v>
      </c>
      <c r="AF67" s="10">
        <f t="shared" ref="AF67" si="254">CEILING(AC67/AD67/AE67,0.5)</f>
        <v>1.5</v>
      </c>
      <c r="AG67" s="122"/>
      <c r="AH67" s="11"/>
      <c r="AI67" s="9"/>
      <c r="AJ67" s="12"/>
      <c r="AK67" s="19"/>
      <c r="AL67" s="122"/>
      <c r="AM67" s="11">
        <v>225</v>
      </c>
      <c r="AN67" s="9">
        <v>1</v>
      </c>
      <c r="AO67" s="10">
        <f t="shared" ref="AO67" si="255">ROUND(AL67/AM67/AN67,0)</f>
        <v>0</v>
      </c>
      <c r="AP67" s="18">
        <f>ROUNDUP(SUM(T67,X67,AF67,AJ67,AK67,AO67,P67),0)</f>
        <v>5</v>
      </c>
      <c r="AQ67" s="122"/>
      <c r="AR67" s="13">
        <v>40</v>
      </c>
      <c r="AS67" s="9">
        <v>1</v>
      </c>
      <c r="AT67" s="10">
        <f t="shared" si="118"/>
        <v>0</v>
      </c>
      <c r="AU67" s="122"/>
      <c r="AV67" s="11">
        <v>130</v>
      </c>
      <c r="AW67" s="9">
        <v>1</v>
      </c>
      <c r="AX67" s="12" t="str">
        <f t="shared" si="119"/>
        <v/>
      </c>
      <c r="AY67" s="19"/>
      <c r="AZ67" s="376">
        <v>82</v>
      </c>
      <c r="BA67" s="25">
        <f t="shared" si="6"/>
        <v>220</v>
      </c>
      <c r="BB67" s="9">
        <v>1</v>
      </c>
      <c r="BC67" s="10">
        <f t="shared" si="121"/>
        <v>0.5</v>
      </c>
      <c r="BD67" s="376">
        <v>30.914000000000001</v>
      </c>
      <c r="BE67" s="13">
        <v>35</v>
      </c>
      <c r="BF67" s="9">
        <v>2</v>
      </c>
      <c r="BG67" s="12">
        <f t="shared" ref="BG67" si="256">IF(BD67="","",2)</f>
        <v>2</v>
      </c>
      <c r="BH67" s="376">
        <v>5.2480000000000002</v>
      </c>
      <c r="BI67" s="14">
        <v>3.4</v>
      </c>
      <c r="BJ67" s="9">
        <v>2</v>
      </c>
      <c r="BK67" s="10">
        <f t="shared" si="122"/>
        <v>1</v>
      </c>
      <c r="BL67" s="376">
        <v>28.126000000000001</v>
      </c>
      <c r="BM67" s="11">
        <v>125</v>
      </c>
      <c r="BN67" s="9">
        <v>1</v>
      </c>
      <c r="BO67" s="12">
        <f t="shared" ref="BO67" si="257">IF(BL67="","",ROUNDUP(BL67/BM67/BN67,0)+1)</f>
        <v>2</v>
      </c>
      <c r="BP67" s="19">
        <f t="shared" si="123"/>
        <v>7</v>
      </c>
      <c r="BQ67" s="21">
        <f t="shared" ref="BQ67" si="258">ROUNDUP(SUM(AT67,AX67,AY67,BC67,BG67,BK67,BO67,BP67),0)</f>
        <v>13</v>
      </c>
      <c r="BR67" s="122"/>
      <c r="BS67" s="11">
        <v>165</v>
      </c>
      <c r="BT67" s="9">
        <v>1</v>
      </c>
      <c r="BU67" s="10">
        <f t="shared" ref="BU67" si="259">CEILING(BR67/BS67/BT67,0.5)</f>
        <v>0</v>
      </c>
      <c r="BV67" s="376">
        <v>3.7515000000000001</v>
      </c>
      <c r="BW67" s="11">
        <v>150</v>
      </c>
      <c r="BX67" s="9">
        <v>2</v>
      </c>
      <c r="BY67" s="10">
        <f t="shared" ref="BY67" si="260">CEILING(BV67/BW67/BX67,0.5)</f>
        <v>0.5</v>
      </c>
      <c r="BZ67" s="376">
        <v>31.98</v>
      </c>
      <c r="CA67" s="13">
        <v>320</v>
      </c>
      <c r="CB67" s="9">
        <v>2</v>
      </c>
      <c r="CC67" s="10">
        <f t="shared" ref="CC67" si="261">CEILING(BZ67/CA67/CB67,0.5)</f>
        <v>0.5</v>
      </c>
      <c r="CD67" s="376">
        <v>95.94</v>
      </c>
      <c r="CE67" s="13">
        <v>8000</v>
      </c>
      <c r="CF67" s="9">
        <v>1</v>
      </c>
      <c r="CG67" s="10">
        <f t="shared" ref="CG67" si="262">CEILING(CD67/CE67/CF67,0.5)</f>
        <v>0.5</v>
      </c>
      <c r="CH67" s="376">
        <v>63.96</v>
      </c>
      <c r="CI67" s="13">
        <v>300</v>
      </c>
      <c r="CJ67" s="9">
        <v>2</v>
      </c>
      <c r="CK67" s="10">
        <f t="shared" ref="CK67" si="263">CEILING(CH67/CI67/CJ67,0.5)</f>
        <v>0.5</v>
      </c>
      <c r="CL67" s="38">
        <f t="shared" si="124"/>
        <v>20.5</v>
      </c>
      <c r="CM67" s="15">
        <v>50</v>
      </c>
      <c r="CN67" s="9">
        <v>1</v>
      </c>
      <c r="CO67" s="10">
        <f t="shared" ref="CO67" si="264">CEILING(CL67/CM67/CN67,0.5)</f>
        <v>0.5</v>
      </c>
      <c r="CP67" s="20">
        <f t="shared" ref="CP67" si="265">ROUNDUP(SUM(BU67,BY67,CC67,CG67,CK67,CO67),0)</f>
        <v>3</v>
      </c>
      <c r="CQ67" s="5">
        <f t="shared" si="125"/>
        <v>5</v>
      </c>
      <c r="CR67" s="5">
        <f t="shared" si="126"/>
        <v>13</v>
      </c>
      <c r="CS67" s="5">
        <f t="shared" ref="CS67" si="266">CP67</f>
        <v>3</v>
      </c>
      <c r="CT67" s="5">
        <f t="shared" ref="CT67" si="267">SUM(CQ67:CS67)</f>
        <v>21</v>
      </c>
      <c r="CY67" s="40"/>
      <c r="DF67" s="40"/>
    </row>
    <row r="68" spans="1:110" s="6" customFormat="1" ht="17.25" customHeight="1">
      <c r="A68" s="40"/>
      <c r="B68" s="333">
        <v>56</v>
      </c>
      <c r="C68" s="371" t="s">
        <v>179</v>
      </c>
      <c r="D68" s="368" t="s">
        <v>81</v>
      </c>
      <c r="E68" s="333" t="s">
        <v>18</v>
      </c>
      <c r="F68" s="93"/>
      <c r="G68" s="362">
        <v>14318.504000000001</v>
      </c>
      <c r="H68" s="362">
        <v>14380.38</v>
      </c>
      <c r="I68" s="65">
        <f>H68-G68</f>
        <v>61.875999999998385</v>
      </c>
      <c r="J68" s="65">
        <f t="shared" si="250"/>
        <v>414.62699999999859</v>
      </c>
      <c r="K68" s="181" t="s">
        <v>171</v>
      </c>
      <c r="L68" s="426"/>
      <c r="M68" s="417"/>
      <c r="N68" s="387"/>
      <c r="O68" s="390"/>
      <c r="P68" s="19">
        <v>3</v>
      </c>
      <c r="Q68" s="372">
        <v>137.9834799999964</v>
      </c>
      <c r="R68" s="8">
        <v>53.9</v>
      </c>
      <c r="S68" s="9">
        <v>2</v>
      </c>
      <c r="T68" s="10">
        <f t="shared" si="115"/>
        <v>1.5</v>
      </c>
      <c r="U68" s="376">
        <v>456.02611999998805</v>
      </c>
      <c r="V68" s="11">
        <v>190</v>
      </c>
      <c r="W68" s="9">
        <v>2</v>
      </c>
      <c r="X68" s="10">
        <f t="shared" si="116"/>
        <v>1.5</v>
      </c>
      <c r="Y68" s="376">
        <v>82.913839999997847</v>
      </c>
      <c r="Z68" s="11">
        <v>42</v>
      </c>
      <c r="AA68" s="9">
        <v>2</v>
      </c>
      <c r="AB68" s="12">
        <f>IF(Y68="","",CEILING(Y68/Z68/AA68,0.5)+1)</f>
        <v>2</v>
      </c>
      <c r="AC68" s="376">
        <v>49.500799999998712</v>
      </c>
      <c r="AD68" s="11">
        <v>40</v>
      </c>
      <c r="AE68" s="9">
        <v>2</v>
      </c>
      <c r="AF68" s="10">
        <f>CEILING(AC68/AD68/AE68,0.5)</f>
        <v>1</v>
      </c>
      <c r="AG68" s="376">
        <v>22.27535999999942</v>
      </c>
      <c r="AH68" s="11">
        <v>130</v>
      </c>
      <c r="AI68" s="9">
        <v>1</v>
      </c>
      <c r="AJ68" s="12">
        <f>IF(AG68="","",ROUNDUP(AG68/AH68/AI68,0)+1)</f>
        <v>2</v>
      </c>
      <c r="AK68" s="19">
        <f t="shared" ref="AK68:AK72" si="268">IF(E68="보통",2,IF(E68="조강",1,""))</f>
        <v>2</v>
      </c>
      <c r="AL68" s="376">
        <v>117.56439999999694</v>
      </c>
      <c r="AM68" s="11">
        <v>225</v>
      </c>
      <c r="AN68" s="9">
        <v>1</v>
      </c>
      <c r="AO68" s="10">
        <f>CEILING(AL68/AM68/AN68,0.5)</f>
        <v>1</v>
      </c>
      <c r="AP68" s="18">
        <f>ROUNDUP(SUM(P68,T68,X68,AB68,AF68,AJ68,AK68,AO68),0)</f>
        <v>14</v>
      </c>
      <c r="AQ68" s="376">
        <v>24.750399999999356</v>
      </c>
      <c r="AR68" s="13">
        <v>40</v>
      </c>
      <c r="AS68" s="9">
        <v>1</v>
      </c>
      <c r="AT68" s="10">
        <f t="shared" si="118"/>
        <v>1</v>
      </c>
      <c r="AU68" s="376">
        <v>27.225439999999292</v>
      </c>
      <c r="AV68" s="11">
        <v>130</v>
      </c>
      <c r="AW68" s="9">
        <v>1</v>
      </c>
      <c r="AX68" s="12">
        <f t="shared" si="119"/>
        <v>2</v>
      </c>
      <c r="AY68" s="19">
        <f t="shared" ref="AY68:AY72" si="269">IF(E68="보통",5,IF(E68="조강",2,""))</f>
        <v>5</v>
      </c>
      <c r="AZ68" s="376">
        <v>247.50399999999354</v>
      </c>
      <c r="BA68" s="25">
        <f t="shared" si="6"/>
        <v>220</v>
      </c>
      <c r="BB68" s="9">
        <v>1</v>
      </c>
      <c r="BC68" s="10">
        <f t="shared" si="121"/>
        <v>1.5</v>
      </c>
      <c r="BD68" s="376">
        <v>93.309007999997561</v>
      </c>
      <c r="BE68" s="13">
        <v>35</v>
      </c>
      <c r="BF68" s="9">
        <v>2</v>
      </c>
      <c r="BG68" s="12">
        <f>IF(BD68="","",2)</f>
        <v>2</v>
      </c>
      <c r="BH68" s="376">
        <v>15.840255999999586</v>
      </c>
      <c r="BI68" s="14">
        <v>3.4</v>
      </c>
      <c r="BJ68" s="9">
        <v>2</v>
      </c>
      <c r="BK68" s="10">
        <f t="shared" si="122"/>
        <v>2.5</v>
      </c>
      <c r="BL68" s="376">
        <v>84.893871999997785</v>
      </c>
      <c r="BM68" s="11">
        <v>125</v>
      </c>
      <c r="BN68" s="9">
        <v>1</v>
      </c>
      <c r="BO68" s="12">
        <f>IF(BL68="","",ROUNDUP(BL68/BM68/BN68,0)+1)</f>
        <v>2</v>
      </c>
      <c r="BP68" s="19">
        <f t="shared" si="123"/>
        <v>7</v>
      </c>
      <c r="BQ68" s="21">
        <f>ROUNDUP(SUM(AT68,AX68,AY68,BC68,BG68,BK68,BO68,BP68),0)</f>
        <v>23</v>
      </c>
      <c r="BR68" s="376">
        <v>58.101563999998483</v>
      </c>
      <c r="BS68" s="11">
        <v>165</v>
      </c>
      <c r="BT68" s="9">
        <v>1</v>
      </c>
      <c r="BU68" s="10">
        <f>CEILING(BR68/BS68/BT68,0.5)</f>
        <v>0.5</v>
      </c>
      <c r="BV68" s="376">
        <v>81.42881599999788</v>
      </c>
      <c r="BW68" s="11">
        <v>150</v>
      </c>
      <c r="BX68" s="9">
        <v>2</v>
      </c>
      <c r="BY68" s="10">
        <f>CEILING(BV68/BW68/BX68,0.5)</f>
        <v>0.5</v>
      </c>
      <c r="BZ68" s="376">
        <v>487.58287999998726</v>
      </c>
      <c r="CA68" s="13">
        <v>320</v>
      </c>
      <c r="CB68" s="9">
        <v>2</v>
      </c>
      <c r="CC68" s="10">
        <f>CEILING(BZ68/CA68/CB68,0.5)</f>
        <v>1</v>
      </c>
      <c r="CD68" s="376">
        <v>1462.7486399999618</v>
      </c>
      <c r="CE68" s="13">
        <v>8000</v>
      </c>
      <c r="CF68" s="9">
        <v>1</v>
      </c>
      <c r="CG68" s="10">
        <f>CEILING(CD68/CE68/CF68,0.5)</f>
        <v>0.5</v>
      </c>
      <c r="CH68" s="376">
        <v>975.16575999997451</v>
      </c>
      <c r="CI68" s="13">
        <v>300</v>
      </c>
      <c r="CJ68" s="9">
        <v>2</v>
      </c>
      <c r="CK68" s="10">
        <f>CEILING(CH68/CI68/CJ68,0.5)</f>
        <v>2</v>
      </c>
      <c r="CL68" s="38">
        <f t="shared" si="124"/>
        <v>61.875999999998385</v>
      </c>
      <c r="CM68" s="15">
        <v>50</v>
      </c>
      <c r="CN68" s="9">
        <v>1</v>
      </c>
      <c r="CO68" s="10">
        <f>CEILING(CL68/CM68/CN68,0.5)</f>
        <v>1.5</v>
      </c>
      <c r="CP68" s="20">
        <f>ROUNDUP(SUM(BU68,BY68,CC68,CG68,CK68,CO68),0)</f>
        <v>6</v>
      </c>
      <c r="CQ68" s="5">
        <f t="shared" si="125"/>
        <v>14</v>
      </c>
      <c r="CR68" s="5">
        <f t="shared" si="126"/>
        <v>23</v>
      </c>
      <c r="CS68" s="5">
        <f>CP68</f>
        <v>6</v>
      </c>
      <c r="CT68" s="5">
        <f>SUM(CQ68:CS68)</f>
        <v>43</v>
      </c>
      <c r="CY68" s="40"/>
      <c r="DF68" s="40"/>
    </row>
    <row r="69" spans="1:110" s="6" customFormat="1" ht="17.25" customHeight="1">
      <c r="A69" s="40"/>
      <c r="B69" s="223">
        <v>57</v>
      </c>
      <c r="C69" s="365" t="s">
        <v>203</v>
      </c>
      <c r="D69" s="365" t="s">
        <v>81</v>
      </c>
      <c r="E69" s="223" t="s">
        <v>18</v>
      </c>
      <c r="F69" s="224"/>
      <c r="G69" s="366">
        <v>14380.38</v>
      </c>
      <c r="H69" s="366">
        <v>14733.38</v>
      </c>
      <c r="I69" s="227">
        <f t="shared" ref="I69" si="270">H69-G69</f>
        <v>353</v>
      </c>
      <c r="J69" s="227">
        <f t="shared" si="250"/>
        <v>767.62699999999859</v>
      </c>
      <c r="K69" s="228" t="s">
        <v>204</v>
      </c>
      <c r="L69" s="426"/>
      <c r="M69" s="417"/>
      <c r="N69" s="387"/>
      <c r="O69" s="390"/>
      <c r="P69" s="19">
        <v>3</v>
      </c>
      <c r="Q69" s="372">
        <v>211.79999999999998</v>
      </c>
      <c r="R69" s="8">
        <v>53.9</v>
      </c>
      <c r="S69" s="9">
        <v>2</v>
      </c>
      <c r="T69" s="10">
        <f t="shared" si="115"/>
        <v>2</v>
      </c>
      <c r="U69" s="122"/>
      <c r="V69" s="11">
        <v>190</v>
      </c>
      <c r="W69" s="9">
        <v>2</v>
      </c>
      <c r="X69" s="10">
        <f t="shared" si="116"/>
        <v>0</v>
      </c>
      <c r="Y69" s="394" t="s">
        <v>49</v>
      </c>
      <c r="Z69" s="394"/>
      <c r="AA69" s="394"/>
      <c r="AB69" s="394"/>
      <c r="AC69" s="94">
        <f>I69*2</f>
        <v>706</v>
      </c>
      <c r="AD69" s="25">
        <v>20</v>
      </c>
      <c r="AE69" s="9">
        <v>2</v>
      </c>
      <c r="AF69" s="10">
        <f t="shared" ref="AF69" si="271">CEILING(AC69/AD69/AE69,0.5)</f>
        <v>18</v>
      </c>
      <c r="AG69" s="122"/>
      <c r="AH69" s="11"/>
      <c r="AI69" s="9"/>
      <c r="AJ69" s="12"/>
      <c r="AK69" s="19"/>
      <c r="AL69" s="122"/>
      <c r="AM69" s="11">
        <v>225</v>
      </c>
      <c r="AN69" s="9">
        <v>1</v>
      </c>
      <c r="AO69" s="10">
        <f t="shared" ref="AO69" si="272">ROUND(AL69/AM69/AN69,0)</f>
        <v>0</v>
      </c>
      <c r="AP69" s="18">
        <f>ROUNDUP(SUM(T69,X69,AF69,AJ69,AK69,AO69,P69),0)</f>
        <v>23</v>
      </c>
      <c r="AQ69" s="122"/>
      <c r="AR69" s="13">
        <v>40</v>
      </c>
      <c r="AS69" s="9">
        <v>1</v>
      </c>
      <c r="AT69" s="10">
        <f t="shared" si="118"/>
        <v>0</v>
      </c>
      <c r="AU69" s="122"/>
      <c r="AV69" s="11">
        <v>130</v>
      </c>
      <c r="AW69" s="9">
        <v>1</v>
      </c>
      <c r="AX69" s="12" t="str">
        <f t="shared" si="119"/>
        <v/>
      </c>
      <c r="AY69" s="19"/>
      <c r="AZ69" s="376">
        <v>1412</v>
      </c>
      <c r="BA69" s="25">
        <f t="shared" si="6"/>
        <v>220</v>
      </c>
      <c r="BB69" s="9">
        <v>1</v>
      </c>
      <c r="BC69" s="10">
        <f t="shared" si="121"/>
        <v>6.5</v>
      </c>
      <c r="BD69" s="376">
        <v>532.32399999999996</v>
      </c>
      <c r="BE69" s="13">
        <v>35</v>
      </c>
      <c r="BF69" s="9">
        <v>2</v>
      </c>
      <c r="BG69" s="12">
        <f t="shared" ref="BG69" si="273">IF(BD69="","",2)</f>
        <v>2</v>
      </c>
      <c r="BH69" s="376">
        <v>90.367999999999995</v>
      </c>
      <c r="BI69" s="14">
        <v>3.4</v>
      </c>
      <c r="BJ69" s="9">
        <v>2</v>
      </c>
      <c r="BK69" s="10">
        <f t="shared" si="122"/>
        <v>13.5</v>
      </c>
      <c r="BL69" s="376">
        <v>484.31600000000003</v>
      </c>
      <c r="BM69" s="11">
        <v>125</v>
      </c>
      <c r="BN69" s="9">
        <v>1</v>
      </c>
      <c r="BO69" s="12">
        <f t="shared" ref="BO69" si="274">IF(BL69="","",ROUNDUP(BL69/BM69/BN69,0)+1)</f>
        <v>5</v>
      </c>
      <c r="BP69" s="19">
        <f t="shared" si="123"/>
        <v>7</v>
      </c>
      <c r="BQ69" s="21">
        <f t="shared" ref="BQ69" si="275">ROUNDUP(SUM(AT69,AX69,AY69,BC69,BG69,BK69,BO69,BP69),0)</f>
        <v>34</v>
      </c>
      <c r="BR69" s="122"/>
      <c r="BS69" s="11">
        <v>165</v>
      </c>
      <c r="BT69" s="9">
        <v>1</v>
      </c>
      <c r="BU69" s="10">
        <f t="shared" ref="BU69" si="276">CEILING(BR69/BS69/BT69,0.5)</f>
        <v>0</v>
      </c>
      <c r="BV69" s="376">
        <v>64.599000000000004</v>
      </c>
      <c r="BW69" s="11">
        <v>150</v>
      </c>
      <c r="BX69" s="9">
        <v>2</v>
      </c>
      <c r="BY69" s="10">
        <f t="shared" ref="BY69" si="277">CEILING(BV69/BW69/BX69,0.5)</f>
        <v>0.5</v>
      </c>
      <c r="BZ69" s="376">
        <v>550.68000000000006</v>
      </c>
      <c r="CA69" s="13">
        <v>320</v>
      </c>
      <c r="CB69" s="9">
        <v>2</v>
      </c>
      <c r="CC69" s="10">
        <f t="shared" ref="CC69" si="278">CEILING(BZ69/CA69/CB69,0.5)</f>
        <v>1</v>
      </c>
      <c r="CD69" s="376">
        <v>1652.0400000000002</v>
      </c>
      <c r="CE69" s="13">
        <v>8000</v>
      </c>
      <c r="CF69" s="9">
        <v>1</v>
      </c>
      <c r="CG69" s="10">
        <f t="shared" ref="CG69" si="279">CEILING(CD69/CE69/CF69,0.5)</f>
        <v>0.5</v>
      </c>
      <c r="CH69" s="376">
        <v>1101.3600000000001</v>
      </c>
      <c r="CI69" s="13">
        <v>300</v>
      </c>
      <c r="CJ69" s="9">
        <v>2</v>
      </c>
      <c r="CK69" s="10">
        <f t="shared" ref="CK69" si="280">CEILING(CH69/CI69/CJ69,0.5)</f>
        <v>2</v>
      </c>
      <c r="CL69" s="38">
        <f t="shared" si="124"/>
        <v>353</v>
      </c>
      <c r="CM69" s="15">
        <v>50</v>
      </c>
      <c r="CN69" s="9">
        <v>1</v>
      </c>
      <c r="CO69" s="10">
        <f t="shared" ref="CO69" si="281">CEILING(CL69/CM69/CN69,0.5)</f>
        <v>7.5</v>
      </c>
      <c r="CP69" s="20">
        <f t="shared" ref="CP69" si="282">ROUNDUP(SUM(BU69,BY69,CC69,CG69,CK69,CO69),0)</f>
        <v>12</v>
      </c>
      <c r="CQ69" s="5">
        <f t="shared" si="125"/>
        <v>23</v>
      </c>
      <c r="CR69" s="5">
        <f t="shared" si="126"/>
        <v>34</v>
      </c>
      <c r="CS69" s="5">
        <f t="shared" ref="CS69" si="283">CP69</f>
        <v>12</v>
      </c>
      <c r="CT69" s="5">
        <f t="shared" ref="CT69" si="284">SUM(CQ69:CS69)</f>
        <v>69</v>
      </c>
      <c r="CY69" s="40"/>
      <c r="DF69" s="40"/>
    </row>
    <row r="70" spans="1:110" s="6" customFormat="1" ht="17.25" customHeight="1" thickBot="1">
      <c r="A70" s="40"/>
      <c r="B70" s="45">
        <v>58</v>
      </c>
      <c r="C70" s="45" t="s">
        <v>180</v>
      </c>
      <c r="D70" s="369" t="s">
        <v>81</v>
      </c>
      <c r="E70" s="45" t="s">
        <v>18</v>
      </c>
      <c r="F70" s="193"/>
      <c r="G70" s="370">
        <v>14733.38</v>
      </c>
      <c r="H70" s="370">
        <v>14867.455</v>
      </c>
      <c r="I70" s="195">
        <f>H70-G70</f>
        <v>134.07500000000073</v>
      </c>
      <c r="J70" s="195">
        <f t="shared" si="250"/>
        <v>901.70199999999932</v>
      </c>
      <c r="K70" s="132" t="s">
        <v>171</v>
      </c>
      <c r="L70" s="427"/>
      <c r="M70" s="418"/>
      <c r="N70" s="388"/>
      <c r="O70" s="391"/>
      <c r="P70" s="77">
        <v>3</v>
      </c>
      <c r="Q70" s="375">
        <v>266.22509000000116</v>
      </c>
      <c r="R70" s="44">
        <v>53.9</v>
      </c>
      <c r="S70" s="43">
        <v>2</v>
      </c>
      <c r="T70" s="42">
        <f t="shared" si="115"/>
        <v>2.5</v>
      </c>
      <c r="U70" s="375">
        <v>903.95220000000427</v>
      </c>
      <c r="V70" s="41">
        <v>190</v>
      </c>
      <c r="W70" s="43">
        <v>2</v>
      </c>
      <c r="X70" s="42">
        <f t="shared" si="116"/>
        <v>2.5</v>
      </c>
      <c r="Y70" s="375">
        <v>179.66050000000098</v>
      </c>
      <c r="Z70" s="41">
        <v>42</v>
      </c>
      <c r="AA70" s="43">
        <v>2</v>
      </c>
      <c r="AB70" s="75">
        <f>IF(Y70="","",CEILING(Y70/Z70/AA70,0.5)+1)</f>
        <v>3.5</v>
      </c>
      <c r="AC70" s="375">
        <v>107.26000000000059</v>
      </c>
      <c r="AD70" s="41">
        <v>40</v>
      </c>
      <c r="AE70" s="43">
        <v>2</v>
      </c>
      <c r="AF70" s="42">
        <f>CEILING(AC70/AD70/AE70,0.5)</f>
        <v>1.5</v>
      </c>
      <c r="AG70" s="375">
        <v>48.267000000000266</v>
      </c>
      <c r="AH70" s="41">
        <v>130</v>
      </c>
      <c r="AI70" s="43">
        <v>1</v>
      </c>
      <c r="AJ70" s="75">
        <f>IF(AG70="","",ROUNDUP(AG70/AH70/AI70,0)+1)</f>
        <v>2</v>
      </c>
      <c r="AK70" s="77">
        <f t="shared" si="268"/>
        <v>2</v>
      </c>
      <c r="AL70" s="375">
        <v>220.16022000000092</v>
      </c>
      <c r="AM70" s="41">
        <v>225</v>
      </c>
      <c r="AN70" s="43">
        <v>1</v>
      </c>
      <c r="AO70" s="42">
        <f>CEILING(AL70/AM70/AN70,0.5)</f>
        <v>1</v>
      </c>
      <c r="AP70" s="74">
        <f>ROUNDUP(SUM(P70,T70,X70,AB70,AF70,AJ70,AK70,AO70),0)</f>
        <v>18</v>
      </c>
      <c r="AQ70" s="375">
        <v>53.630000000000294</v>
      </c>
      <c r="AR70" s="73">
        <v>40</v>
      </c>
      <c r="AS70" s="43">
        <v>1</v>
      </c>
      <c r="AT70" s="42">
        <f t="shared" si="118"/>
        <v>1.5</v>
      </c>
      <c r="AU70" s="375">
        <v>58.993000000000329</v>
      </c>
      <c r="AV70" s="41">
        <v>130</v>
      </c>
      <c r="AW70" s="43">
        <v>1</v>
      </c>
      <c r="AX70" s="75">
        <f t="shared" si="119"/>
        <v>2</v>
      </c>
      <c r="AY70" s="77">
        <f t="shared" si="269"/>
        <v>5</v>
      </c>
      <c r="AZ70" s="375">
        <v>536.30000000000291</v>
      </c>
      <c r="BA70" s="76">
        <f t="shared" si="6"/>
        <v>220</v>
      </c>
      <c r="BB70" s="43">
        <v>1</v>
      </c>
      <c r="BC70" s="42">
        <f t="shared" si="121"/>
        <v>2.5</v>
      </c>
      <c r="BD70" s="375">
        <v>202.18510000000109</v>
      </c>
      <c r="BE70" s="73">
        <v>35</v>
      </c>
      <c r="BF70" s="43">
        <v>2</v>
      </c>
      <c r="BG70" s="75">
        <f>IF(BD70="","",2)</f>
        <v>2</v>
      </c>
      <c r="BH70" s="375">
        <v>34.323200000000185</v>
      </c>
      <c r="BI70" s="72">
        <v>3.4</v>
      </c>
      <c r="BJ70" s="43">
        <v>2</v>
      </c>
      <c r="BK70" s="42">
        <f t="shared" si="122"/>
        <v>5.5</v>
      </c>
      <c r="BL70" s="375">
        <v>183.95090000000101</v>
      </c>
      <c r="BM70" s="41">
        <v>125</v>
      </c>
      <c r="BN70" s="43">
        <v>1</v>
      </c>
      <c r="BO70" s="75">
        <f>IF(BL70="","",ROUNDUP(BL70/BM70/BN70,0)+1)</f>
        <v>3</v>
      </c>
      <c r="BP70" s="77">
        <f t="shared" si="123"/>
        <v>7</v>
      </c>
      <c r="BQ70" s="71">
        <f>ROUNDUP(SUM(AT70,AX70,AY70,BC70,BG70,BK70,BO70,BP70),0)</f>
        <v>29</v>
      </c>
      <c r="BR70" s="375">
        <v>105.64759000000041</v>
      </c>
      <c r="BS70" s="41">
        <v>165</v>
      </c>
      <c r="BT70" s="43">
        <v>1</v>
      </c>
      <c r="BU70" s="42">
        <f>CEILING(BR70/BS70/BT70,0.5)</f>
        <v>1</v>
      </c>
      <c r="BV70" s="375">
        <v>147.04776200000057</v>
      </c>
      <c r="BW70" s="41">
        <v>150</v>
      </c>
      <c r="BX70" s="43">
        <v>2</v>
      </c>
      <c r="BY70" s="42">
        <f>CEILING(BV70/BW70/BX70,0.5)</f>
        <v>0.5</v>
      </c>
      <c r="BZ70" s="375">
        <v>883.59960000000342</v>
      </c>
      <c r="CA70" s="73">
        <v>320</v>
      </c>
      <c r="CB70" s="43">
        <v>2</v>
      </c>
      <c r="CC70" s="42">
        <f>CEILING(BZ70/CA70/CB70,0.5)</f>
        <v>1.5</v>
      </c>
      <c r="CD70" s="375">
        <v>2650.79880000001</v>
      </c>
      <c r="CE70" s="73">
        <v>8000</v>
      </c>
      <c r="CF70" s="43">
        <v>1</v>
      </c>
      <c r="CG70" s="42">
        <f>CEILING(CD70/CE70/CF70,0.5)</f>
        <v>0.5</v>
      </c>
      <c r="CH70" s="375">
        <v>1767.1992000000068</v>
      </c>
      <c r="CI70" s="73">
        <v>300</v>
      </c>
      <c r="CJ70" s="43">
        <v>2</v>
      </c>
      <c r="CK70" s="42">
        <f>CEILING(CH70/CI70/CJ70,0.5)</f>
        <v>3</v>
      </c>
      <c r="CL70" s="70">
        <f t="shared" si="124"/>
        <v>134.07500000000073</v>
      </c>
      <c r="CM70" s="69">
        <v>50</v>
      </c>
      <c r="CN70" s="43">
        <v>1</v>
      </c>
      <c r="CO70" s="42">
        <f>CEILING(CL70/CM70/CN70,0.5)</f>
        <v>3</v>
      </c>
      <c r="CP70" s="68">
        <f>ROUNDUP(SUM(BU70,BY70,CC70,CG70,CK70,CO70),0)</f>
        <v>10</v>
      </c>
      <c r="CQ70" s="4">
        <f t="shared" si="125"/>
        <v>18</v>
      </c>
      <c r="CR70" s="4">
        <f t="shared" si="126"/>
        <v>29</v>
      </c>
      <c r="CS70" s="4">
        <f>CP70</f>
        <v>10</v>
      </c>
      <c r="CT70" s="4">
        <f>SUM(CQ70:CS70)</f>
        <v>57</v>
      </c>
      <c r="CY70" s="40"/>
      <c r="DF70" s="40"/>
    </row>
    <row r="71" spans="1:110" s="6" customFormat="1" ht="17.25" customHeight="1">
      <c r="A71" s="40"/>
      <c r="B71" s="180">
        <v>59</v>
      </c>
      <c r="C71" s="180" t="s">
        <v>181</v>
      </c>
      <c r="D71" s="381" t="s">
        <v>81</v>
      </c>
      <c r="E71" s="180" t="s">
        <v>18</v>
      </c>
      <c r="F71" s="179"/>
      <c r="G71" s="361">
        <v>14926.366</v>
      </c>
      <c r="H71" s="361">
        <v>15180.81</v>
      </c>
      <c r="I71" s="178">
        <f>H71-G71</f>
        <v>254.44399999999951</v>
      </c>
      <c r="J71" s="178">
        <f>I71</f>
        <v>254.44399999999951</v>
      </c>
      <c r="K71" s="177" t="s">
        <v>189</v>
      </c>
      <c r="L71" s="425" t="s">
        <v>190</v>
      </c>
      <c r="M71" s="416">
        <f>SUM(I71:I74)</f>
        <v>861.15199999999822</v>
      </c>
      <c r="N71" s="386">
        <f>SUM(CQ71:CQ74,CR74:CS74)/18.4</f>
        <v>7.6630434782608701</v>
      </c>
      <c r="O71" s="389">
        <v>42</v>
      </c>
      <c r="P71" s="191">
        <v>3</v>
      </c>
      <c r="Q71" s="379">
        <v>447.91387999999847</v>
      </c>
      <c r="R71" s="176">
        <v>53.9</v>
      </c>
      <c r="S71" s="175">
        <v>2</v>
      </c>
      <c r="T71" s="174">
        <f t="shared" si="115"/>
        <v>4.5</v>
      </c>
      <c r="U71" s="379">
        <v>1622.2133299999953</v>
      </c>
      <c r="V71" s="173">
        <v>190</v>
      </c>
      <c r="W71" s="175">
        <v>2</v>
      </c>
      <c r="X71" s="174">
        <f t="shared" si="116"/>
        <v>4.5</v>
      </c>
      <c r="Y71" s="379">
        <v>340.9549599999994</v>
      </c>
      <c r="Z71" s="173">
        <v>42</v>
      </c>
      <c r="AA71" s="175">
        <v>2</v>
      </c>
      <c r="AB71" s="172">
        <f>IF(Y71="","",CEILING(Y71/Z71/AA71,0.5)+1)</f>
        <v>5.5</v>
      </c>
      <c r="AC71" s="379">
        <v>203.55519999999962</v>
      </c>
      <c r="AD71" s="173">
        <v>40</v>
      </c>
      <c r="AE71" s="175">
        <v>2</v>
      </c>
      <c r="AF71" s="174">
        <f>CEILING(AC71/AD71/AE71,0.5)</f>
        <v>3</v>
      </c>
      <c r="AG71" s="379">
        <v>91.59983999999983</v>
      </c>
      <c r="AH71" s="173">
        <v>130</v>
      </c>
      <c r="AI71" s="175">
        <v>1</v>
      </c>
      <c r="AJ71" s="172">
        <f>IF(AG71="","",ROUNDUP(AG71/AH71/AI71,0)+1)</f>
        <v>2</v>
      </c>
      <c r="AK71" s="191">
        <f t="shared" si="268"/>
        <v>2</v>
      </c>
      <c r="AL71" s="379">
        <v>322.10867999999863</v>
      </c>
      <c r="AM71" s="173">
        <v>225</v>
      </c>
      <c r="AN71" s="175">
        <v>1</v>
      </c>
      <c r="AO71" s="174">
        <f>CEILING(AL71/AM71/AN71,0.5)</f>
        <v>1.5</v>
      </c>
      <c r="AP71" s="171">
        <f>ROUNDUP(SUM(P71,T71,X71,AB71,AF71,AJ71,AK71,AO71),0)</f>
        <v>26</v>
      </c>
      <c r="AQ71" s="379">
        <v>101.77759999999981</v>
      </c>
      <c r="AR71" s="170">
        <v>40</v>
      </c>
      <c r="AS71" s="175">
        <v>1</v>
      </c>
      <c r="AT71" s="174">
        <f t="shared" si="118"/>
        <v>3</v>
      </c>
      <c r="AU71" s="379">
        <v>111.9553599999998</v>
      </c>
      <c r="AV71" s="173">
        <v>130</v>
      </c>
      <c r="AW71" s="175">
        <v>1</v>
      </c>
      <c r="AX71" s="172">
        <f t="shared" si="119"/>
        <v>2</v>
      </c>
      <c r="AY71" s="191">
        <f t="shared" si="269"/>
        <v>5</v>
      </c>
      <c r="AZ71" s="379">
        <v>1017.775999999998</v>
      </c>
      <c r="BA71" s="169">
        <f t="shared" si="6"/>
        <v>220</v>
      </c>
      <c r="BB71" s="175">
        <v>1</v>
      </c>
      <c r="BC71" s="174">
        <f t="shared" si="121"/>
        <v>5</v>
      </c>
      <c r="BD71" s="379">
        <v>383.70155199999925</v>
      </c>
      <c r="BE71" s="170">
        <v>35</v>
      </c>
      <c r="BF71" s="175">
        <v>2</v>
      </c>
      <c r="BG71" s="172">
        <f>IF(BD71="","",2)</f>
        <v>2</v>
      </c>
      <c r="BH71" s="379">
        <v>65.137663999999873</v>
      </c>
      <c r="BI71" s="168">
        <v>3.4</v>
      </c>
      <c r="BJ71" s="175">
        <v>2</v>
      </c>
      <c r="BK71" s="174">
        <f t="shared" si="122"/>
        <v>10</v>
      </c>
      <c r="BL71" s="379">
        <v>349.09716799999933</v>
      </c>
      <c r="BM71" s="173">
        <v>125</v>
      </c>
      <c r="BN71" s="175">
        <v>1</v>
      </c>
      <c r="BO71" s="172">
        <f>IF(BL71="","",ROUNDUP(BL71/BM71/BN71,0)+1)</f>
        <v>4</v>
      </c>
      <c r="BP71" s="191">
        <f t="shared" si="123"/>
        <v>7</v>
      </c>
      <c r="BQ71" s="167">
        <f>ROUNDUP(SUM(AT71,AX71,AY71,BC71,BG71,BK71,BO71,BP71),0)</f>
        <v>38</v>
      </c>
      <c r="BR71" s="379">
        <v>152.22760099999931</v>
      </c>
      <c r="BS71" s="173">
        <v>165</v>
      </c>
      <c r="BT71" s="175">
        <v>1</v>
      </c>
      <c r="BU71" s="174">
        <f>CEILING(BR71/BS71/BT71,0.5)</f>
        <v>1</v>
      </c>
      <c r="BV71" s="379">
        <v>197.71362199999899</v>
      </c>
      <c r="BW71" s="173">
        <v>150</v>
      </c>
      <c r="BX71" s="175">
        <v>2</v>
      </c>
      <c r="BY71" s="174">
        <f>CEILING(BV71/BW71/BX71,0.5)</f>
        <v>1</v>
      </c>
      <c r="BZ71" s="379">
        <v>1198.3441199999941</v>
      </c>
      <c r="CA71" s="170">
        <v>320</v>
      </c>
      <c r="CB71" s="175">
        <v>2</v>
      </c>
      <c r="CC71" s="174">
        <f>CEILING(BZ71/CA71/CB71,0.5)</f>
        <v>2</v>
      </c>
      <c r="CD71" s="379">
        <v>3595.032359999982</v>
      </c>
      <c r="CE71" s="170">
        <v>8000</v>
      </c>
      <c r="CF71" s="175">
        <v>1</v>
      </c>
      <c r="CG71" s="174">
        <f>CEILING(CD71/CE71/CF71,0.5)</f>
        <v>0.5</v>
      </c>
      <c r="CH71" s="379">
        <v>2396.6882399999881</v>
      </c>
      <c r="CI71" s="170">
        <v>300</v>
      </c>
      <c r="CJ71" s="175">
        <v>2</v>
      </c>
      <c r="CK71" s="174">
        <f>CEILING(CH71/CI71/CJ71,0.5)</f>
        <v>4</v>
      </c>
      <c r="CL71" s="166">
        <f t="shared" si="124"/>
        <v>254.44399999999951</v>
      </c>
      <c r="CM71" s="165">
        <v>50</v>
      </c>
      <c r="CN71" s="175">
        <v>1</v>
      </c>
      <c r="CO71" s="174">
        <f>CEILING(CL71/CM71/CN71,0.5)</f>
        <v>5.5</v>
      </c>
      <c r="CP71" s="164">
        <f>ROUNDUP(SUM(BU71,BY71,CC71,CG71,CK71,CO71),0)</f>
        <v>14</v>
      </c>
      <c r="CQ71" s="163">
        <f t="shared" si="125"/>
        <v>26</v>
      </c>
      <c r="CR71" s="163">
        <f t="shared" si="126"/>
        <v>38</v>
      </c>
      <c r="CS71" s="163">
        <f>CP71</f>
        <v>14</v>
      </c>
      <c r="CT71" s="163">
        <f>SUM(CQ71:CS71)</f>
        <v>78</v>
      </c>
      <c r="CY71" s="40"/>
      <c r="DF71" s="40"/>
    </row>
    <row r="72" spans="1:110" s="6" customFormat="1" ht="17.25" customHeight="1">
      <c r="A72" s="40"/>
      <c r="B72" s="333">
        <v>60</v>
      </c>
      <c r="C72" s="371" t="s">
        <v>182</v>
      </c>
      <c r="D72" s="371" t="s">
        <v>81</v>
      </c>
      <c r="E72" s="333" t="s">
        <v>18</v>
      </c>
      <c r="F72" s="93"/>
      <c r="G72" s="362">
        <v>15241.548000000001</v>
      </c>
      <c r="H72" s="362">
        <v>15439.82</v>
      </c>
      <c r="I72" s="65">
        <f>H72-G72</f>
        <v>198.27199999999903</v>
      </c>
      <c r="J72" s="65">
        <f>J71+I72</f>
        <v>452.71599999999853</v>
      </c>
      <c r="K72" s="181" t="s">
        <v>171</v>
      </c>
      <c r="L72" s="426"/>
      <c r="M72" s="417"/>
      <c r="N72" s="387"/>
      <c r="O72" s="390"/>
      <c r="P72" s="19">
        <v>3</v>
      </c>
      <c r="Q72" s="372">
        <v>299.39071999999851</v>
      </c>
      <c r="R72" s="8">
        <v>53.9</v>
      </c>
      <c r="S72" s="9">
        <v>2</v>
      </c>
      <c r="T72" s="10">
        <f t="shared" si="115"/>
        <v>3</v>
      </c>
      <c r="U72" s="376">
        <v>1094.4614399999946</v>
      </c>
      <c r="V72" s="11">
        <v>190</v>
      </c>
      <c r="W72" s="9">
        <v>2</v>
      </c>
      <c r="X72" s="10">
        <f t="shared" si="116"/>
        <v>3</v>
      </c>
      <c r="Y72" s="376">
        <v>265.6844799999987</v>
      </c>
      <c r="Z72" s="11">
        <v>42</v>
      </c>
      <c r="AA72" s="9">
        <v>2</v>
      </c>
      <c r="AB72" s="12">
        <f>IF(Y72="","",CEILING(Y72/Z72/AA72,0.5)+1)</f>
        <v>4.5</v>
      </c>
      <c r="AC72" s="376">
        <v>158.61759999999924</v>
      </c>
      <c r="AD72" s="11">
        <v>40</v>
      </c>
      <c r="AE72" s="9">
        <v>2</v>
      </c>
      <c r="AF72" s="10">
        <f>CEILING(AC72/AD72/AE72,0.5)</f>
        <v>2</v>
      </c>
      <c r="AG72" s="376">
        <v>71.377919999999662</v>
      </c>
      <c r="AH72" s="11">
        <v>130</v>
      </c>
      <c r="AI72" s="9">
        <v>1</v>
      </c>
      <c r="AJ72" s="12">
        <f>IF(AG72="","",ROUNDUP(AG72/AH72/AI72,0)+1)</f>
        <v>2</v>
      </c>
      <c r="AK72" s="19">
        <f t="shared" si="268"/>
        <v>2</v>
      </c>
      <c r="AL72" s="376">
        <v>226.03007999999892</v>
      </c>
      <c r="AM72" s="11">
        <v>225</v>
      </c>
      <c r="AN72" s="9">
        <v>1</v>
      </c>
      <c r="AO72" s="10">
        <f>CEILING(AL72/AM72/AN72,0.5)</f>
        <v>1.5</v>
      </c>
      <c r="AP72" s="18">
        <f>ROUNDUP(SUM(P72,T72,X72,AB72,AF72,AJ72,AK72,AO72),0)</f>
        <v>21</v>
      </c>
      <c r="AQ72" s="376">
        <v>79.308799999999621</v>
      </c>
      <c r="AR72" s="13">
        <v>40</v>
      </c>
      <c r="AS72" s="9">
        <v>1</v>
      </c>
      <c r="AT72" s="10">
        <f t="shared" si="118"/>
        <v>2</v>
      </c>
      <c r="AU72" s="376">
        <v>87.239679999999581</v>
      </c>
      <c r="AV72" s="11">
        <v>130</v>
      </c>
      <c r="AW72" s="9">
        <v>1</v>
      </c>
      <c r="AX72" s="12">
        <f t="shared" si="119"/>
        <v>2</v>
      </c>
      <c r="AY72" s="19">
        <f t="shared" si="269"/>
        <v>5</v>
      </c>
      <c r="AZ72" s="376">
        <v>793.0879999999961</v>
      </c>
      <c r="BA72" s="25">
        <f t="shared" si="6"/>
        <v>220</v>
      </c>
      <c r="BB72" s="9">
        <v>1</v>
      </c>
      <c r="BC72" s="10">
        <f t="shared" si="121"/>
        <v>4</v>
      </c>
      <c r="BD72" s="376">
        <v>298.9941759999985</v>
      </c>
      <c r="BE72" s="13">
        <v>35</v>
      </c>
      <c r="BF72" s="9">
        <v>2</v>
      </c>
      <c r="BG72" s="12">
        <f>IF(BD72="","",2)</f>
        <v>2</v>
      </c>
      <c r="BH72" s="376">
        <v>50.757631999999752</v>
      </c>
      <c r="BI72" s="14">
        <v>3.4</v>
      </c>
      <c r="BJ72" s="9">
        <v>2</v>
      </c>
      <c r="BK72" s="10">
        <f t="shared" si="122"/>
        <v>7.5</v>
      </c>
      <c r="BL72" s="376">
        <v>272.02918399999868</v>
      </c>
      <c r="BM72" s="11">
        <v>125</v>
      </c>
      <c r="BN72" s="9">
        <v>1</v>
      </c>
      <c r="BO72" s="12">
        <f>IF(BL72="","",ROUNDUP(BL72/BM72/BN72,0)+1)</f>
        <v>4</v>
      </c>
      <c r="BP72" s="19">
        <f t="shared" si="123"/>
        <v>7</v>
      </c>
      <c r="BQ72" s="21">
        <f>ROUNDUP(SUM(AT72,AX72,AY72,BC72,BG72,BK72,BO72,BP72),0)</f>
        <v>34</v>
      </c>
      <c r="BR72" s="376">
        <v>97.946367999999524</v>
      </c>
      <c r="BS72" s="11">
        <v>165</v>
      </c>
      <c r="BT72" s="9">
        <v>1</v>
      </c>
      <c r="BU72" s="10">
        <f>CEILING(BR72/BS72/BT72,0.5)</f>
        <v>1</v>
      </c>
      <c r="BV72" s="376">
        <v>132.84223999999935</v>
      </c>
      <c r="BW72" s="11">
        <v>150</v>
      </c>
      <c r="BX72" s="9">
        <v>2</v>
      </c>
      <c r="BY72" s="10">
        <f>CEILING(BV72/BW72/BX72,0.5)</f>
        <v>0.5</v>
      </c>
      <c r="BZ72" s="376">
        <v>808.94975999999599</v>
      </c>
      <c r="CA72" s="13">
        <v>320</v>
      </c>
      <c r="CB72" s="9">
        <v>2</v>
      </c>
      <c r="CC72" s="10">
        <f>CEILING(BZ72/CA72/CB72,0.5)</f>
        <v>1.5</v>
      </c>
      <c r="CD72" s="376">
        <v>2426.8492799999881</v>
      </c>
      <c r="CE72" s="13">
        <v>8000</v>
      </c>
      <c r="CF72" s="9">
        <v>1</v>
      </c>
      <c r="CG72" s="10">
        <f>CEILING(CD72/CE72/CF72,0.5)</f>
        <v>0.5</v>
      </c>
      <c r="CH72" s="376">
        <v>1617.899519999992</v>
      </c>
      <c r="CI72" s="13">
        <v>300</v>
      </c>
      <c r="CJ72" s="9">
        <v>2</v>
      </c>
      <c r="CK72" s="10">
        <f>CEILING(CH72/CI72/CJ72,0.5)</f>
        <v>3</v>
      </c>
      <c r="CL72" s="38">
        <f t="shared" si="124"/>
        <v>198.27199999999903</v>
      </c>
      <c r="CM72" s="15">
        <v>50</v>
      </c>
      <c r="CN72" s="9">
        <v>1</v>
      </c>
      <c r="CO72" s="10">
        <f>CEILING(CL72/CM72/CN72,0.5)</f>
        <v>4</v>
      </c>
      <c r="CP72" s="20">
        <f>ROUNDUP(SUM(BU72,BY72,CC72,CG72,CK72,CO72),0)</f>
        <v>11</v>
      </c>
      <c r="CQ72" s="5">
        <f t="shared" si="125"/>
        <v>21</v>
      </c>
      <c r="CR72" s="5">
        <f t="shared" si="126"/>
        <v>34</v>
      </c>
      <c r="CS72" s="5">
        <f>CP72</f>
        <v>11</v>
      </c>
      <c r="CT72" s="5">
        <f>SUM(CQ72:CS72)</f>
        <v>66</v>
      </c>
      <c r="CY72" s="40"/>
      <c r="DF72" s="40"/>
    </row>
    <row r="73" spans="1:110" s="6" customFormat="1" ht="17.25" customHeight="1">
      <c r="A73" s="40"/>
      <c r="B73" s="223">
        <v>61</v>
      </c>
      <c r="C73" s="365" t="s">
        <v>184</v>
      </c>
      <c r="D73" s="365" t="s">
        <v>81</v>
      </c>
      <c r="E73" s="223" t="s">
        <v>18</v>
      </c>
      <c r="F73" s="224"/>
      <c r="G73" s="366">
        <v>15484.807000000001</v>
      </c>
      <c r="H73" s="366">
        <v>15603.978999999999</v>
      </c>
      <c r="I73" s="227">
        <f t="shared" ref="I73" si="285">H73-G73</f>
        <v>119.17199999999866</v>
      </c>
      <c r="J73" s="227">
        <f>0+(J72+I73)</f>
        <v>571.88799999999719</v>
      </c>
      <c r="K73" s="228" t="s">
        <v>185</v>
      </c>
      <c r="L73" s="426"/>
      <c r="M73" s="417"/>
      <c r="N73" s="387"/>
      <c r="O73" s="390"/>
      <c r="P73" s="19">
        <v>3</v>
      </c>
      <c r="Q73" s="372">
        <v>60.166200000000025</v>
      </c>
      <c r="R73" s="8">
        <v>53.9</v>
      </c>
      <c r="S73" s="9">
        <v>2</v>
      </c>
      <c r="T73" s="10">
        <f t="shared" si="115"/>
        <v>1</v>
      </c>
      <c r="U73" s="122"/>
      <c r="V73" s="11">
        <v>190</v>
      </c>
      <c r="W73" s="9">
        <v>2</v>
      </c>
      <c r="X73" s="10">
        <f t="shared" si="116"/>
        <v>0</v>
      </c>
      <c r="Y73" s="394" t="s">
        <v>49</v>
      </c>
      <c r="Z73" s="394"/>
      <c r="AA73" s="394"/>
      <c r="AB73" s="394"/>
      <c r="AC73" s="94">
        <f>I73*2</f>
        <v>238.34399999999732</v>
      </c>
      <c r="AD73" s="25">
        <v>20</v>
      </c>
      <c r="AE73" s="9">
        <v>2</v>
      </c>
      <c r="AF73" s="10">
        <f t="shared" ref="AF73" si="286">CEILING(AC73/AD73/AE73,0.5)</f>
        <v>6</v>
      </c>
      <c r="AG73" s="122"/>
      <c r="AH73" s="11"/>
      <c r="AI73" s="9"/>
      <c r="AJ73" s="12"/>
      <c r="AK73" s="19"/>
      <c r="AL73" s="122"/>
      <c r="AM73" s="11">
        <v>225</v>
      </c>
      <c r="AN73" s="9">
        <v>1</v>
      </c>
      <c r="AO73" s="10">
        <f t="shared" ref="AO73" si="287">ROUND(AL73/AM73/AN73,0)</f>
        <v>0</v>
      </c>
      <c r="AP73" s="18">
        <f>ROUNDUP(SUM(T73,X73,AF73,AJ73,AK73,AO73,P73),0)</f>
        <v>10</v>
      </c>
      <c r="AQ73" s="122"/>
      <c r="AR73" s="13">
        <v>40</v>
      </c>
      <c r="AS73" s="9">
        <v>1</v>
      </c>
      <c r="AT73" s="10">
        <f t="shared" si="118"/>
        <v>0</v>
      </c>
      <c r="AU73" s="122"/>
      <c r="AV73" s="11">
        <v>130</v>
      </c>
      <c r="AW73" s="9">
        <v>1</v>
      </c>
      <c r="AX73" s="12" t="str">
        <f t="shared" si="119"/>
        <v/>
      </c>
      <c r="AY73" s="19"/>
      <c r="AZ73" s="376">
        <v>401.10800000000017</v>
      </c>
      <c r="BA73" s="25">
        <f t="shared" si="6"/>
        <v>220</v>
      </c>
      <c r="BB73" s="9">
        <v>1</v>
      </c>
      <c r="BC73" s="10">
        <f t="shared" si="121"/>
        <v>2</v>
      </c>
      <c r="BD73" s="376">
        <v>151.21771600000005</v>
      </c>
      <c r="BE73" s="13">
        <v>35</v>
      </c>
      <c r="BF73" s="9">
        <v>2</v>
      </c>
      <c r="BG73" s="12">
        <f t="shared" ref="BG73" si="288">IF(BD73="","",2)</f>
        <v>2</v>
      </c>
      <c r="BH73" s="376">
        <v>25.670912000000012</v>
      </c>
      <c r="BI73" s="14">
        <v>3.4</v>
      </c>
      <c r="BJ73" s="9">
        <v>2</v>
      </c>
      <c r="BK73" s="10">
        <f t="shared" si="122"/>
        <v>4</v>
      </c>
      <c r="BL73" s="376">
        <v>137.58004400000007</v>
      </c>
      <c r="BM73" s="11">
        <v>125</v>
      </c>
      <c r="BN73" s="9">
        <v>1</v>
      </c>
      <c r="BO73" s="12">
        <f t="shared" ref="BO73" si="289">IF(BL73="","",ROUNDUP(BL73/BM73/BN73,0)+1)</f>
        <v>3</v>
      </c>
      <c r="BP73" s="19">
        <f t="shared" si="123"/>
        <v>7</v>
      </c>
      <c r="BQ73" s="21">
        <f t="shared" ref="BQ73" si="290">ROUNDUP(SUM(AT73,AX73,AY73,BC73,BG73,BK73,BO73,BP73),0)</f>
        <v>18</v>
      </c>
      <c r="BR73" s="122"/>
      <c r="BS73" s="11">
        <v>165</v>
      </c>
      <c r="BT73" s="9">
        <v>1</v>
      </c>
      <c r="BU73" s="10">
        <f t="shared" ref="BU73" si="291">CEILING(BR73/BS73/BT73,0.5)</f>
        <v>0</v>
      </c>
      <c r="BV73" s="376">
        <v>18.350691000000008</v>
      </c>
      <c r="BW73" s="11">
        <v>150</v>
      </c>
      <c r="BX73" s="9">
        <v>2</v>
      </c>
      <c r="BY73" s="10">
        <f t="shared" ref="BY73" si="292">CEILING(BV73/BW73/BX73,0.5)</f>
        <v>0.5</v>
      </c>
      <c r="BZ73" s="376">
        <v>156.43212000000008</v>
      </c>
      <c r="CA73" s="13">
        <v>320</v>
      </c>
      <c r="CB73" s="9">
        <v>2</v>
      </c>
      <c r="CC73" s="10">
        <f t="shared" ref="CC73" si="293">CEILING(BZ73/CA73/CB73,0.5)</f>
        <v>0.5</v>
      </c>
      <c r="CD73" s="376">
        <v>469.29636000000028</v>
      </c>
      <c r="CE73" s="13">
        <v>8000</v>
      </c>
      <c r="CF73" s="9">
        <v>1</v>
      </c>
      <c r="CG73" s="10">
        <f t="shared" ref="CG73" si="294">CEILING(CD73/CE73/CF73,0.5)</f>
        <v>0.5</v>
      </c>
      <c r="CH73" s="376">
        <v>312.86424000000017</v>
      </c>
      <c r="CI73" s="13">
        <v>300</v>
      </c>
      <c r="CJ73" s="9">
        <v>2</v>
      </c>
      <c r="CK73" s="10">
        <f t="shared" ref="CK73" si="295">CEILING(CH73/CI73/CJ73,0.5)</f>
        <v>1</v>
      </c>
      <c r="CL73" s="38">
        <f t="shared" si="124"/>
        <v>119.17199999999866</v>
      </c>
      <c r="CM73" s="15">
        <v>50</v>
      </c>
      <c r="CN73" s="9">
        <v>1</v>
      </c>
      <c r="CO73" s="10">
        <f t="shared" ref="CO73" si="296">CEILING(CL73/CM73/CN73,0.5)</f>
        <v>2.5</v>
      </c>
      <c r="CP73" s="20">
        <f t="shared" ref="CP73" si="297">ROUNDUP(SUM(BU73,BY73,CC73,CG73,CK73,CO73),0)</f>
        <v>5</v>
      </c>
      <c r="CQ73" s="5">
        <f t="shared" si="125"/>
        <v>10</v>
      </c>
      <c r="CR73" s="5">
        <f t="shared" si="126"/>
        <v>18</v>
      </c>
      <c r="CS73" s="5">
        <f t="shared" ref="CS73" si="298">CP73</f>
        <v>5</v>
      </c>
      <c r="CT73" s="5">
        <f t="shared" ref="CT73" si="299">SUM(CQ73:CS73)</f>
        <v>33</v>
      </c>
      <c r="CY73" s="40"/>
      <c r="DF73" s="40"/>
    </row>
    <row r="74" spans="1:110" s="6" customFormat="1" ht="17.25" customHeight="1" thickBot="1">
      <c r="A74" s="40"/>
      <c r="B74" s="45">
        <v>62</v>
      </c>
      <c r="C74" s="45" t="s">
        <v>186</v>
      </c>
      <c r="D74" s="45" t="s">
        <v>175</v>
      </c>
      <c r="E74" s="45" t="s">
        <v>18</v>
      </c>
      <c r="F74" s="193"/>
      <c r="G74" s="370">
        <v>15640.48</v>
      </c>
      <c r="H74" s="370">
        <v>15929.744000000001</v>
      </c>
      <c r="I74" s="195">
        <f t="shared" ref="I74:I79" si="300">H74-G74</f>
        <v>289.26400000000103</v>
      </c>
      <c r="J74" s="195">
        <f>J73+I74</f>
        <v>861.15199999999822</v>
      </c>
      <c r="K74" s="132" t="s">
        <v>171</v>
      </c>
      <c r="L74" s="427"/>
      <c r="M74" s="418"/>
      <c r="N74" s="388"/>
      <c r="O74" s="391"/>
      <c r="P74" s="77">
        <v>3</v>
      </c>
      <c r="Q74" s="375">
        <v>462.18952000000189</v>
      </c>
      <c r="R74" s="44">
        <v>53.9</v>
      </c>
      <c r="S74" s="43">
        <v>2</v>
      </c>
      <c r="T74" s="42">
        <f t="shared" si="115"/>
        <v>4.5</v>
      </c>
      <c r="U74" s="375">
        <v>1662.0034300000066</v>
      </c>
      <c r="V74" s="41">
        <v>190</v>
      </c>
      <c r="W74" s="43">
        <v>2</v>
      </c>
      <c r="X74" s="42">
        <f t="shared" si="116"/>
        <v>4.5</v>
      </c>
      <c r="Y74" s="375">
        <v>387.61376000000143</v>
      </c>
      <c r="Z74" s="41">
        <v>42</v>
      </c>
      <c r="AA74" s="43">
        <v>2</v>
      </c>
      <c r="AB74" s="75">
        <f t="shared" ref="AB74:AB79" si="301">IF(Y74="","",CEILING(Y74/Z74/AA74,0.5)+1)</f>
        <v>6</v>
      </c>
      <c r="AC74" s="375">
        <v>231.41120000000083</v>
      </c>
      <c r="AD74" s="41">
        <v>40</v>
      </c>
      <c r="AE74" s="43">
        <v>2</v>
      </c>
      <c r="AF74" s="42">
        <f t="shared" ref="AF74:AF79" si="302">CEILING(AC74/AD74/AE74,0.5)</f>
        <v>3</v>
      </c>
      <c r="AG74" s="375">
        <v>104.13504000000037</v>
      </c>
      <c r="AH74" s="41">
        <v>130</v>
      </c>
      <c r="AI74" s="43">
        <v>1</v>
      </c>
      <c r="AJ74" s="75">
        <f t="shared" ref="AJ74:AJ79" si="303">IF(AG74="","",ROUNDUP(AG74/AH74/AI74,0)+1)</f>
        <v>2</v>
      </c>
      <c r="AK74" s="77">
        <f t="shared" ref="AK74:AK79" si="304">IF(E74="보통",2,IF(E74="조강",1,""))</f>
        <v>2</v>
      </c>
      <c r="AL74" s="375">
        <v>356.57300000000157</v>
      </c>
      <c r="AM74" s="41">
        <v>225</v>
      </c>
      <c r="AN74" s="43">
        <v>1</v>
      </c>
      <c r="AO74" s="42">
        <f t="shared" ref="AO74:AO79" si="305">CEILING(AL74/AM74/AN74,0.5)</f>
        <v>2</v>
      </c>
      <c r="AP74" s="74">
        <f t="shared" ref="AP74:AP79" si="306">ROUNDUP(SUM(P74,T74,X74,AB74,AF74,AJ74,AK74,AO74),0)</f>
        <v>27</v>
      </c>
      <c r="AQ74" s="375">
        <v>115.70560000000042</v>
      </c>
      <c r="AR74" s="73">
        <v>40</v>
      </c>
      <c r="AS74" s="43">
        <v>1</v>
      </c>
      <c r="AT74" s="42">
        <f t="shared" si="118"/>
        <v>3</v>
      </c>
      <c r="AU74" s="375">
        <v>127.27616000000047</v>
      </c>
      <c r="AV74" s="41">
        <v>130</v>
      </c>
      <c r="AW74" s="43">
        <v>1</v>
      </c>
      <c r="AX74" s="75">
        <f t="shared" si="119"/>
        <v>2</v>
      </c>
      <c r="AY74" s="77">
        <f t="shared" ref="AY74:AY79" si="307">IF(E74="보통",5,IF(E74="조강",2,""))</f>
        <v>5</v>
      </c>
      <c r="AZ74" s="375">
        <v>1157.0560000000041</v>
      </c>
      <c r="BA74" s="76">
        <f t="shared" si="6"/>
        <v>220</v>
      </c>
      <c r="BB74" s="43">
        <v>1</v>
      </c>
      <c r="BC74" s="42">
        <f t="shared" si="121"/>
        <v>5.5</v>
      </c>
      <c r="BD74" s="375">
        <v>436.21011200000157</v>
      </c>
      <c r="BE74" s="73">
        <v>35</v>
      </c>
      <c r="BF74" s="43">
        <v>2</v>
      </c>
      <c r="BG74" s="75">
        <f t="shared" ref="BG74:BG79" si="308">IF(BD74="","",2)</f>
        <v>2</v>
      </c>
      <c r="BH74" s="375">
        <v>74.051584000000261</v>
      </c>
      <c r="BI74" s="72">
        <v>3.4</v>
      </c>
      <c r="BJ74" s="43">
        <v>2</v>
      </c>
      <c r="BK74" s="42">
        <f t="shared" si="122"/>
        <v>11</v>
      </c>
      <c r="BL74" s="375">
        <v>396.87020800000141</v>
      </c>
      <c r="BM74" s="41">
        <v>125</v>
      </c>
      <c r="BN74" s="43">
        <v>1</v>
      </c>
      <c r="BO74" s="75">
        <f t="shared" ref="BO74:BO79" si="309">IF(BL74="","",ROUNDUP(BL74/BM74/BN74,0)+1)</f>
        <v>5</v>
      </c>
      <c r="BP74" s="77">
        <f t="shared" si="123"/>
        <v>7</v>
      </c>
      <c r="BQ74" s="71">
        <f t="shared" ref="BQ74:BQ79" si="310">ROUNDUP(SUM(AT74,AX74,AY74,BC74,BG74,BK74,BO74,BP74),0)</f>
        <v>41</v>
      </c>
      <c r="BR74" s="375">
        <v>158.59557100000072</v>
      </c>
      <c r="BS74" s="41">
        <v>165</v>
      </c>
      <c r="BT74" s="43">
        <v>1</v>
      </c>
      <c r="BU74" s="42">
        <f t="shared" ref="BU74:BU79" si="311">CEILING(BR74/BS74/BT74,0.5)</f>
        <v>1</v>
      </c>
      <c r="BV74" s="375">
        <v>216.597114000001</v>
      </c>
      <c r="BW74" s="41">
        <v>150</v>
      </c>
      <c r="BX74" s="43">
        <v>2</v>
      </c>
      <c r="BY74" s="42">
        <f t="shared" ref="BY74:BY79" si="312">CEILING(BV74/BW74/BX74,0.5)</f>
        <v>1</v>
      </c>
      <c r="BZ74" s="375">
        <v>1314.2573200000058</v>
      </c>
      <c r="CA74" s="73">
        <v>320</v>
      </c>
      <c r="CB74" s="43">
        <v>2</v>
      </c>
      <c r="CC74" s="42">
        <f t="shared" ref="CC74:CC79" si="313">CEILING(BZ74/CA74/CB74,0.5)</f>
        <v>2.5</v>
      </c>
      <c r="CD74" s="375">
        <v>3942.7719600000178</v>
      </c>
      <c r="CE74" s="73">
        <v>8000</v>
      </c>
      <c r="CF74" s="43">
        <v>1</v>
      </c>
      <c r="CG74" s="42">
        <f t="shared" ref="CG74:CG79" si="314">CEILING(CD74/CE74/CF74,0.5)</f>
        <v>0.5</v>
      </c>
      <c r="CH74" s="375">
        <v>2628.5146400000117</v>
      </c>
      <c r="CI74" s="73">
        <v>300</v>
      </c>
      <c r="CJ74" s="43">
        <v>2</v>
      </c>
      <c r="CK74" s="42">
        <f t="shared" ref="CK74:CK79" si="315">CEILING(CH74/CI74/CJ74,0.5)</f>
        <v>4.5</v>
      </c>
      <c r="CL74" s="70">
        <f t="shared" si="124"/>
        <v>289.26400000000103</v>
      </c>
      <c r="CM74" s="69">
        <v>50</v>
      </c>
      <c r="CN74" s="43">
        <v>1</v>
      </c>
      <c r="CO74" s="42">
        <f t="shared" ref="CO74:CO79" si="316">CEILING(CL74/CM74/CN74,0.5)</f>
        <v>6</v>
      </c>
      <c r="CP74" s="68">
        <f t="shared" ref="CP74:CP79" si="317">ROUNDUP(SUM(BU74,BY74,CC74,CG74,CK74,CO74),0)</f>
        <v>16</v>
      </c>
      <c r="CQ74" s="4">
        <f t="shared" si="125"/>
        <v>27</v>
      </c>
      <c r="CR74" s="4">
        <f t="shared" si="126"/>
        <v>41</v>
      </c>
      <c r="CS74" s="4">
        <f t="shared" ref="CS74:CS79" si="318">CP74</f>
        <v>16</v>
      </c>
      <c r="CT74" s="4">
        <f t="shared" ref="CT74:CT79" si="319">SUM(CQ74:CS74)</f>
        <v>84</v>
      </c>
      <c r="CY74" s="40"/>
      <c r="DF74" s="40"/>
    </row>
    <row r="75" spans="1:110" s="6" customFormat="1" ht="17.25" customHeight="1">
      <c r="A75" s="40"/>
      <c r="B75" s="180">
        <v>63</v>
      </c>
      <c r="C75" s="180" t="s">
        <v>187</v>
      </c>
      <c r="D75" s="180"/>
      <c r="E75" s="180" t="s">
        <v>18</v>
      </c>
      <c r="F75" s="179">
        <v>255</v>
      </c>
      <c r="G75" s="361">
        <v>15972.893</v>
      </c>
      <c r="H75" s="361">
        <v>16344.446</v>
      </c>
      <c r="I75" s="178">
        <f t="shared" si="300"/>
        <v>371.55299999999988</v>
      </c>
      <c r="J75" s="178">
        <f>I75</f>
        <v>371.55299999999988</v>
      </c>
      <c r="K75" s="177" t="s">
        <v>188</v>
      </c>
      <c r="L75" s="425" t="s">
        <v>202</v>
      </c>
      <c r="M75" s="416">
        <f>SUM(I75:I77)</f>
        <v>892.11999999999898</v>
      </c>
      <c r="N75" s="386">
        <f>SUM(CQ75:CQ77,CR75:CS75)/18.4</f>
        <v>8.6413043478260878</v>
      </c>
      <c r="O75" s="389">
        <v>43</v>
      </c>
      <c r="P75" s="191">
        <v>3</v>
      </c>
      <c r="Q75" s="379">
        <v>680.52470999999946</v>
      </c>
      <c r="R75" s="176">
        <v>53.9</v>
      </c>
      <c r="S75" s="175">
        <v>2</v>
      </c>
      <c r="T75" s="174">
        <f t="shared" si="115"/>
        <v>6.5</v>
      </c>
      <c r="U75" s="379">
        <v>2411.9689599999983</v>
      </c>
      <c r="V75" s="173">
        <v>190</v>
      </c>
      <c r="W75" s="175">
        <v>2</v>
      </c>
      <c r="X75" s="174">
        <f t="shared" si="116"/>
        <v>6.5</v>
      </c>
      <c r="Y75" s="379">
        <v>497.88101999999992</v>
      </c>
      <c r="Z75" s="173">
        <v>42</v>
      </c>
      <c r="AA75" s="175">
        <v>2</v>
      </c>
      <c r="AB75" s="172">
        <f t="shared" si="301"/>
        <v>7</v>
      </c>
      <c r="AC75" s="379">
        <v>297.24239999999992</v>
      </c>
      <c r="AD75" s="173">
        <v>40</v>
      </c>
      <c r="AE75" s="175">
        <v>2</v>
      </c>
      <c r="AF75" s="174">
        <f t="shared" si="302"/>
        <v>4</v>
      </c>
      <c r="AG75" s="379">
        <v>133.75907999999998</v>
      </c>
      <c r="AH75" s="173">
        <v>130</v>
      </c>
      <c r="AI75" s="175">
        <v>1</v>
      </c>
      <c r="AJ75" s="172">
        <f t="shared" si="303"/>
        <v>3</v>
      </c>
      <c r="AK75" s="191">
        <f t="shared" si="304"/>
        <v>2</v>
      </c>
      <c r="AL75" s="379">
        <v>514.4878599999995</v>
      </c>
      <c r="AM75" s="173">
        <v>225</v>
      </c>
      <c r="AN75" s="175">
        <v>1</v>
      </c>
      <c r="AO75" s="174">
        <f t="shared" si="305"/>
        <v>2.5</v>
      </c>
      <c r="AP75" s="171">
        <f t="shared" si="306"/>
        <v>35</v>
      </c>
      <c r="AQ75" s="379">
        <v>148.62119999999996</v>
      </c>
      <c r="AR75" s="170">
        <v>40</v>
      </c>
      <c r="AS75" s="175">
        <v>1</v>
      </c>
      <c r="AT75" s="174">
        <f t="shared" si="118"/>
        <v>4</v>
      </c>
      <c r="AU75" s="379">
        <v>163.48331999999996</v>
      </c>
      <c r="AV75" s="173">
        <v>130</v>
      </c>
      <c r="AW75" s="175">
        <v>1</v>
      </c>
      <c r="AX75" s="172">
        <f t="shared" si="119"/>
        <v>3</v>
      </c>
      <c r="AY75" s="191">
        <f t="shared" si="307"/>
        <v>5</v>
      </c>
      <c r="AZ75" s="379">
        <v>1486.2119999999995</v>
      </c>
      <c r="BA75" s="169">
        <f t="shared" si="6"/>
        <v>220</v>
      </c>
      <c r="BB75" s="175">
        <v>1</v>
      </c>
      <c r="BC75" s="174">
        <f t="shared" si="121"/>
        <v>7</v>
      </c>
      <c r="BD75" s="379">
        <v>560.30192399999987</v>
      </c>
      <c r="BE75" s="170">
        <v>35</v>
      </c>
      <c r="BF75" s="175">
        <v>2</v>
      </c>
      <c r="BG75" s="172">
        <f t="shared" si="308"/>
        <v>2</v>
      </c>
      <c r="BH75" s="379">
        <v>95.117567999999977</v>
      </c>
      <c r="BI75" s="168">
        <v>3.4</v>
      </c>
      <c r="BJ75" s="175">
        <v>2</v>
      </c>
      <c r="BK75" s="174">
        <f t="shared" si="122"/>
        <v>14</v>
      </c>
      <c r="BL75" s="379">
        <v>509.77071599999988</v>
      </c>
      <c r="BM75" s="173">
        <v>125</v>
      </c>
      <c r="BN75" s="175">
        <v>1</v>
      </c>
      <c r="BO75" s="172">
        <f t="shared" si="309"/>
        <v>6</v>
      </c>
      <c r="BP75" s="191">
        <f t="shared" si="123"/>
        <v>7</v>
      </c>
      <c r="BQ75" s="167">
        <f t="shared" si="310"/>
        <v>48</v>
      </c>
      <c r="BR75" s="379">
        <v>244.55226199999973</v>
      </c>
      <c r="BS75" s="173">
        <v>165</v>
      </c>
      <c r="BT75" s="175">
        <v>1</v>
      </c>
      <c r="BU75" s="174">
        <f t="shared" si="311"/>
        <v>1.5</v>
      </c>
      <c r="BV75" s="379">
        <v>326.22033399999964</v>
      </c>
      <c r="BW75" s="173">
        <v>150</v>
      </c>
      <c r="BX75" s="175">
        <v>2</v>
      </c>
      <c r="BY75" s="174">
        <f t="shared" si="312"/>
        <v>1.5</v>
      </c>
      <c r="BZ75" s="379">
        <v>1970.5234399999977</v>
      </c>
      <c r="CA75" s="170">
        <v>320</v>
      </c>
      <c r="CB75" s="175">
        <v>2</v>
      </c>
      <c r="CC75" s="174">
        <f t="shared" si="313"/>
        <v>3.5</v>
      </c>
      <c r="CD75" s="379">
        <v>5911.5703199999925</v>
      </c>
      <c r="CE75" s="170">
        <v>8000</v>
      </c>
      <c r="CF75" s="175">
        <v>1</v>
      </c>
      <c r="CG75" s="174">
        <f t="shared" si="314"/>
        <v>1</v>
      </c>
      <c r="CH75" s="379">
        <v>3941.0468799999953</v>
      </c>
      <c r="CI75" s="170">
        <v>300</v>
      </c>
      <c r="CJ75" s="175">
        <v>2</v>
      </c>
      <c r="CK75" s="174">
        <f t="shared" si="315"/>
        <v>7</v>
      </c>
      <c r="CL75" s="166">
        <f t="shared" si="124"/>
        <v>371.55299999999988</v>
      </c>
      <c r="CM75" s="165">
        <v>50</v>
      </c>
      <c r="CN75" s="175">
        <v>1</v>
      </c>
      <c r="CO75" s="174">
        <f t="shared" si="316"/>
        <v>7.5</v>
      </c>
      <c r="CP75" s="164">
        <f t="shared" si="317"/>
        <v>22</v>
      </c>
      <c r="CQ75" s="163">
        <f t="shared" si="125"/>
        <v>35</v>
      </c>
      <c r="CR75" s="163">
        <f t="shared" si="126"/>
        <v>48</v>
      </c>
      <c r="CS75" s="163">
        <f t="shared" si="318"/>
        <v>22</v>
      </c>
      <c r="CT75" s="163">
        <f t="shared" si="319"/>
        <v>105</v>
      </c>
      <c r="CY75" s="40"/>
      <c r="DF75" s="40"/>
    </row>
    <row r="76" spans="1:110" s="6" customFormat="1" ht="17.25" customHeight="1">
      <c r="A76" s="40"/>
      <c r="B76" s="333">
        <v>64</v>
      </c>
      <c r="C76" s="371" t="s">
        <v>191</v>
      </c>
      <c r="D76" s="371" t="s">
        <v>81</v>
      </c>
      <c r="E76" s="333" t="s">
        <v>18</v>
      </c>
      <c r="F76" s="93"/>
      <c r="G76" s="362">
        <v>16385.758999999998</v>
      </c>
      <c r="H76" s="362">
        <v>16652.909</v>
      </c>
      <c r="I76" s="65">
        <f t="shared" si="300"/>
        <v>267.15000000000146</v>
      </c>
      <c r="J76" s="65">
        <f>J75+I76</f>
        <v>638.70300000000134</v>
      </c>
      <c r="K76" s="181" t="s">
        <v>192</v>
      </c>
      <c r="L76" s="426"/>
      <c r="M76" s="417"/>
      <c r="N76" s="387"/>
      <c r="O76" s="390"/>
      <c r="P76" s="19">
        <v>3</v>
      </c>
      <c r="Q76" s="372">
        <v>403.39650000000222</v>
      </c>
      <c r="R76" s="8">
        <v>53.9</v>
      </c>
      <c r="S76" s="9">
        <v>2</v>
      </c>
      <c r="T76" s="10">
        <f t="shared" si="115"/>
        <v>4</v>
      </c>
      <c r="U76" s="376">
        <v>1474.6680000000081</v>
      </c>
      <c r="V76" s="11">
        <v>190</v>
      </c>
      <c r="W76" s="9">
        <v>2</v>
      </c>
      <c r="X76" s="10">
        <f t="shared" si="116"/>
        <v>4</v>
      </c>
      <c r="Y76" s="376">
        <v>357.98100000000198</v>
      </c>
      <c r="Z76" s="11">
        <v>42</v>
      </c>
      <c r="AA76" s="9">
        <v>2</v>
      </c>
      <c r="AB76" s="12">
        <f t="shared" si="301"/>
        <v>5.5</v>
      </c>
      <c r="AC76" s="376">
        <v>213.72000000000116</v>
      </c>
      <c r="AD76" s="11">
        <v>40</v>
      </c>
      <c r="AE76" s="9">
        <v>2</v>
      </c>
      <c r="AF76" s="10">
        <f t="shared" si="302"/>
        <v>3</v>
      </c>
      <c r="AG76" s="376">
        <v>96.174000000000532</v>
      </c>
      <c r="AH76" s="11">
        <v>130</v>
      </c>
      <c r="AI76" s="9">
        <v>1</v>
      </c>
      <c r="AJ76" s="12">
        <f t="shared" si="303"/>
        <v>2</v>
      </c>
      <c r="AK76" s="19">
        <f t="shared" si="304"/>
        <v>2</v>
      </c>
      <c r="AL76" s="376">
        <v>304.55100000000169</v>
      </c>
      <c r="AM76" s="11">
        <v>225</v>
      </c>
      <c r="AN76" s="9">
        <v>1</v>
      </c>
      <c r="AO76" s="10">
        <f t="shared" si="305"/>
        <v>1.5</v>
      </c>
      <c r="AP76" s="18">
        <f t="shared" si="306"/>
        <v>25</v>
      </c>
      <c r="AQ76" s="376">
        <v>106.86000000000058</v>
      </c>
      <c r="AR76" s="13">
        <v>40</v>
      </c>
      <c r="AS76" s="9">
        <v>1</v>
      </c>
      <c r="AT76" s="10">
        <f t="shared" si="118"/>
        <v>3</v>
      </c>
      <c r="AU76" s="376">
        <v>117.54600000000066</v>
      </c>
      <c r="AV76" s="11">
        <v>130</v>
      </c>
      <c r="AW76" s="9">
        <v>1</v>
      </c>
      <c r="AX76" s="12">
        <f t="shared" si="119"/>
        <v>2</v>
      </c>
      <c r="AY76" s="19">
        <f t="shared" si="307"/>
        <v>5</v>
      </c>
      <c r="AZ76" s="376">
        <v>1068.6000000000058</v>
      </c>
      <c r="BA76" s="25">
        <f t="shared" si="6"/>
        <v>220</v>
      </c>
      <c r="BB76" s="9">
        <v>1</v>
      </c>
      <c r="BC76" s="10">
        <f t="shared" si="121"/>
        <v>5</v>
      </c>
      <c r="BD76" s="376">
        <v>402.86220000000219</v>
      </c>
      <c r="BE76" s="13">
        <v>35</v>
      </c>
      <c r="BF76" s="9">
        <v>2</v>
      </c>
      <c r="BG76" s="12">
        <f t="shared" si="308"/>
        <v>2</v>
      </c>
      <c r="BH76" s="376">
        <v>68.390400000000369</v>
      </c>
      <c r="BI76" s="14">
        <v>3.4</v>
      </c>
      <c r="BJ76" s="9">
        <v>2</v>
      </c>
      <c r="BK76" s="10">
        <f t="shared" si="122"/>
        <v>10.5</v>
      </c>
      <c r="BL76" s="376">
        <v>366.52980000000201</v>
      </c>
      <c r="BM76" s="11">
        <v>125</v>
      </c>
      <c r="BN76" s="9">
        <v>1</v>
      </c>
      <c r="BO76" s="12">
        <f t="shared" si="309"/>
        <v>4</v>
      </c>
      <c r="BP76" s="19">
        <f t="shared" si="123"/>
        <v>7</v>
      </c>
      <c r="BQ76" s="21">
        <f t="shared" si="310"/>
        <v>39</v>
      </c>
      <c r="BR76" s="376">
        <v>131.97210000000072</v>
      </c>
      <c r="BS76" s="11">
        <v>165</v>
      </c>
      <c r="BT76" s="9">
        <v>1</v>
      </c>
      <c r="BU76" s="10">
        <f t="shared" si="311"/>
        <v>1</v>
      </c>
      <c r="BV76" s="376">
        <v>178.99050000000099</v>
      </c>
      <c r="BW76" s="11">
        <v>150</v>
      </c>
      <c r="BX76" s="9">
        <v>2</v>
      </c>
      <c r="BY76" s="10">
        <f t="shared" si="312"/>
        <v>1</v>
      </c>
      <c r="BZ76" s="376">
        <v>1089.9720000000059</v>
      </c>
      <c r="CA76" s="13">
        <v>320</v>
      </c>
      <c r="CB76" s="9">
        <v>2</v>
      </c>
      <c r="CC76" s="10">
        <f t="shared" si="313"/>
        <v>2</v>
      </c>
      <c r="CD76" s="376">
        <v>3269.9160000000174</v>
      </c>
      <c r="CE76" s="13">
        <v>8000</v>
      </c>
      <c r="CF76" s="9">
        <v>1</v>
      </c>
      <c r="CG76" s="10">
        <f t="shared" si="314"/>
        <v>0.5</v>
      </c>
      <c r="CH76" s="376">
        <v>2179.9440000000118</v>
      </c>
      <c r="CI76" s="13">
        <v>300</v>
      </c>
      <c r="CJ76" s="9">
        <v>2</v>
      </c>
      <c r="CK76" s="10">
        <f t="shared" si="315"/>
        <v>4</v>
      </c>
      <c r="CL76" s="38">
        <f t="shared" si="124"/>
        <v>267.15000000000146</v>
      </c>
      <c r="CM76" s="15">
        <v>50</v>
      </c>
      <c r="CN76" s="9">
        <v>1</v>
      </c>
      <c r="CO76" s="10">
        <f t="shared" si="316"/>
        <v>5.5</v>
      </c>
      <c r="CP76" s="20">
        <f t="shared" si="317"/>
        <v>14</v>
      </c>
      <c r="CQ76" s="5">
        <f t="shared" si="125"/>
        <v>25</v>
      </c>
      <c r="CR76" s="5">
        <f t="shared" si="126"/>
        <v>39</v>
      </c>
      <c r="CS76" s="5">
        <f t="shared" si="318"/>
        <v>14</v>
      </c>
      <c r="CT76" s="5">
        <f t="shared" si="319"/>
        <v>78</v>
      </c>
      <c r="CY76" s="40"/>
      <c r="DF76" s="40"/>
    </row>
    <row r="77" spans="1:110" s="6" customFormat="1" ht="17.25" customHeight="1" thickBot="1">
      <c r="A77" s="40"/>
      <c r="B77" s="59">
        <v>65</v>
      </c>
      <c r="C77" s="59" t="s">
        <v>193</v>
      </c>
      <c r="D77" s="59" t="s">
        <v>194</v>
      </c>
      <c r="E77" s="59" t="s">
        <v>18</v>
      </c>
      <c r="F77" s="92"/>
      <c r="G77" s="363">
        <v>16716.703000000001</v>
      </c>
      <c r="H77" s="363">
        <v>16970.12</v>
      </c>
      <c r="I77" s="78">
        <f t="shared" si="300"/>
        <v>253.41699999999764</v>
      </c>
      <c r="J77" s="78">
        <f>J76+I77</f>
        <v>892.11999999999898</v>
      </c>
      <c r="K77" s="162" t="s">
        <v>195</v>
      </c>
      <c r="L77" s="428"/>
      <c r="M77" s="422"/>
      <c r="N77" s="388"/>
      <c r="O77" s="391"/>
      <c r="P77" s="55">
        <v>3</v>
      </c>
      <c r="Q77" s="373">
        <v>590.46160999999449</v>
      </c>
      <c r="R77" s="54">
        <v>53.9</v>
      </c>
      <c r="S77" s="80">
        <v>2</v>
      </c>
      <c r="T77" s="81">
        <f t="shared" si="115"/>
        <v>5.5</v>
      </c>
      <c r="U77" s="373">
        <v>1989.8375399999818</v>
      </c>
      <c r="V77" s="57">
        <v>190</v>
      </c>
      <c r="W77" s="80">
        <v>2</v>
      </c>
      <c r="X77" s="81">
        <f t="shared" si="116"/>
        <v>5.5</v>
      </c>
      <c r="Y77" s="373">
        <v>339.57877999999687</v>
      </c>
      <c r="Z77" s="57">
        <v>42</v>
      </c>
      <c r="AA77" s="80">
        <v>2</v>
      </c>
      <c r="AB77" s="56">
        <f t="shared" si="301"/>
        <v>5.5</v>
      </c>
      <c r="AC77" s="373">
        <v>202.73359999999815</v>
      </c>
      <c r="AD77" s="57">
        <v>40</v>
      </c>
      <c r="AE77" s="80">
        <v>2</v>
      </c>
      <c r="AF77" s="81">
        <f t="shared" si="302"/>
        <v>3</v>
      </c>
      <c r="AG77" s="373">
        <v>91.230119999999161</v>
      </c>
      <c r="AH77" s="57">
        <v>130</v>
      </c>
      <c r="AI77" s="80">
        <v>1</v>
      </c>
      <c r="AJ77" s="56">
        <f t="shared" si="303"/>
        <v>2</v>
      </c>
      <c r="AK77" s="55">
        <f t="shared" si="304"/>
        <v>2</v>
      </c>
      <c r="AL77" s="373">
        <v>467.6339999999953</v>
      </c>
      <c r="AM77" s="57">
        <v>225</v>
      </c>
      <c r="AN77" s="80">
        <v>1</v>
      </c>
      <c r="AO77" s="81">
        <f t="shared" si="305"/>
        <v>2.5</v>
      </c>
      <c r="AP77" s="53">
        <f t="shared" si="306"/>
        <v>29</v>
      </c>
      <c r="AQ77" s="373">
        <v>101.36679999999907</v>
      </c>
      <c r="AR77" s="52">
        <v>40</v>
      </c>
      <c r="AS77" s="80">
        <v>1</v>
      </c>
      <c r="AT77" s="81">
        <f t="shared" si="118"/>
        <v>3</v>
      </c>
      <c r="AU77" s="373">
        <v>111.50347999999897</v>
      </c>
      <c r="AV77" s="57">
        <v>130</v>
      </c>
      <c r="AW77" s="80">
        <v>1</v>
      </c>
      <c r="AX77" s="56">
        <f t="shared" si="119"/>
        <v>2</v>
      </c>
      <c r="AY77" s="55">
        <f t="shared" si="307"/>
        <v>5</v>
      </c>
      <c r="AZ77" s="373">
        <v>1013.6679999999906</v>
      </c>
      <c r="BA77" s="51">
        <f t="shared" si="6"/>
        <v>220</v>
      </c>
      <c r="BB77" s="80">
        <v>1</v>
      </c>
      <c r="BC77" s="81">
        <f t="shared" si="121"/>
        <v>5</v>
      </c>
      <c r="BD77" s="373">
        <v>382.15283599999646</v>
      </c>
      <c r="BE77" s="52">
        <v>35</v>
      </c>
      <c r="BF77" s="80">
        <v>2</v>
      </c>
      <c r="BG77" s="56">
        <f t="shared" si="308"/>
        <v>2</v>
      </c>
      <c r="BH77" s="373">
        <v>64.874751999999404</v>
      </c>
      <c r="BI77" s="50">
        <v>3.4</v>
      </c>
      <c r="BJ77" s="80">
        <v>2</v>
      </c>
      <c r="BK77" s="81">
        <f t="shared" si="122"/>
        <v>10</v>
      </c>
      <c r="BL77" s="373">
        <v>347.68812399999683</v>
      </c>
      <c r="BM77" s="57">
        <v>125</v>
      </c>
      <c r="BN77" s="80">
        <v>1</v>
      </c>
      <c r="BO77" s="56">
        <f t="shared" si="309"/>
        <v>4</v>
      </c>
      <c r="BP77" s="55">
        <f t="shared" si="123"/>
        <v>7</v>
      </c>
      <c r="BQ77" s="79">
        <f t="shared" si="310"/>
        <v>38</v>
      </c>
      <c r="BR77" s="373">
        <v>237.49674899999764</v>
      </c>
      <c r="BS77" s="57">
        <v>165</v>
      </c>
      <c r="BT77" s="80">
        <v>1</v>
      </c>
      <c r="BU77" s="81">
        <f t="shared" si="311"/>
        <v>1.5</v>
      </c>
      <c r="BV77" s="373">
        <v>321.71721699999671</v>
      </c>
      <c r="BW77" s="57">
        <v>150</v>
      </c>
      <c r="BX77" s="80">
        <v>2</v>
      </c>
      <c r="BY77" s="81">
        <f t="shared" si="312"/>
        <v>1.5</v>
      </c>
      <c r="BZ77" s="373">
        <v>1927.6344599999804</v>
      </c>
      <c r="CA77" s="52">
        <v>320</v>
      </c>
      <c r="CB77" s="80">
        <v>2</v>
      </c>
      <c r="CC77" s="81">
        <f t="shared" si="313"/>
        <v>3.5</v>
      </c>
      <c r="CD77" s="373">
        <v>5782.9033799999415</v>
      </c>
      <c r="CE77" s="52">
        <v>8000</v>
      </c>
      <c r="CF77" s="80">
        <v>1</v>
      </c>
      <c r="CG77" s="81">
        <f t="shared" si="314"/>
        <v>1</v>
      </c>
      <c r="CH77" s="373">
        <v>3855.2689199999609</v>
      </c>
      <c r="CI77" s="52">
        <v>300</v>
      </c>
      <c r="CJ77" s="80">
        <v>2</v>
      </c>
      <c r="CK77" s="81">
        <f t="shared" si="315"/>
        <v>6.5</v>
      </c>
      <c r="CL77" s="49">
        <f t="shared" si="124"/>
        <v>253.41699999999764</v>
      </c>
      <c r="CM77" s="58">
        <v>50</v>
      </c>
      <c r="CN77" s="80">
        <v>1</v>
      </c>
      <c r="CO77" s="81">
        <f t="shared" si="316"/>
        <v>5.5</v>
      </c>
      <c r="CP77" s="47">
        <f t="shared" si="317"/>
        <v>20</v>
      </c>
      <c r="CQ77" s="46">
        <f t="shared" si="125"/>
        <v>29</v>
      </c>
      <c r="CR77" s="46">
        <f t="shared" si="126"/>
        <v>38</v>
      </c>
      <c r="CS77" s="46">
        <f t="shared" si="318"/>
        <v>20</v>
      </c>
      <c r="CT77" s="46">
        <f t="shared" si="319"/>
        <v>87</v>
      </c>
      <c r="CY77" s="40"/>
      <c r="DF77" s="40"/>
    </row>
    <row r="78" spans="1:110" s="6" customFormat="1" ht="17.25" customHeight="1">
      <c r="A78" s="40"/>
      <c r="B78" s="339">
        <v>66</v>
      </c>
      <c r="C78" s="339" t="s">
        <v>196</v>
      </c>
      <c r="D78" s="339" t="s">
        <v>194</v>
      </c>
      <c r="E78" s="339" t="s">
        <v>18</v>
      </c>
      <c r="F78" s="340"/>
      <c r="G78" s="364">
        <v>17019.753000000001</v>
      </c>
      <c r="H78" s="364">
        <v>17354.048999999999</v>
      </c>
      <c r="I78" s="341">
        <f t="shared" si="300"/>
        <v>334.29599999999846</v>
      </c>
      <c r="J78" s="341">
        <f>I78</f>
        <v>334.29599999999846</v>
      </c>
      <c r="K78" s="342" t="s">
        <v>197</v>
      </c>
      <c r="L78" s="384" t="s">
        <v>205</v>
      </c>
      <c r="M78" s="423">
        <f>SUM(I78:I81)</f>
        <v>585.40899999999965</v>
      </c>
      <c r="N78" s="386">
        <f>SUM(CQ78:CQ81,CR78:CS78)/18.4</f>
        <v>7.1739130434782616</v>
      </c>
      <c r="O78" s="389">
        <v>44</v>
      </c>
      <c r="P78" s="343">
        <v>3</v>
      </c>
      <c r="Q78" s="374">
        <v>572.58143999999743</v>
      </c>
      <c r="R78" s="344">
        <v>53.9</v>
      </c>
      <c r="S78" s="345">
        <v>2</v>
      </c>
      <c r="T78" s="346">
        <f t="shared" si="115"/>
        <v>5.5</v>
      </c>
      <c r="U78" s="374">
        <v>2073.5080699999908</v>
      </c>
      <c r="V78" s="347">
        <v>190</v>
      </c>
      <c r="W78" s="345">
        <v>2</v>
      </c>
      <c r="X78" s="346">
        <f t="shared" si="116"/>
        <v>5.5</v>
      </c>
      <c r="Y78" s="374">
        <v>447.956639999998</v>
      </c>
      <c r="Z78" s="347">
        <v>42</v>
      </c>
      <c r="AA78" s="345">
        <v>2</v>
      </c>
      <c r="AB78" s="348">
        <f t="shared" si="301"/>
        <v>6.5</v>
      </c>
      <c r="AC78" s="374">
        <v>267.43679999999881</v>
      </c>
      <c r="AD78" s="347">
        <v>40</v>
      </c>
      <c r="AE78" s="345">
        <v>2</v>
      </c>
      <c r="AF78" s="346">
        <f t="shared" si="302"/>
        <v>3.5</v>
      </c>
      <c r="AG78" s="374">
        <v>120.34655999999946</v>
      </c>
      <c r="AH78" s="347">
        <v>130</v>
      </c>
      <c r="AI78" s="345">
        <v>1</v>
      </c>
      <c r="AJ78" s="348">
        <f t="shared" si="303"/>
        <v>2</v>
      </c>
      <c r="AK78" s="343">
        <f t="shared" si="304"/>
        <v>2</v>
      </c>
      <c r="AL78" s="374">
        <v>417.45827999999801</v>
      </c>
      <c r="AM78" s="347">
        <v>225</v>
      </c>
      <c r="AN78" s="345">
        <v>1</v>
      </c>
      <c r="AO78" s="346">
        <f t="shared" si="305"/>
        <v>2</v>
      </c>
      <c r="AP78" s="349">
        <f t="shared" si="306"/>
        <v>30</v>
      </c>
      <c r="AQ78" s="374">
        <v>133.71839999999941</v>
      </c>
      <c r="AR78" s="351">
        <v>40</v>
      </c>
      <c r="AS78" s="345">
        <v>1</v>
      </c>
      <c r="AT78" s="346">
        <f t="shared" si="118"/>
        <v>3.5</v>
      </c>
      <c r="AU78" s="374">
        <v>147.09023999999934</v>
      </c>
      <c r="AV78" s="347">
        <v>130</v>
      </c>
      <c r="AW78" s="345">
        <v>1</v>
      </c>
      <c r="AX78" s="348">
        <f t="shared" si="119"/>
        <v>3</v>
      </c>
      <c r="AY78" s="343">
        <f t="shared" si="307"/>
        <v>5</v>
      </c>
      <c r="AZ78" s="374">
        <v>1337.1839999999938</v>
      </c>
      <c r="BA78" s="352">
        <f t="shared" si="6"/>
        <v>220</v>
      </c>
      <c r="BB78" s="345">
        <v>1</v>
      </c>
      <c r="BC78" s="346">
        <f t="shared" si="121"/>
        <v>6.5</v>
      </c>
      <c r="BD78" s="374">
        <v>504.11836799999764</v>
      </c>
      <c r="BE78" s="351">
        <v>35</v>
      </c>
      <c r="BF78" s="345">
        <v>2</v>
      </c>
      <c r="BG78" s="348">
        <f t="shared" si="308"/>
        <v>2</v>
      </c>
      <c r="BH78" s="374">
        <v>85.579775999999612</v>
      </c>
      <c r="BI78" s="353">
        <v>3.4</v>
      </c>
      <c r="BJ78" s="345">
        <v>2</v>
      </c>
      <c r="BK78" s="346">
        <f t="shared" si="122"/>
        <v>13</v>
      </c>
      <c r="BL78" s="374">
        <v>458.65411199999789</v>
      </c>
      <c r="BM78" s="347">
        <v>125</v>
      </c>
      <c r="BN78" s="345">
        <v>1</v>
      </c>
      <c r="BO78" s="348">
        <f t="shared" si="309"/>
        <v>5</v>
      </c>
      <c r="BP78" s="343">
        <f t="shared" si="123"/>
        <v>7</v>
      </c>
      <c r="BQ78" s="338">
        <f t="shared" si="310"/>
        <v>45</v>
      </c>
      <c r="BR78" s="374">
        <v>194.20297899999909</v>
      </c>
      <c r="BS78" s="347">
        <v>165</v>
      </c>
      <c r="BT78" s="345">
        <v>1</v>
      </c>
      <c r="BU78" s="346">
        <f t="shared" si="311"/>
        <v>1.5</v>
      </c>
      <c r="BV78" s="374">
        <v>254.88503399999877</v>
      </c>
      <c r="BW78" s="347">
        <v>150</v>
      </c>
      <c r="BX78" s="345">
        <v>2</v>
      </c>
      <c r="BY78" s="346">
        <f t="shared" si="312"/>
        <v>1</v>
      </c>
      <c r="BZ78" s="374">
        <v>1545.7318799999923</v>
      </c>
      <c r="CA78" s="351">
        <v>320</v>
      </c>
      <c r="CB78" s="345">
        <v>2</v>
      </c>
      <c r="CC78" s="346">
        <f t="shared" si="313"/>
        <v>2.5</v>
      </c>
      <c r="CD78" s="374">
        <v>4637.1956399999772</v>
      </c>
      <c r="CE78" s="351">
        <v>8000</v>
      </c>
      <c r="CF78" s="345">
        <v>1</v>
      </c>
      <c r="CG78" s="346">
        <f t="shared" si="314"/>
        <v>1</v>
      </c>
      <c r="CH78" s="374">
        <v>3091.4637599999846</v>
      </c>
      <c r="CI78" s="351">
        <v>300</v>
      </c>
      <c r="CJ78" s="345">
        <v>2</v>
      </c>
      <c r="CK78" s="346">
        <f t="shared" si="315"/>
        <v>5.5</v>
      </c>
      <c r="CL78" s="337">
        <f t="shared" si="124"/>
        <v>334.29599999999846</v>
      </c>
      <c r="CM78" s="336">
        <v>50</v>
      </c>
      <c r="CN78" s="345">
        <v>1</v>
      </c>
      <c r="CO78" s="346">
        <f t="shared" si="316"/>
        <v>7</v>
      </c>
      <c r="CP78" s="335">
        <f t="shared" si="317"/>
        <v>19</v>
      </c>
      <c r="CQ78" s="334">
        <f t="shared" si="125"/>
        <v>30</v>
      </c>
      <c r="CR78" s="334">
        <f t="shared" si="126"/>
        <v>45</v>
      </c>
      <c r="CS78" s="334">
        <f t="shared" si="318"/>
        <v>19</v>
      </c>
      <c r="CT78" s="334">
        <f t="shared" si="319"/>
        <v>94</v>
      </c>
      <c r="CY78" s="40"/>
      <c r="DF78" s="40"/>
    </row>
    <row r="79" spans="1:110" s="6" customFormat="1" ht="17.25" customHeight="1">
      <c r="A79" s="40"/>
      <c r="B79" s="333">
        <v>67</v>
      </c>
      <c r="C79" s="333" t="s">
        <v>198</v>
      </c>
      <c r="D79" s="333"/>
      <c r="E79" s="333" t="s">
        <v>18</v>
      </c>
      <c r="F79" s="93">
        <v>255</v>
      </c>
      <c r="G79" s="362">
        <v>17390.616999999998</v>
      </c>
      <c r="H79" s="362">
        <v>17524.574000000001</v>
      </c>
      <c r="I79" s="65">
        <f t="shared" si="300"/>
        <v>133.95700000000215</v>
      </c>
      <c r="J79" s="65">
        <f>J78+I79</f>
        <v>468.25300000000061</v>
      </c>
      <c r="K79" s="181" t="s">
        <v>192</v>
      </c>
      <c r="L79" s="384"/>
      <c r="M79" s="423"/>
      <c r="N79" s="387"/>
      <c r="O79" s="390"/>
      <c r="P79" s="19">
        <v>3</v>
      </c>
      <c r="Q79" s="372">
        <v>222.48705000000498</v>
      </c>
      <c r="R79" s="8">
        <v>53.9</v>
      </c>
      <c r="S79" s="9">
        <v>2</v>
      </c>
      <c r="T79" s="10">
        <f t="shared" si="115"/>
        <v>2.5</v>
      </c>
      <c r="U79" s="372">
        <v>790.52229000001614</v>
      </c>
      <c r="V79" s="11">
        <v>190</v>
      </c>
      <c r="W79" s="9">
        <v>2</v>
      </c>
      <c r="X79" s="10">
        <f t="shared" si="116"/>
        <v>2.5</v>
      </c>
      <c r="Y79" s="372">
        <v>179.50238000000289</v>
      </c>
      <c r="Z79" s="11">
        <v>42</v>
      </c>
      <c r="AA79" s="9">
        <v>2</v>
      </c>
      <c r="AB79" s="12">
        <f t="shared" si="301"/>
        <v>3.5</v>
      </c>
      <c r="AC79" s="372">
        <v>107.16560000000172</v>
      </c>
      <c r="AD79" s="11">
        <v>40</v>
      </c>
      <c r="AE79" s="9">
        <v>2</v>
      </c>
      <c r="AF79" s="10">
        <f t="shared" si="302"/>
        <v>1.5</v>
      </c>
      <c r="AG79" s="372">
        <v>48.22452000000078</v>
      </c>
      <c r="AH79" s="11">
        <v>130</v>
      </c>
      <c r="AI79" s="9">
        <v>1</v>
      </c>
      <c r="AJ79" s="12">
        <f t="shared" si="303"/>
        <v>2</v>
      </c>
      <c r="AK79" s="19">
        <f t="shared" si="304"/>
        <v>2</v>
      </c>
      <c r="AL79" s="372">
        <v>173.36272000000432</v>
      </c>
      <c r="AM79" s="11">
        <v>225</v>
      </c>
      <c r="AN79" s="9">
        <v>1</v>
      </c>
      <c r="AO79" s="10">
        <f t="shared" si="305"/>
        <v>1</v>
      </c>
      <c r="AP79" s="18">
        <f t="shared" si="306"/>
        <v>18</v>
      </c>
      <c r="AQ79" s="372">
        <v>53.582800000000859</v>
      </c>
      <c r="AR79" s="13">
        <v>40</v>
      </c>
      <c r="AS79" s="9">
        <v>1</v>
      </c>
      <c r="AT79" s="10">
        <f t="shared" si="118"/>
        <v>1.5</v>
      </c>
      <c r="AU79" s="372">
        <v>58.941080000000952</v>
      </c>
      <c r="AV79" s="11">
        <v>130</v>
      </c>
      <c r="AW79" s="9">
        <v>1</v>
      </c>
      <c r="AX79" s="12">
        <f t="shared" si="119"/>
        <v>2</v>
      </c>
      <c r="AY79" s="19">
        <f t="shared" si="307"/>
        <v>5</v>
      </c>
      <c r="AZ79" s="372">
        <v>535.82800000000861</v>
      </c>
      <c r="BA79" s="25">
        <f t="shared" si="6"/>
        <v>220</v>
      </c>
      <c r="BB79" s="9">
        <v>1</v>
      </c>
      <c r="BC79" s="10">
        <f t="shared" si="121"/>
        <v>2.5</v>
      </c>
      <c r="BD79" s="372">
        <v>202.00715600000325</v>
      </c>
      <c r="BE79" s="13">
        <v>35</v>
      </c>
      <c r="BF79" s="9">
        <v>2</v>
      </c>
      <c r="BG79" s="12">
        <f t="shared" si="308"/>
        <v>2</v>
      </c>
      <c r="BH79" s="372">
        <v>34.292992000000552</v>
      </c>
      <c r="BI79" s="14">
        <v>3.4</v>
      </c>
      <c r="BJ79" s="9">
        <v>2</v>
      </c>
      <c r="BK79" s="10">
        <f t="shared" si="122"/>
        <v>5.5</v>
      </c>
      <c r="BL79" s="372">
        <v>183.78900400000296</v>
      </c>
      <c r="BM79" s="11">
        <v>125</v>
      </c>
      <c r="BN79" s="9">
        <v>1</v>
      </c>
      <c r="BO79" s="12">
        <f t="shared" si="309"/>
        <v>3</v>
      </c>
      <c r="BP79" s="19">
        <f t="shared" si="123"/>
        <v>7</v>
      </c>
      <c r="BQ79" s="21">
        <f t="shared" si="310"/>
        <v>29</v>
      </c>
      <c r="BR79" s="372">
        <v>78.321905000002133</v>
      </c>
      <c r="BS79" s="11">
        <v>165</v>
      </c>
      <c r="BT79" s="9">
        <v>1</v>
      </c>
      <c r="BU79" s="10">
        <f t="shared" si="311"/>
        <v>0.5</v>
      </c>
      <c r="BV79" s="372">
        <v>107.30516900000298</v>
      </c>
      <c r="BW79" s="11">
        <v>150</v>
      </c>
      <c r="BX79" s="9">
        <v>2</v>
      </c>
      <c r="BY79" s="10">
        <f t="shared" si="312"/>
        <v>0.5</v>
      </c>
      <c r="BZ79" s="372">
        <v>649.80326000001787</v>
      </c>
      <c r="CA79" s="13">
        <v>320</v>
      </c>
      <c r="CB79" s="9">
        <v>2</v>
      </c>
      <c r="CC79" s="10">
        <f t="shared" si="313"/>
        <v>1.5</v>
      </c>
      <c r="CD79" s="372">
        <v>1949.4097800000536</v>
      </c>
      <c r="CE79" s="13">
        <v>8000</v>
      </c>
      <c r="CF79" s="9">
        <v>1</v>
      </c>
      <c r="CG79" s="10">
        <f t="shared" si="314"/>
        <v>0.5</v>
      </c>
      <c r="CH79" s="372">
        <v>1299.6065200000357</v>
      </c>
      <c r="CI79" s="13">
        <v>300</v>
      </c>
      <c r="CJ79" s="9">
        <v>2</v>
      </c>
      <c r="CK79" s="10">
        <f t="shared" si="315"/>
        <v>2.5</v>
      </c>
      <c r="CL79" s="38">
        <f t="shared" si="124"/>
        <v>133.95700000000215</v>
      </c>
      <c r="CM79" s="15">
        <v>50</v>
      </c>
      <c r="CN79" s="9">
        <v>1</v>
      </c>
      <c r="CO79" s="10">
        <f t="shared" si="316"/>
        <v>3</v>
      </c>
      <c r="CP79" s="20">
        <f t="shared" si="317"/>
        <v>9</v>
      </c>
      <c r="CQ79" s="5">
        <f t="shared" si="125"/>
        <v>18</v>
      </c>
      <c r="CR79" s="5">
        <f t="shared" si="126"/>
        <v>29</v>
      </c>
      <c r="CS79" s="5">
        <f t="shared" si="318"/>
        <v>9</v>
      </c>
      <c r="CT79" s="5">
        <f t="shared" si="319"/>
        <v>56</v>
      </c>
      <c r="CY79" s="40"/>
      <c r="DF79" s="40"/>
    </row>
    <row r="80" spans="1:110" s="6" customFormat="1" ht="17.25" customHeight="1">
      <c r="A80" s="40"/>
      <c r="B80" s="223">
        <v>68</v>
      </c>
      <c r="C80" s="357" t="s">
        <v>199</v>
      </c>
      <c r="D80" s="357" t="s">
        <v>81</v>
      </c>
      <c r="E80" s="223" t="s">
        <v>18</v>
      </c>
      <c r="F80" s="224"/>
      <c r="G80" s="366">
        <v>17524.574000000001</v>
      </c>
      <c r="H80" s="366">
        <v>17572.289000000001</v>
      </c>
      <c r="I80" s="227">
        <f t="shared" ref="I80" si="320">H80-G80</f>
        <v>47.715000000000146</v>
      </c>
      <c r="J80" s="227">
        <f t="shared" ref="J80:J81" si="321">J79+I80</f>
        <v>515.96800000000076</v>
      </c>
      <c r="K80" s="228" t="s">
        <v>200</v>
      </c>
      <c r="L80" s="384"/>
      <c r="M80" s="423"/>
      <c r="N80" s="387"/>
      <c r="O80" s="390"/>
      <c r="P80" s="19">
        <v>3</v>
      </c>
      <c r="Q80" s="372">
        <v>27.678000000000612</v>
      </c>
      <c r="R80" s="8">
        <v>53.9</v>
      </c>
      <c r="S80" s="9">
        <v>2</v>
      </c>
      <c r="T80" s="10">
        <f t="shared" si="115"/>
        <v>0.5</v>
      </c>
      <c r="U80" s="122"/>
      <c r="V80" s="11">
        <v>190</v>
      </c>
      <c r="W80" s="9">
        <v>2</v>
      </c>
      <c r="X80" s="10">
        <f t="shared" si="116"/>
        <v>0</v>
      </c>
      <c r="Y80" s="394" t="s">
        <v>49</v>
      </c>
      <c r="Z80" s="394"/>
      <c r="AA80" s="394"/>
      <c r="AB80" s="394"/>
      <c r="AC80" s="94">
        <f>I80*2</f>
        <v>95.430000000000291</v>
      </c>
      <c r="AD80" s="25">
        <v>20</v>
      </c>
      <c r="AE80" s="9">
        <v>2</v>
      </c>
      <c r="AF80" s="10">
        <f t="shared" ref="AF80" si="322">CEILING(AC80/AD80/AE80,0.5)</f>
        <v>2.5</v>
      </c>
      <c r="AG80" s="122"/>
      <c r="AH80" s="11"/>
      <c r="AI80" s="9"/>
      <c r="AJ80" s="12"/>
      <c r="AK80" s="19"/>
      <c r="AL80" s="122"/>
      <c r="AM80" s="11">
        <v>225</v>
      </c>
      <c r="AN80" s="9">
        <v>1</v>
      </c>
      <c r="AO80" s="10">
        <f t="shared" ref="AO80" si="323">ROUND(AL80/AM80/AN80,0)</f>
        <v>0</v>
      </c>
      <c r="AP80" s="18">
        <f>ROUNDUP(SUM(T80,X80,AF80,AJ80,AK80,AO80,P80),0)</f>
        <v>6</v>
      </c>
      <c r="AQ80" s="122"/>
      <c r="AR80" s="13">
        <v>40</v>
      </c>
      <c r="AS80" s="9">
        <v>1</v>
      </c>
      <c r="AT80" s="10">
        <f t="shared" si="118"/>
        <v>0</v>
      </c>
      <c r="AU80" s="122"/>
      <c r="AV80" s="11">
        <v>130</v>
      </c>
      <c r="AW80" s="9">
        <v>1</v>
      </c>
      <c r="AX80" s="12" t="str">
        <f t="shared" si="119"/>
        <v/>
      </c>
      <c r="AY80" s="19"/>
      <c r="AZ80" s="376">
        <v>184.52000000000407</v>
      </c>
      <c r="BA80" s="25">
        <f t="shared" si="6"/>
        <v>220</v>
      </c>
      <c r="BB80" s="9">
        <v>1</v>
      </c>
      <c r="BC80" s="10">
        <f t="shared" si="121"/>
        <v>1</v>
      </c>
      <c r="BD80" s="376">
        <v>69.56404000000154</v>
      </c>
      <c r="BE80" s="13">
        <v>35</v>
      </c>
      <c r="BF80" s="9">
        <v>2</v>
      </c>
      <c r="BG80" s="12">
        <f t="shared" ref="BG80" si="324">IF(BD80="","",2)</f>
        <v>2</v>
      </c>
      <c r="BH80" s="376">
        <v>11.80928000000026</v>
      </c>
      <c r="BI80" s="14">
        <v>3.4</v>
      </c>
      <c r="BJ80" s="9">
        <v>2</v>
      </c>
      <c r="BK80" s="10">
        <f t="shared" si="122"/>
        <v>2</v>
      </c>
      <c r="BL80" s="376">
        <v>63.290360000001399</v>
      </c>
      <c r="BM80" s="11">
        <v>125</v>
      </c>
      <c r="BN80" s="9">
        <v>1</v>
      </c>
      <c r="BO80" s="12">
        <f t="shared" ref="BO80" si="325">IF(BL80="","",ROUNDUP(BL80/BM80/BN80,0)+1)</f>
        <v>2</v>
      </c>
      <c r="BP80" s="19">
        <f t="shared" si="123"/>
        <v>7</v>
      </c>
      <c r="BQ80" s="21">
        <f t="shared" ref="BQ80" si="326">ROUNDUP(SUM(AT80,AX80,AY80,BC80,BG80,BK80,BO80,BP80),0)</f>
        <v>14</v>
      </c>
      <c r="BR80" s="122"/>
      <c r="BS80" s="11">
        <v>165</v>
      </c>
      <c r="BT80" s="9">
        <v>1</v>
      </c>
      <c r="BU80" s="10">
        <f t="shared" ref="BU80" si="327">CEILING(BR80/BS80/BT80,0.5)</f>
        <v>0</v>
      </c>
      <c r="BV80" s="376">
        <v>8.4417900000001858</v>
      </c>
      <c r="BW80" s="11">
        <v>150</v>
      </c>
      <c r="BX80" s="9">
        <v>2</v>
      </c>
      <c r="BY80" s="10">
        <f t="shared" ref="BY80" si="328">CEILING(BV80/BW80/BX80,0.5)</f>
        <v>0.5</v>
      </c>
      <c r="BZ80" s="376">
        <v>71.962800000001593</v>
      </c>
      <c r="CA80" s="13">
        <v>320</v>
      </c>
      <c r="CB80" s="9">
        <v>2</v>
      </c>
      <c r="CC80" s="10">
        <f t="shared" ref="CC80" si="329">CEILING(BZ80/CA80/CB80,0.5)</f>
        <v>0.5</v>
      </c>
      <c r="CD80" s="376">
        <v>215.88840000000476</v>
      </c>
      <c r="CE80" s="13">
        <v>8000</v>
      </c>
      <c r="CF80" s="9">
        <v>1</v>
      </c>
      <c r="CG80" s="10">
        <f t="shared" ref="CG80" si="330">CEILING(CD80/CE80/CF80,0.5)</f>
        <v>0.5</v>
      </c>
      <c r="CH80" s="376">
        <v>143.92560000000319</v>
      </c>
      <c r="CI80" s="13">
        <v>300</v>
      </c>
      <c r="CJ80" s="9">
        <v>2</v>
      </c>
      <c r="CK80" s="10">
        <f t="shared" ref="CK80" si="331">CEILING(CH80/CI80/CJ80,0.5)</f>
        <v>0.5</v>
      </c>
      <c r="CL80" s="38">
        <f t="shared" si="124"/>
        <v>47.715000000000146</v>
      </c>
      <c r="CM80" s="15">
        <v>50</v>
      </c>
      <c r="CN80" s="9">
        <v>1</v>
      </c>
      <c r="CO80" s="10">
        <f t="shared" ref="CO80" si="332">CEILING(CL80/CM80/CN80,0.5)</f>
        <v>1</v>
      </c>
      <c r="CP80" s="20">
        <f t="shared" ref="CP80" si="333">ROUNDUP(SUM(BU80,BY80,CC80,CG80,CK80,CO80),0)</f>
        <v>3</v>
      </c>
      <c r="CQ80" s="5">
        <f t="shared" si="125"/>
        <v>6</v>
      </c>
      <c r="CR80" s="5">
        <f t="shared" si="126"/>
        <v>14</v>
      </c>
      <c r="CS80" s="5">
        <f t="shared" ref="CS80" si="334">CP80</f>
        <v>3</v>
      </c>
      <c r="CT80" s="5">
        <f t="shared" ref="CT80" si="335">SUM(CQ80:CS80)</f>
        <v>23</v>
      </c>
      <c r="CY80" s="40"/>
      <c r="DF80" s="40"/>
    </row>
    <row r="81" spans="1:112" s="6" customFormat="1" ht="17.25" customHeight="1">
      <c r="A81" s="40"/>
      <c r="B81" s="333">
        <v>69</v>
      </c>
      <c r="C81" s="371" t="s">
        <v>201</v>
      </c>
      <c r="D81" s="371" t="s">
        <v>81</v>
      </c>
      <c r="E81" s="333" t="s">
        <v>18</v>
      </c>
      <c r="F81" s="93"/>
      <c r="G81" s="362">
        <v>17634.507000000001</v>
      </c>
      <c r="H81" s="362">
        <v>17703.948</v>
      </c>
      <c r="I81" s="65">
        <f>H81-G81</f>
        <v>69.440999999998894</v>
      </c>
      <c r="J81" s="65">
        <f t="shared" si="321"/>
        <v>585.40899999999965</v>
      </c>
      <c r="K81" s="181" t="s">
        <v>192</v>
      </c>
      <c r="L81" s="385"/>
      <c r="M81" s="424"/>
      <c r="N81" s="392"/>
      <c r="O81" s="393"/>
      <c r="P81" s="19">
        <v>3</v>
      </c>
      <c r="Q81" s="372">
        <v>111.80000999999822</v>
      </c>
      <c r="R81" s="8">
        <v>53.9</v>
      </c>
      <c r="S81" s="9">
        <v>2</v>
      </c>
      <c r="T81" s="10">
        <f t="shared" si="115"/>
        <v>1.5</v>
      </c>
      <c r="U81" s="376">
        <v>400.67456999999359</v>
      </c>
      <c r="V81" s="11">
        <v>190</v>
      </c>
      <c r="W81" s="9">
        <v>2</v>
      </c>
      <c r="X81" s="10">
        <f t="shared" si="116"/>
        <v>1.5</v>
      </c>
      <c r="Y81" s="376">
        <v>93.050939999998519</v>
      </c>
      <c r="Z81" s="11">
        <v>42</v>
      </c>
      <c r="AA81" s="9">
        <v>2</v>
      </c>
      <c r="AB81" s="12">
        <f>IF(Y81="","",CEILING(Y81/Z81/AA81,0.5)+1)</f>
        <v>2.5</v>
      </c>
      <c r="AC81" s="376">
        <v>55.552799999999117</v>
      </c>
      <c r="AD81" s="11">
        <v>40</v>
      </c>
      <c r="AE81" s="9">
        <v>2</v>
      </c>
      <c r="AF81" s="10">
        <f>CEILING(AC81/AD81/AE81,0.5)</f>
        <v>1</v>
      </c>
      <c r="AG81" s="376">
        <v>24.998759999999606</v>
      </c>
      <c r="AH81" s="11">
        <v>130</v>
      </c>
      <c r="AI81" s="9">
        <v>1</v>
      </c>
      <c r="AJ81" s="12">
        <f>IF(AG81="","",ROUNDUP(AG81/AH81/AI81,0)+1)</f>
        <v>2</v>
      </c>
      <c r="AK81" s="19">
        <f t="shared" ref="AK81" si="336">IF(E81="보통",2,IF(E81="조강",1,""))</f>
        <v>2</v>
      </c>
      <c r="AL81" s="376">
        <v>86.106839999998641</v>
      </c>
      <c r="AM81" s="11">
        <v>225</v>
      </c>
      <c r="AN81" s="9">
        <v>1</v>
      </c>
      <c r="AO81" s="10">
        <f>CEILING(AL81/AM81/AN81,0.5)</f>
        <v>0.5</v>
      </c>
      <c r="AP81" s="18">
        <f>ROUNDUP(SUM(P81,T81,X81,AB81,AF81,AJ81,AK81,AO81),0)</f>
        <v>14</v>
      </c>
      <c r="AQ81" s="376">
        <v>27.776399999999558</v>
      </c>
      <c r="AR81" s="13">
        <v>40</v>
      </c>
      <c r="AS81" s="9">
        <v>1</v>
      </c>
      <c r="AT81" s="10">
        <f t="shared" si="118"/>
        <v>1</v>
      </c>
      <c r="AU81" s="376">
        <v>30.554039999999517</v>
      </c>
      <c r="AV81" s="11">
        <v>130</v>
      </c>
      <c r="AW81" s="9">
        <v>1</v>
      </c>
      <c r="AX81" s="12">
        <f t="shared" si="119"/>
        <v>2</v>
      </c>
      <c r="AY81" s="19">
        <f t="shared" ref="AY81" si="337">IF(E81="보통",5,IF(E81="조강",2,""))</f>
        <v>5</v>
      </c>
      <c r="AZ81" s="376">
        <v>277.76399999999558</v>
      </c>
      <c r="BA81" s="25">
        <f t="shared" si="6"/>
        <v>220</v>
      </c>
      <c r="BB81" s="9">
        <v>1</v>
      </c>
      <c r="BC81" s="10">
        <f t="shared" si="121"/>
        <v>1.5</v>
      </c>
      <c r="BD81" s="376">
        <v>104.71702799999834</v>
      </c>
      <c r="BE81" s="13">
        <v>35</v>
      </c>
      <c r="BF81" s="9">
        <v>2</v>
      </c>
      <c r="BG81" s="12">
        <f>IF(BD81="","",2)</f>
        <v>2</v>
      </c>
      <c r="BH81" s="376">
        <v>17.776895999999716</v>
      </c>
      <c r="BI81" s="14">
        <v>3.4</v>
      </c>
      <c r="BJ81" s="9">
        <v>2</v>
      </c>
      <c r="BK81" s="10">
        <f t="shared" si="122"/>
        <v>3</v>
      </c>
      <c r="BL81" s="376">
        <v>95.273051999998486</v>
      </c>
      <c r="BM81" s="11">
        <v>125</v>
      </c>
      <c r="BN81" s="9">
        <v>1</v>
      </c>
      <c r="BO81" s="12">
        <f>IF(BL81="","",ROUNDUP(BL81/BM81/BN81,0)+1)</f>
        <v>2</v>
      </c>
      <c r="BP81" s="19">
        <f t="shared" si="123"/>
        <v>7</v>
      </c>
      <c r="BQ81" s="21">
        <f>ROUNDUP(SUM(AT81,AX81,AY81,BC81,BG81,BK81,BO81,BP81),0)</f>
        <v>24</v>
      </c>
      <c r="BR81" s="376">
        <v>38.400872999999393</v>
      </c>
      <c r="BS81" s="11">
        <v>165</v>
      </c>
      <c r="BT81" s="9">
        <v>1</v>
      </c>
      <c r="BU81" s="10">
        <f>CEILING(BR81/BS81/BT81,0.5)</f>
        <v>0.5</v>
      </c>
      <c r="BV81" s="376">
        <v>52.427954999999166</v>
      </c>
      <c r="BW81" s="11">
        <v>150</v>
      </c>
      <c r="BX81" s="9">
        <v>2</v>
      </c>
      <c r="BY81" s="10">
        <f>CEILING(BV81/BW81/BX81,0.5)</f>
        <v>0.5</v>
      </c>
      <c r="BZ81" s="376">
        <v>318.03977999999495</v>
      </c>
      <c r="CA81" s="13">
        <v>320</v>
      </c>
      <c r="CB81" s="9">
        <v>2</v>
      </c>
      <c r="CC81" s="10">
        <f>CEILING(BZ81/CA81/CB81,0.5)</f>
        <v>0.5</v>
      </c>
      <c r="CD81" s="376">
        <v>954.11933999998485</v>
      </c>
      <c r="CE81" s="13">
        <v>8000</v>
      </c>
      <c r="CF81" s="9">
        <v>1</v>
      </c>
      <c r="CG81" s="10">
        <f>CEILING(CD81/CE81/CF81,0.5)</f>
        <v>0.5</v>
      </c>
      <c r="CH81" s="376">
        <v>636.0795599999899</v>
      </c>
      <c r="CI81" s="13">
        <v>300</v>
      </c>
      <c r="CJ81" s="9">
        <v>2</v>
      </c>
      <c r="CK81" s="10">
        <f>CEILING(CH81/CI81/CJ81,0.5)</f>
        <v>1.5</v>
      </c>
      <c r="CL81" s="38">
        <f t="shared" si="124"/>
        <v>69.440999999998894</v>
      </c>
      <c r="CM81" s="15">
        <v>50</v>
      </c>
      <c r="CN81" s="9">
        <v>1</v>
      </c>
      <c r="CO81" s="10">
        <f>CEILING(CL81/CM81/CN81,0.5)</f>
        <v>1.5</v>
      </c>
      <c r="CP81" s="20">
        <f>ROUNDUP(SUM(BU81,BY81,CC81,CG81,CK81,CO81),0)</f>
        <v>5</v>
      </c>
      <c r="CQ81" s="5">
        <f t="shared" si="125"/>
        <v>14</v>
      </c>
      <c r="CR81" s="5">
        <f t="shared" si="126"/>
        <v>24</v>
      </c>
      <c r="CS81" s="5">
        <f>CP81</f>
        <v>5</v>
      </c>
      <c r="CT81" s="5">
        <f>SUM(CQ81:CS81)</f>
        <v>43</v>
      </c>
      <c r="CY81" s="40"/>
      <c r="DF81" s="40"/>
    </row>
    <row r="82" spans="1:112" s="22" customFormat="1" ht="24.95" customHeight="1">
      <c r="A82" s="23"/>
      <c r="B82" s="23"/>
      <c r="C82" s="2"/>
      <c r="D82" s="2"/>
      <c r="E82" s="3"/>
      <c r="F82" s="3"/>
      <c r="I82" s="62"/>
      <c r="J82" s="62"/>
      <c r="K82" s="24"/>
      <c r="L82" s="28"/>
      <c r="M82" s="28"/>
      <c r="N82" s="28"/>
      <c r="O82" s="90"/>
      <c r="AH82" s="1"/>
      <c r="CY82" s="23"/>
      <c r="DE82" s="67"/>
      <c r="DF82" s="23"/>
      <c r="DG82" s="67"/>
      <c r="DH82" s="67"/>
    </row>
    <row r="83" spans="1:112" s="22" customFormat="1" ht="24.95" customHeight="1">
      <c r="A83" s="23"/>
      <c r="B83" s="23"/>
      <c r="C83" s="2"/>
      <c r="D83" s="2"/>
      <c r="E83" s="3"/>
      <c r="F83" s="3"/>
      <c r="I83" s="62"/>
      <c r="J83" s="62"/>
      <c r="K83" s="24"/>
      <c r="L83" s="28"/>
      <c r="M83" s="28"/>
      <c r="N83" s="28"/>
      <c r="O83" s="90"/>
      <c r="AH83" s="1"/>
      <c r="CY83" s="23"/>
      <c r="DE83" s="67"/>
      <c r="DF83" s="23"/>
      <c r="DG83" s="67"/>
      <c r="DH83" s="67"/>
    </row>
    <row r="84" spans="1:112" s="22" customFormat="1" ht="24.95" customHeight="1">
      <c r="A84" s="23"/>
      <c r="B84" s="23"/>
      <c r="C84" s="2"/>
      <c r="D84" s="2"/>
      <c r="E84" s="3"/>
      <c r="F84" s="3"/>
      <c r="I84" s="62"/>
      <c r="J84" s="62"/>
      <c r="K84" s="24"/>
      <c r="L84" s="28"/>
      <c r="M84" s="28"/>
      <c r="N84" s="28"/>
      <c r="O84" s="90"/>
      <c r="AH84" s="1"/>
      <c r="CY84" s="23"/>
      <c r="DE84" s="67"/>
      <c r="DF84" s="23"/>
      <c r="DG84" s="67"/>
      <c r="DH84" s="67"/>
    </row>
    <row r="85" spans="1:112" s="22" customFormat="1" ht="24.95" customHeight="1">
      <c r="A85" s="23"/>
      <c r="B85" s="23"/>
      <c r="C85" s="2"/>
      <c r="D85" s="2"/>
      <c r="E85" s="3"/>
      <c r="F85" s="3"/>
      <c r="I85" s="62"/>
      <c r="J85" s="62"/>
      <c r="K85" s="24"/>
      <c r="L85" s="28"/>
      <c r="M85" s="28"/>
      <c r="N85" s="28"/>
      <c r="O85" s="90"/>
      <c r="AH85" s="1"/>
      <c r="CY85" s="23"/>
      <c r="DE85" s="67"/>
      <c r="DF85" s="23"/>
      <c r="DG85" s="67"/>
      <c r="DH85" s="67"/>
    </row>
    <row r="86" spans="1:112" s="22" customFormat="1" ht="24.95" customHeight="1">
      <c r="A86" s="23"/>
      <c r="B86" s="23"/>
      <c r="C86" s="2"/>
      <c r="D86" s="2"/>
      <c r="E86" s="3"/>
      <c r="F86" s="3"/>
      <c r="I86" s="62"/>
      <c r="J86" s="62"/>
      <c r="K86" s="24"/>
      <c r="L86" s="28"/>
      <c r="M86" s="28"/>
      <c r="N86" s="28"/>
      <c r="O86" s="90"/>
      <c r="AH86" s="1"/>
      <c r="CY86" s="23"/>
      <c r="DE86" s="67"/>
      <c r="DF86" s="23"/>
      <c r="DG86" s="67"/>
      <c r="DH86" s="67"/>
    </row>
    <row r="87" spans="1:112" s="22" customFormat="1" ht="24.95" customHeight="1">
      <c r="A87" s="23"/>
      <c r="B87" s="23"/>
      <c r="C87" s="2"/>
      <c r="D87" s="2"/>
      <c r="E87" s="3"/>
      <c r="F87" s="3"/>
      <c r="I87" s="62"/>
      <c r="J87" s="62"/>
      <c r="K87" s="24"/>
      <c r="L87" s="28"/>
      <c r="M87" s="28"/>
      <c r="N87" s="28"/>
      <c r="O87" s="90"/>
      <c r="AH87" s="1"/>
      <c r="CY87" s="23"/>
      <c r="DE87" s="67"/>
      <c r="DF87" s="23"/>
      <c r="DG87" s="67"/>
      <c r="DH87" s="67"/>
    </row>
    <row r="88" spans="1:112" ht="24.95" customHeight="1">
      <c r="C88" s="2"/>
      <c r="D88" s="2"/>
      <c r="E88" s="3"/>
      <c r="F88" s="3"/>
      <c r="AH88" s="1"/>
    </row>
    <row r="89" spans="1:112" ht="24.95" customHeight="1">
      <c r="C89" s="2"/>
      <c r="D89" s="2"/>
      <c r="E89" s="3"/>
      <c r="F89" s="3"/>
      <c r="AH89" s="1"/>
    </row>
    <row r="90" spans="1:112" ht="24.95" customHeight="1">
      <c r="C90" s="2"/>
      <c r="D90" s="2"/>
      <c r="E90" s="3"/>
      <c r="F90" s="3"/>
      <c r="AH90" s="1"/>
    </row>
    <row r="91" spans="1:112" ht="24.95" customHeight="1">
      <c r="C91" s="2"/>
      <c r="D91" s="2"/>
      <c r="E91" s="3"/>
      <c r="F91" s="3"/>
      <c r="AH91" s="1"/>
    </row>
    <row r="92" spans="1:112" ht="24.95" customHeight="1">
      <c r="C92" s="2"/>
      <c r="D92" s="2"/>
      <c r="E92" s="3"/>
      <c r="F92" s="3"/>
      <c r="AH92" s="1"/>
    </row>
    <row r="93" spans="1:112" ht="24.95" customHeight="1">
      <c r="C93" s="2"/>
      <c r="D93" s="2"/>
      <c r="E93" s="3"/>
      <c r="F93" s="3"/>
      <c r="AH93" s="1"/>
    </row>
    <row r="94" spans="1:112" ht="24.95" customHeight="1">
      <c r="C94" s="2"/>
      <c r="D94" s="2"/>
      <c r="E94" s="3"/>
      <c r="F94" s="3"/>
      <c r="AH94" s="1"/>
    </row>
    <row r="95" spans="1:112" ht="24.95" customHeight="1">
      <c r="C95" s="2"/>
      <c r="D95" s="2"/>
      <c r="E95" s="3"/>
      <c r="F95" s="3"/>
      <c r="AH95" s="1"/>
    </row>
    <row r="96" spans="1:112" ht="24.95" customHeight="1">
      <c r="C96" s="2"/>
      <c r="D96" s="2"/>
      <c r="E96" s="3"/>
      <c r="F96" s="3"/>
      <c r="AH96" s="1"/>
    </row>
    <row r="97" spans="3:34" ht="24.95" customHeight="1">
      <c r="C97" s="2"/>
      <c r="D97" s="2"/>
      <c r="E97" s="3"/>
      <c r="F97" s="3"/>
      <c r="AH97" s="1"/>
    </row>
    <row r="98" spans="3:34" ht="24.95" customHeight="1">
      <c r="C98" s="2"/>
      <c r="D98" s="2"/>
      <c r="E98" s="3"/>
      <c r="F98" s="3"/>
      <c r="AH98" s="1"/>
    </row>
    <row r="99" spans="3:34" ht="24.95" customHeight="1">
      <c r="C99" s="2"/>
      <c r="D99" s="2"/>
      <c r="E99" s="3"/>
      <c r="F99" s="3"/>
      <c r="AH99" s="1"/>
    </row>
    <row r="100" spans="3:34" ht="24.95" customHeight="1">
      <c r="C100" s="2"/>
      <c r="D100" s="2"/>
      <c r="E100" s="3"/>
      <c r="F100" s="3"/>
      <c r="AH100" s="1"/>
    </row>
    <row r="101" spans="3:34" ht="24.95" customHeight="1">
      <c r="C101" s="2"/>
      <c r="D101" s="2"/>
      <c r="E101" s="3"/>
      <c r="F101" s="3"/>
      <c r="AH101" s="1"/>
    </row>
    <row r="102" spans="3:34" ht="24.95" customHeight="1">
      <c r="C102" s="2"/>
      <c r="D102" s="2"/>
      <c r="E102" s="3"/>
      <c r="F102" s="3"/>
      <c r="AH102" s="1"/>
    </row>
    <row r="103" spans="3:34" ht="24.95" customHeight="1">
      <c r="C103" s="2"/>
      <c r="D103" s="2"/>
      <c r="E103" s="3"/>
      <c r="F103" s="3"/>
      <c r="AH103" s="1"/>
    </row>
    <row r="104" spans="3:34" ht="24.95" customHeight="1">
      <c r="C104" s="2"/>
      <c r="D104" s="2"/>
      <c r="E104" s="3"/>
      <c r="F104" s="3"/>
      <c r="AH104" s="1"/>
    </row>
    <row r="105" spans="3:34" ht="24.95" customHeight="1">
      <c r="C105" s="2"/>
      <c r="D105" s="2"/>
      <c r="E105" s="3"/>
      <c r="F105" s="3"/>
      <c r="AH105" s="1"/>
    </row>
    <row r="106" spans="3:34" ht="24.95" customHeight="1">
      <c r="C106" s="2"/>
      <c r="D106" s="2"/>
      <c r="E106" s="3"/>
      <c r="F106" s="3"/>
      <c r="AH106" s="1"/>
    </row>
    <row r="107" spans="3:34" ht="24.95" customHeight="1">
      <c r="C107" s="2"/>
      <c r="D107" s="2"/>
      <c r="E107" s="3"/>
      <c r="F107" s="3"/>
      <c r="AH107" s="1"/>
    </row>
    <row r="108" spans="3:34" ht="24.95" customHeight="1">
      <c r="C108" s="2"/>
      <c r="D108" s="2"/>
      <c r="E108" s="3"/>
      <c r="F108" s="3"/>
      <c r="AH108" s="1"/>
    </row>
    <row r="109" spans="3:34" ht="24.95" customHeight="1">
      <c r="C109" s="2"/>
      <c r="D109" s="2"/>
      <c r="E109" s="3"/>
      <c r="F109" s="3"/>
      <c r="AH109" s="1"/>
    </row>
    <row r="110" spans="3:34" ht="24.95" customHeight="1">
      <c r="C110" s="2"/>
      <c r="D110" s="2"/>
      <c r="E110" s="3"/>
      <c r="F110" s="3"/>
      <c r="AH110" s="1"/>
    </row>
    <row r="111" spans="3:34" ht="24.95" customHeight="1">
      <c r="C111" s="2"/>
      <c r="D111" s="2"/>
      <c r="E111" s="3"/>
      <c r="F111" s="3"/>
      <c r="AH111" s="1"/>
    </row>
    <row r="112" spans="3:34" ht="24.95" customHeight="1">
      <c r="C112" s="2"/>
      <c r="D112" s="2"/>
      <c r="E112" s="3"/>
      <c r="F112" s="3"/>
      <c r="AH112" s="1"/>
    </row>
  </sheetData>
  <mergeCells count="133">
    <mergeCell ref="A5:A7"/>
    <mergeCell ref="G5:H7"/>
    <mergeCell ref="I5:I8"/>
    <mergeCell ref="L19:L21"/>
    <mergeCell ref="M19:M21"/>
    <mergeCell ref="N19:N21"/>
    <mergeCell ref="O19:O21"/>
    <mergeCell ref="L22:L26"/>
    <mergeCell ref="M22:M26"/>
    <mergeCell ref="N22:N26"/>
    <mergeCell ref="O22:O26"/>
    <mergeCell ref="AQ5:BQ5"/>
    <mergeCell ref="AQ6:AY6"/>
    <mergeCell ref="AZ7:BC7"/>
    <mergeCell ref="BD7:BG7"/>
    <mergeCell ref="AZ6:BP6"/>
    <mergeCell ref="AY7:AY8"/>
    <mergeCell ref="L40:L43"/>
    <mergeCell ref="M40:M43"/>
    <mergeCell ref="N40:N43"/>
    <mergeCell ref="O40:O43"/>
    <mergeCell ref="BH7:BK7"/>
    <mergeCell ref="BP7:BP8"/>
    <mergeCell ref="Y19:AB19"/>
    <mergeCell ref="L30:L34"/>
    <mergeCell ref="M30:M34"/>
    <mergeCell ref="N30:N34"/>
    <mergeCell ref="O30:O34"/>
    <mergeCell ref="Y36:AB36"/>
    <mergeCell ref="L35:L39"/>
    <mergeCell ref="M35:M39"/>
    <mergeCell ref="N35:N39"/>
    <mergeCell ref="L27:L29"/>
    <mergeCell ref="M27:M29"/>
    <mergeCell ref="N27:N29"/>
    <mergeCell ref="BZ6:CC7"/>
    <mergeCell ref="B44:D44"/>
    <mergeCell ref="CS7:CS8"/>
    <mergeCell ref="CV8:CW8"/>
    <mergeCell ref="P6:P8"/>
    <mergeCell ref="Q6:T7"/>
    <mergeCell ref="CR7:CR8"/>
    <mergeCell ref="O35:O39"/>
    <mergeCell ref="AU7:AX7"/>
    <mergeCell ref="U6:X7"/>
    <mergeCell ref="AL6:AO7"/>
    <mergeCell ref="Y6:AK6"/>
    <mergeCell ref="BL7:BO7"/>
    <mergeCell ref="AQ7:AT7"/>
    <mergeCell ref="AC7:AF7"/>
    <mergeCell ref="AG7:AJ7"/>
    <mergeCell ref="AK7:AK8"/>
    <mergeCell ref="B5:F7"/>
    <mergeCell ref="K5:K8"/>
    <mergeCell ref="J5:J8"/>
    <mergeCell ref="L5:L8"/>
    <mergeCell ref="Y7:AB7"/>
    <mergeCell ref="N12:N18"/>
    <mergeCell ref="O12:O18"/>
    <mergeCell ref="DG5:DH5"/>
    <mergeCell ref="DG6:DH6"/>
    <mergeCell ref="CV5:CW5"/>
    <mergeCell ref="CV6:CW6"/>
    <mergeCell ref="CV7:CW7"/>
    <mergeCell ref="DG7:DH7"/>
    <mergeCell ref="Y47:AB47"/>
    <mergeCell ref="L45:L49"/>
    <mergeCell ref="M45:M49"/>
    <mergeCell ref="N45:N49"/>
    <mergeCell ref="O45:O49"/>
    <mergeCell ref="P5:AP5"/>
    <mergeCell ref="AP6:AP8"/>
    <mergeCell ref="CQ7:CQ8"/>
    <mergeCell ref="BR6:BU7"/>
    <mergeCell ref="CD6:CG7"/>
    <mergeCell ref="CH6:CK7"/>
    <mergeCell ref="CL6:CO7"/>
    <mergeCell ref="BV6:BY7"/>
    <mergeCell ref="BQ6:BQ8"/>
    <mergeCell ref="CQ5:CT6"/>
    <mergeCell ref="CT7:CT8"/>
    <mergeCell ref="CP6:CP8"/>
    <mergeCell ref="BR5:CP5"/>
    <mergeCell ref="B1:Q1"/>
    <mergeCell ref="B2:O2"/>
    <mergeCell ref="B11:D11"/>
    <mergeCell ref="Y10:AB10"/>
    <mergeCell ref="O53:O57"/>
    <mergeCell ref="Y60:AB60"/>
    <mergeCell ref="L58:L61"/>
    <mergeCell ref="M58:M61"/>
    <mergeCell ref="N58:N61"/>
    <mergeCell ref="O58:O61"/>
    <mergeCell ref="O5:O8"/>
    <mergeCell ref="M5:M8"/>
    <mergeCell ref="N5:N8"/>
    <mergeCell ref="L12:L18"/>
    <mergeCell ref="M12:M18"/>
    <mergeCell ref="O27:O29"/>
    <mergeCell ref="Y21:AB21"/>
    <mergeCell ref="Y80:AB80"/>
    <mergeCell ref="L50:L52"/>
    <mergeCell ref="M50:M52"/>
    <mergeCell ref="N50:N52"/>
    <mergeCell ref="O50:O52"/>
    <mergeCell ref="Y55:AB55"/>
    <mergeCell ref="L53:L57"/>
    <mergeCell ref="M53:M57"/>
    <mergeCell ref="N53:N57"/>
    <mergeCell ref="Y69:AB69"/>
    <mergeCell ref="M64:M70"/>
    <mergeCell ref="L62:L63"/>
    <mergeCell ref="M62:M63"/>
    <mergeCell ref="N62:N63"/>
    <mergeCell ref="O62:O63"/>
    <mergeCell ref="Y67:AB67"/>
    <mergeCell ref="Y73:AB73"/>
    <mergeCell ref="Y65:AB65"/>
    <mergeCell ref="M71:M74"/>
    <mergeCell ref="M75:M77"/>
    <mergeCell ref="M78:M81"/>
    <mergeCell ref="L64:L70"/>
    <mergeCell ref="L71:L74"/>
    <mergeCell ref="L75:L77"/>
    <mergeCell ref="L78:L81"/>
    <mergeCell ref="N64:N70"/>
    <mergeCell ref="O64:O70"/>
    <mergeCell ref="N71:N74"/>
    <mergeCell ref="O71:O74"/>
    <mergeCell ref="N75:N77"/>
    <mergeCell ref="O75:O77"/>
    <mergeCell ref="N78:N81"/>
    <mergeCell ref="O78:O8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8" scale="50" pageOrder="overThenDown" orientation="landscape" horizontalDpi="1200" verticalDpi="1200" r:id="rId1"/>
  <headerFooter>
    <oddFooter>&amp;C&amp;18&amp;P/&amp;N</oddFooter>
  </headerFooter>
  <colBreaks count="3" manualBreakCount="3">
    <brk id="35" max="75" man="1"/>
    <brk id="56" max="75" man="1"/>
    <brk id="77" max="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기술제안 1공구 본선구간 공기산출 근거</vt:lpstr>
      <vt:lpstr>'기술제안 1공구 본선구간 공기산출 근거'!Print_Area</vt:lpstr>
      <vt:lpstr>'기술제안 1공구 본선구간 공기산출 근거'!Print_Titles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김민호</dc:creator>
  <cp:lastModifiedBy>(주)천우씨엠 이흥철 대표이사</cp:lastModifiedBy>
  <cp:lastPrinted>2026-08-06T01:31:05Z</cp:lastPrinted>
  <dcterms:created xsi:type="dcterms:W3CDTF">2026-06-17T10:35:32Z</dcterms:created>
  <dcterms:modified xsi:type="dcterms:W3CDTF">2026-08-06T01:31:24Z</dcterms:modified>
</cp:coreProperties>
</file>