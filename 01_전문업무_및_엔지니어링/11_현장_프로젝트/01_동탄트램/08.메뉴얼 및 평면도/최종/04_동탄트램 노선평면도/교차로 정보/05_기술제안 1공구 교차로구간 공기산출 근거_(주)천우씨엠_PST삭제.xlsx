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440" windowHeight="11445"/>
  </bookViews>
  <sheets>
    <sheet name="기술제안 1공구 교차로 공기산출근거" sheetId="9" r:id="rId1"/>
  </sheets>
  <definedNames>
    <definedName name="_xlnm.Print_Area" localSheetId="0">'기술제안 1공구 교차로 공기산출근거'!$C$1:$DJ$72</definedName>
    <definedName name="_xlnm.Print_Titles" localSheetId="0">'기술제안 1공구 교차로 공기산출근거'!$C:$K</definedName>
  </definedNames>
  <calcPr calcId="145621"/>
</workbook>
</file>

<file path=xl/calcChain.xml><?xml version="1.0" encoding="utf-8"?>
<calcChain xmlns="http://schemas.openxmlformats.org/spreadsheetml/2006/main">
  <c r="AO20" i="9" l="1"/>
  <c r="AO21" i="9"/>
  <c r="DL18" i="9"/>
  <c r="CX18" i="9"/>
  <c r="DA18" i="9" s="1"/>
  <c r="CS18" i="9"/>
  <c r="CV18" i="9" s="1"/>
  <c r="CN18" i="9"/>
  <c r="CQ18" i="9" s="1"/>
  <c r="CI18" i="9"/>
  <c r="CL18" i="9" s="1"/>
  <c r="CD18" i="9"/>
  <c r="CG18" i="9" s="1"/>
  <c r="CA18" i="9"/>
  <c r="BW18" i="9"/>
  <c r="BZ18" i="9" s="1"/>
  <c r="BR18" i="9"/>
  <c r="BU18" i="9" s="1"/>
  <c r="BM18" i="9"/>
  <c r="BP18" i="9" s="1"/>
  <c r="BF18" i="9"/>
  <c r="BB18" i="9"/>
  <c r="BE18" i="9" s="1"/>
  <c r="AW18" i="9"/>
  <c r="AZ18" i="9" s="1"/>
  <c r="AQ18" i="9"/>
  <c r="AT18" i="9" s="1"/>
  <c r="AO18" i="9"/>
  <c r="AK18" i="9"/>
  <c r="AN18" i="9" s="1"/>
  <c r="AF18" i="9"/>
  <c r="AI18" i="9" s="1"/>
  <c r="AA18" i="9"/>
  <c r="AD18" i="9" s="1"/>
  <c r="V18" i="9"/>
  <c r="Y18" i="9" s="1"/>
  <c r="Q18" i="9"/>
  <c r="T18" i="9" s="1"/>
  <c r="DL49" i="9"/>
  <c r="CX49" i="9"/>
  <c r="DA49" i="9" s="1"/>
  <c r="CS49" i="9"/>
  <c r="CV49" i="9" s="1"/>
  <c r="CN49" i="9"/>
  <c r="CQ49" i="9" s="1"/>
  <c r="CI49" i="9"/>
  <c r="CL49" i="9" s="1"/>
  <c r="CD49" i="9"/>
  <c r="CG49" i="9" s="1"/>
  <c r="CA49" i="9"/>
  <c r="BW49" i="9"/>
  <c r="BZ49" i="9" s="1"/>
  <c r="BR49" i="9"/>
  <c r="BU49" i="9" s="1"/>
  <c r="BM49" i="9"/>
  <c r="BP49" i="9" s="1"/>
  <c r="BF49" i="9"/>
  <c r="BB49" i="9"/>
  <c r="BE49" i="9" s="1"/>
  <c r="AW49" i="9"/>
  <c r="AZ49" i="9" s="1"/>
  <c r="AQ49" i="9"/>
  <c r="AT49" i="9" s="1"/>
  <c r="AO49" i="9"/>
  <c r="AK49" i="9"/>
  <c r="AN49" i="9" s="1"/>
  <c r="AF49" i="9"/>
  <c r="AI49" i="9" s="1"/>
  <c r="AA49" i="9"/>
  <c r="AD49" i="9" s="1"/>
  <c r="V49" i="9"/>
  <c r="Y49" i="9" s="1"/>
  <c r="Q49" i="9"/>
  <c r="T49" i="9" s="1"/>
  <c r="DL43" i="9"/>
  <c r="CX43" i="9"/>
  <c r="DA43" i="9" s="1"/>
  <c r="CS43" i="9"/>
  <c r="CV43" i="9" s="1"/>
  <c r="CN43" i="9"/>
  <c r="CQ43" i="9" s="1"/>
  <c r="CI43" i="9"/>
  <c r="CL43" i="9" s="1"/>
  <c r="CD43" i="9"/>
  <c r="CG43" i="9" s="1"/>
  <c r="CA43" i="9"/>
  <c r="BW43" i="9"/>
  <c r="BZ43" i="9" s="1"/>
  <c r="BR43" i="9"/>
  <c r="BU43" i="9" s="1"/>
  <c r="BM43" i="9"/>
  <c r="BP43" i="9" s="1"/>
  <c r="BF43" i="9"/>
  <c r="BB43" i="9"/>
  <c r="BE43" i="9" s="1"/>
  <c r="AW43" i="9"/>
  <c r="AZ43" i="9" s="1"/>
  <c r="AQ43" i="9"/>
  <c r="AT43" i="9" s="1"/>
  <c r="AO43" i="9"/>
  <c r="AK43" i="9"/>
  <c r="AN43" i="9" s="1"/>
  <c r="AF43" i="9"/>
  <c r="AI43" i="9" s="1"/>
  <c r="AA43" i="9"/>
  <c r="AD43" i="9" s="1"/>
  <c r="V43" i="9"/>
  <c r="Y43" i="9" s="1"/>
  <c r="Q43" i="9"/>
  <c r="T43" i="9" s="1"/>
  <c r="DL37" i="9"/>
  <c r="CX37" i="9"/>
  <c r="DA37" i="9" s="1"/>
  <c r="CS37" i="9"/>
  <c r="CV37" i="9" s="1"/>
  <c r="CN37" i="9"/>
  <c r="CQ37" i="9" s="1"/>
  <c r="CI37" i="9"/>
  <c r="CL37" i="9" s="1"/>
  <c r="CD37" i="9"/>
  <c r="CG37" i="9" s="1"/>
  <c r="CA37" i="9"/>
  <c r="BW37" i="9"/>
  <c r="BZ37" i="9" s="1"/>
  <c r="BR37" i="9"/>
  <c r="BU37" i="9" s="1"/>
  <c r="BM37" i="9"/>
  <c r="BP37" i="9" s="1"/>
  <c r="BF37" i="9"/>
  <c r="BB37" i="9"/>
  <c r="BE37" i="9" s="1"/>
  <c r="AW37" i="9"/>
  <c r="AZ37" i="9" s="1"/>
  <c r="AQ37" i="9"/>
  <c r="AT37" i="9" s="1"/>
  <c r="AO37" i="9"/>
  <c r="AK37" i="9"/>
  <c r="AN37" i="9" s="1"/>
  <c r="AF37" i="9"/>
  <c r="AI37" i="9" s="1"/>
  <c r="AA37" i="9"/>
  <c r="AD37" i="9" s="1"/>
  <c r="V37" i="9"/>
  <c r="Y37" i="9" s="1"/>
  <c r="Q37" i="9"/>
  <c r="T37" i="9" s="1"/>
  <c r="DL21" i="9"/>
  <c r="CX21" i="9"/>
  <c r="DA21" i="9" s="1"/>
  <c r="CS21" i="9"/>
  <c r="CV21" i="9" s="1"/>
  <c r="CN21" i="9"/>
  <c r="CQ21" i="9" s="1"/>
  <c r="CI21" i="9"/>
  <c r="CL21" i="9" s="1"/>
  <c r="CD21" i="9"/>
  <c r="CG21" i="9" s="1"/>
  <c r="CA21" i="9"/>
  <c r="BW21" i="9"/>
  <c r="BZ21" i="9" s="1"/>
  <c r="BR21" i="9"/>
  <c r="BU21" i="9" s="1"/>
  <c r="BM21" i="9"/>
  <c r="BP21" i="9" s="1"/>
  <c r="BF21" i="9"/>
  <c r="BB21" i="9"/>
  <c r="BE21" i="9" s="1"/>
  <c r="AW21" i="9"/>
  <c r="AZ21" i="9" s="1"/>
  <c r="AQ21" i="9"/>
  <c r="AT21" i="9" s="1"/>
  <c r="AK21" i="9"/>
  <c r="AN21" i="9" s="1"/>
  <c r="AF21" i="9"/>
  <c r="AI21" i="9" s="1"/>
  <c r="AA21" i="9"/>
  <c r="AD21" i="9" s="1"/>
  <c r="V21" i="9"/>
  <c r="Y21" i="9" s="1"/>
  <c r="Q21" i="9"/>
  <c r="T21" i="9" s="1"/>
  <c r="DL20" i="9"/>
  <c r="CX20" i="9"/>
  <c r="DA20" i="9" s="1"/>
  <c r="CS20" i="9"/>
  <c r="CV20" i="9" s="1"/>
  <c r="CN20" i="9"/>
  <c r="CQ20" i="9" s="1"/>
  <c r="CI20" i="9"/>
  <c r="CL20" i="9" s="1"/>
  <c r="CD20" i="9"/>
  <c r="CG20" i="9" s="1"/>
  <c r="CA20" i="9"/>
  <c r="BW20" i="9"/>
  <c r="BZ20" i="9" s="1"/>
  <c r="BR20" i="9"/>
  <c r="BU20" i="9" s="1"/>
  <c r="BM20" i="9"/>
  <c r="BP20" i="9" s="1"/>
  <c r="BF20" i="9"/>
  <c r="BB20" i="9"/>
  <c r="BE20" i="9" s="1"/>
  <c r="AW20" i="9"/>
  <c r="AZ20" i="9" s="1"/>
  <c r="AQ20" i="9"/>
  <c r="AT20" i="9" s="1"/>
  <c r="AK20" i="9"/>
  <c r="AN20" i="9" s="1"/>
  <c r="AI20" i="9"/>
  <c r="AF20" i="9"/>
  <c r="AA20" i="9"/>
  <c r="AD20" i="9" s="1"/>
  <c r="V20" i="9"/>
  <c r="Y20" i="9" s="1"/>
  <c r="Q20" i="9"/>
  <c r="T20" i="9" s="1"/>
  <c r="DL14" i="9"/>
  <c r="CX14" i="9"/>
  <c r="DA14" i="9" s="1"/>
  <c r="CS14" i="9"/>
  <c r="CV14" i="9" s="1"/>
  <c r="CN14" i="9"/>
  <c r="CQ14" i="9" s="1"/>
  <c r="CI14" i="9"/>
  <c r="CL14" i="9" s="1"/>
  <c r="CD14" i="9"/>
  <c r="CG14" i="9" s="1"/>
  <c r="CA14" i="9"/>
  <c r="BW14" i="9"/>
  <c r="BZ14" i="9" s="1"/>
  <c r="BR14" i="9"/>
  <c r="BU14" i="9" s="1"/>
  <c r="BM14" i="9"/>
  <c r="BP14" i="9" s="1"/>
  <c r="BF14" i="9"/>
  <c r="BB14" i="9"/>
  <c r="BE14" i="9" s="1"/>
  <c r="AW14" i="9"/>
  <c r="AZ14" i="9" s="1"/>
  <c r="AQ14" i="9"/>
  <c r="AT14" i="9" s="1"/>
  <c r="AO14" i="9"/>
  <c r="AK14" i="9"/>
  <c r="AN14" i="9" s="1"/>
  <c r="AF14" i="9"/>
  <c r="AI14" i="9" s="1"/>
  <c r="AA14" i="9"/>
  <c r="AD14" i="9" s="1"/>
  <c r="V14" i="9"/>
  <c r="Y14" i="9" s="1"/>
  <c r="Q14" i="9"/>
  <c r="T14" i="9" s="1"/>
  <c r="CB49" i="9" l="1"/>
  <c r="DI49" i="9" s="1"/>
  <c r="AU49" i="9"/>
  <c r="DH49" i="9" s="1"/>
  <c r="CB21" i="9"/>
  <c r="DI21" i="9" s="1"/>
  <c r="CB20" i="9"/>
  <c r="DI20" i="9" s="1"/>
  <c r="AU37" i="9"/>
  <c r="DH37" i="9" s="1"/>
  <c r="CB37" i="9"/>
  <c r="DI37" i="9" s="1"/>
  <c r="AU20" i="9"/>
  <c r="DH20" i="9" s="1"/>
  <c r="AU18" i="9"/>
  <c r="DH18" i="9" s="1"/>
  <c r="CB18" i="9"/>
  <c r="DI18" i="9" s="1"/>
  <c r="CB14" i="9"/>
  <c r="DI14" i="9" s="1"/>
  <c r="AU14" i="9"/>
  <c r="DH14" i="9" s="1"/>
  <c r="AU43" i="9"/>
  <c r="DH43" i="9" s="1"/>
  <c r="CB43" i="9"/>
  <c r="DI43" i="9" s="1"/>
  <c r="AU21" i="9"/>
  <c r="DH21" i="9" s="1"/>
  <c r="K49" i="9" l="1"/>
  <c r="K43" i="9"/>
  <c r="K37" i="9"/>
  <c r="DB37" i="9" s="1"/>
  <c r="DC37" i="9" s="1"/>
  <c r="DF37" i="9" s="1"/>
  <c r="DG37" i="9" s="1"/>
  <c r="DJ37" i="9" s="1"/>
  <c r="DK37" i="9" s="1"/>
  <c r="DM37" i="9" s="1"/>
  <c r="DN37" i="9" s="1"/>
  <c r="DP37" i="9" s="1"/>
  <c r="K21" i="9"/>
  <c r="K20" i="9"/>
  <c r="K18" i="9"/>
  <c r="DL57" i="9"/>
  <c r="CX57" i="9"/>
  <c r="DA57" i="9" s="1"/>
  <c r="CS57" i="9"/>
  <c r="CV57" i="9" s="1"/>
  <c r="CN57" i="9"/>
  <c r="CQ57" i="9" s="1"/>
  <c r="CI57" i="9"/>
  <c r="CL57" i="9" s="1"/>
  <c r="CD57" i="9"/>
  <c r="CG57" i="9" s="1"/>
  <c r="CA57" i="9"/>
  <c r="BW57" i="9"/>
  <c r="BZ57" i="9" s="1"/>
  <c r="BR57" i="9"/>
  <c r="BU57" i="9" s="1"/>
  <c r="BM57" i="9"/>
  <c r="BP57" i="9" s="1"/>
  <c r="BF57" i="9"/>
  <c r="BB57" i="9"/>
  <c r="BE57" i="9" s="1"/>
  <c r="AW57" i="9"/>
  <c r="AZ57" i="9" s="1"/>
  <c r="AQ57" i="9"/>
  <c r="AT57" i="9" s="1"/>
  <c r="AO57" i="9"/>
  <c r="AK57" i="9"/>
  <c r="AN57" i="9" s="1"/>
  <c r="AF57" i="9"/>
  <c r="AI57" i="9" s="1"/>
  <c r="AA57" i="9"/>
  <c r="AD57" i="9" s="1"/>
  <c r="V57" i="9"/>
  <c r="Y57" i="9" s="1"/>
  <c r="Q57" i="9"/>
  <c r="T57" i="9" s="1"/>
  <c r="DL56" i="9"/>
  <c r="CX56" i="9"/>
  <c r="DA56" i="9" s="1"/>
  <c r="CS56" i="9"/>
  <c r="CV56" i="9" s="1"/>
  <c r="CN56" i="9"/>
  <c r="CQ56" i="9" s="1"/>
  <c r="CI56" i="9"/>
  <c r="CL56" i="9" s="1"/>
  <c r="CD56" i="9"/>
  <c r="CG56" i="9" s="1"/>
  <c r="CA56" i="9"/>
  <c r="BW56" i="9"/>
  <c r="BZ56" i="9" s="1"/>
  <c r="BR56" i="9"/>
  <c r="BU56" i="9" s="1"/>
  <c r="BM56" i="9"/>
  <c r="BP56" i="9" s="1"/>
  <c r="BF56" i="9"/>
  <c r="BB56" i="9"/>
  <c r="BE56" i="9" s="1"/>
  <c r="AW56" i="9"/>
  <c r="AZ56" i="9" s="1"/>
  <c r="AQ56" i="9"/>
  <c r="AT56" i="9" s="1"/>
  <c r="AO56" i="9"/>
  <c r="AK56" i="9"/>
  <c r="AN56" i="9" s="1"/>
  <c r="AF56" i="9"/>
  <c r="AI56" i="9" s="1"/>
  <c r="AA56" i="9"/>
  <c r="AD56" i="9" s="1"/>
  <c r="V56" i="9"/>
  <c r="Y56" i="9" s="1"/>
  <c r="Q56" i="9"/>
  <c r="T56" i="9" s="1"/>
  <c r="DL55" i="9"/>
  <c r="CX55" i="9"/>
  <c r="DA55" i="9" s="1"/>
  <c r="CS55" i="9"/>
  <c r="CV55" i="9" s="1"/>
  <c r="CN55" i="9"/>
  <c r="CQ55" i="9" s="1"/>
  <c r="CI55" i="9"/>
  <c r="CL55" i="9" s="1"/>
  <c r="CD55" i="9"/>
  <c r="CG55" i="9" s="1"/>
  <c r="CA55" i="9"/>
  <c r="BW55" i="9"/>
  <c r="BZ55" i="9" s="1"/>
  <c r="BR55" i="9"/>
  <c r="BU55" i="9" s="1"/>
  <c r="BM55" i="9"/>
  <c r="BP55" i="9" s="1"/>
  <c r="BF55" i="9"/>
  <c r="BB55" i="9"/>
  <c r="BE55" i="9" s="1"/>
  <c r="AW55" i="9"/>
  <c r="AZ55" i="9" s="1"/>
  <c r="AQ55" i="9"/>
  <c r="AT55" i="9" s="1"/>
  <c r="AO55" i="9"/>
  <c r="AK55" i="9"/>
  <c r="AN55" i="9" s="1"/>
  <c r="AF55" i="9"/>
  <c r="AI55" i="9" s="1"/>
  <c r="AA55" i="9"/>
  <c r="AD55" i="9" s="1"/>
  <c r="V55" i="9"/>
  <c r="Y55" i="9" s="1"/>
  <c r="Q55" i="9"/>
  <c r="T55" i="9" s="1"/>
  <c r="DL54" i="9"/>
  <c r="CX54" i="9"/>
  <c r="DA54" i="9" s="1"/>
  <c r="CS54" i="9"/>
  <c r="CV54" i="9" s="1"/>
  <c r="CN54" i="9"/>
  <c r="CQ54" i="9" s="1"/>
  <c r="CI54" i="9"/>
  <c r="CL54" i="9" s="1"/>
  <c r="CD54" i="9"/>
  <c r="CG54" i="9" s="1"/>
  <c r="CA54" i="9"/>
  <c r="BW54" i="9"/>
  <c r="BZ54" i="9" s="1"/>
  <c r="BR54" i="9"/>
  <c r="BU54" i="9" s="1"/>
  <c r="BM54" i="9"/>
  <c r="BP54" i="9" s="1"/>
  <c r="BF54" i="9"/>
  <c r="BB54" i="9"/>
  <c r="BE54" i="9" s="1"/>
  <c r="AW54" i="9"/>
  <c r="AZ54" i="9" s="1"/>
  <c r="AQ54" i="9"/>
  <c r="AT54" i="9" s="1"/>
  <c r="AO54" i="9"/>
  <c r="AK54" i="9"/>
  <c r="AN54" i="9" s="1"/>
  <c r="AF54" i="9"/>
  <c r="AI54" i="9" s="1"/>
  <c r="AA54" i="9"/>
  <c r="AD54" i="9" s="1"/>
  <c r="V54" i="9"/>
  <c r="Y54" i="9" s="1"/>
  <c r="Q54" i="9"/>
  <c r="T54" i="9" s="1"/>
  <c r="DL53" i="9"/>
  <c r="CX53" i="9"/>
  <c r="DA53" i="9" s="1"/>
  <c r="CS53" i="9"/>
  <c r="CV53" i="9" s="1"/>
  <c r="CN53" i="9"/>
  <c r="CQ53" i="9" s="1"/>
  <c r="CI53" i="9"/>
  <c r="CL53" i="9" s="1"/>
  <c r="CD53" i="9"/>
  <c r="CG53" i="9" s="1"/>
  <c r="CA53" i="9"/>
  <c r="BW53" i="9"/>
  <c r="BZ53" i="9" s="1"/>
  <c r="BR53" i="9"/>
  <c r="BU53" i="9" s="1"/>
  <c r="BM53" i="9"/>
  <c r="BP53" i="9" s="1"/>
  <c r="BF53" i="9"/>
  <c r="BB53" i="9"/>
  <c r="BE53" i="9" s="1"/>
  <c r="AW53" i="9"/>
  <c r="AZ53" i="9" s="1"/>
  <c r="AQ53" i="9"/>
  <c r="AT53" i="9" s="1"/>
  <c r="AO53" i="9"/>
  <c r="AK53" i="9"/>
  <c r="AN53" i="9" s="1"/>
  <c r="AF53" i="9"/>
  <c r="AI53" i="9" s="1"/>
  <c r="AA53" i="9"/>
  <c r="AD53" i="9" s="1"/>
  <c r="V53" i="9"/>
  <c r="Y53" i="9" s="1"/>
  <c r="Q53" i="9"/>
  <c r="T53" i="9" s="1"/>
  <c r="DL52" i="9"/>
  <c r="CX52" i="9"/>
  <c r="DA52" i="9" s="1"/>
  <c r="CS52" i="9"/>
  <c r="CV52" i="9" s="1"/>
  <c r="CN52" i="9"/>
  <c r="CQ52" i="9" s="1"/>
  <c r="CI52" i="9"/>
  <c r="CL52" i="9" s="1"/>
  <c r="CD52" i="9"/>
  <c r="CG52" i="9" s="1"/>
  <c r="CA52" i="9"/>
  <c r="BW52" i="9"/>
  <c r="BZ52" i="9" s="1"/>
  <c r="BR52" i="9"/>
  <c r="BU52" i="9" s="1"/>
  <c r="BM52" i="9"/>
  <c r="BP52" i="9" s="1"/>
  <c r="BF52" i="9"/>
  <c r="BB52" i="9"/>
  <c r="BE52" i="9" s="1"/>
  <c r="AW52" i="9"/>
  <c r="AZ52" i="9" s="1"/>
  <c r="AQ52" i="9"/>
  <c r="AT52" i="9" s="1"/>
  <c r="AO52" i="9"/>
  <c r="AK52" i="9"/>
  <c r="AN52" i="9" s="1"/>
  <c r="AF52" i="9"/>
  <c r="AI52" i="9" s="1"/>
  <c r="AA52" i="9"/>
  <c r="AD52" i="9" s="1"/>
  <c r="V52" i="9"/>
  <c r="Y52" i="9" s="1"/>
  <c r="Q52" i="9"/>
  <c r="T52" i="9" s="1"/>
  <c r="DL51" i="9"/>
  <c r="CX51" i="9"/>
  <c r="DA51" i="9" s="1"/>
  <c r="CS51" i="9"/>
  <c r="CV51" i="9" s="1"/>
  <c r="CN51" i="9"/>
  <c r="CQ51" i="9" s="1"/>
  <c r="CI51" i="9"/>
  <c r="CL51" i="9" s="1"/>
  <c r="CD51" i="9"/>
  <c r="CG51" i="9" s="1"/>
  <c r="CA51" i="9"/>
  <c r="BW51" i="9"/>
  <c r="BZ51" i="9" s="1"/>
  <c r="BR51" i="9"/>
  <c r="BU51" i="9" s="1"/>
  <c r="BM51" i="9"/>
  <c r="BP51" i="9" s="1"/>
  <c r="BF51" i="9"/>
  <c r="BB51" i="9"/>
  <c r="BE51" i="9" s="1"/>
  <c r="AW51" i="9"/>
  <c r="AZ51" i="9" s="1"/>
  <c r="AQ51" i="9"/>
  <c r="AT51" i="9" s="1"/>
  <c r="AO51" i="9"/>
  <c r="AK51" i="9"/>
  <c r="AN51" i="9" s="1"/>
  <c r="AF51" i="9"/>
  <c r="AI51" i="9" s="1"/>
  <c r="AA51" i="9"/>
  <c r="AD51" i="9" s="1"/>
  <c r="V51" i="9"/>
  <c r="Y51" i="9" s="1"/>
  <c r="Q51" i="9"/>
  <c r="T51" i="9" s="1"/>
  <c r="DL50" i="9"/>
  <c r="CX50" i="9"/>
  <c r="DA50" i="9" s="1"/>
  <c r="CS50" i="9"/>
  <c r="CV50" i="9" s="1"/>
  <c r="CN50" i="9"/>
  <c r="CQ50" i="9" s="1"/>
  <c r="CI50" i="9"/>
  <c r="CL50" i="9" s="1"/>
  <c r="CD50" i="9"/>
  <c r="CG50" i="9" s="1"/>
  <c r="CA50" i="9"/>
  <c r="BW50" i="9"/>
  <c r="BZ50" i="9" s="1"/>
  <c r="BR50" i="9"/>
  <c r="BU50" i="9" s="1"/>
  <c r="BM50" i="9"/>
  <c r="BP50" i="9" s="1"/>
  <c r="BF50" i="9"/>
  <c r="BB50" i="9"/>
  <c r="BE50" i="9" s="1"/>
  <c r="AW50" i="9"/>
  <c r="AZ50" i="9" s="1"/>
  <c r="AQ50" i="9"/>
  <c r="AT50" i="9" s="1"/>
  <c r="AO50" i="9"/>
  <c r="AK50" i="9"/>
  <c r="AN50" i="9" s="1"/>
  <c r="AF50" i="9"/>
  <c r="AI50" i="9" s="1"/>
  <c r="AA50" i="9"/>
  <c r="AD50" i="9" s="1"/>
  <c r="V50" i="9"/>
  <c r="Y50" i="9" s="1"/>
  <c r="Q50" i="9"/>
  <c r="T50" i="9" s="1"/>
  <c r="DL48" i="9"/>
  <c r="CX48" i="9"/>
  <c r="DA48" i="9" s="1"/>
  <c r="CS48" i="9"/>
  <c r="CV48" i="9" s="1"/>
  <c r="CN48" i="9"/>
  <c r="CQ48" i="9" s="1"/>
  <c r="CI48" i="9"/>
  <c r="CL48" i="9" s="1"/>
  <c r="CD48" i="9"/>
  <c r="CG48" i="9" s="1"/>
  <c r="CA48" i="9"/>
  <c r="BW48" i="9"/>
  <c r="BZ48" i="9" s="1"/>
  <c r="BR48" i="9"/>
  <c r="BU48" i="9" s="1"/>
  <c r="BM48" i="9"/>
  <c r="BP48" i="9" s="1"/>
  <c r="BF48" i="9"/>
  <c r="BB48" i="9"/>
  <c r="BE48" i="9" s="1"/>
  <c r="AW48" i="9"/>
  <c r="AZ48" i="9" s="1"/>
  <c r="AQ48" i="9"/>
  <c r="AT48" i="9" s="1"/>
  <c r="AO48" i="9"/>
  <c r="AK48" i="9"/>
  <c r="AN48" i="9" s="1"/>
  <c r="AF48" i="9"/>
  <c r="AI48" i="9" s="1"/>
  <c r="AA48" i="9"/>
  <c r="AD48" i="9" s="1"/>
  <c r="V48" i="9"/>
  <c r="Y48" i="9" s="1"/>
  <c r="Q48" i="9"/>
  <c r="T48" i="9" s="1"/>
  <c r="DL47" i="9"/>
  <c r="CX47" i="9"/>
  <c r="DA47" i="9" s="1"/>
  <c r="CS47" i="9"/>
  <c r="CV47" i="9" s="1"/>
  <c r="CN47" i="9"/>
  <c r="CQ47" i="9" s="1"/>
  <c r="CI47" i="9"/>
  <c r="CL47" i="9" s="1"/>
  <c r="CD47" i="9"/>
  <c r="CG47" i="9" s="1"/>
  <c r="CA47" i="9"/>
  <c r="BW47" i="9"/>
  <c r="BZ47" i="9" s="1"/>
  <c r="BR47" i="9"/>
  <c r="BU47" i="9" s="1"/>
  <c r="BM47" i="9"/>
  <c r="BP47" i="9" s="1"/>
  <c r="BF47" i="9"/>
  <c r="BB47" i="9"/>
  <c r="BE47" i="9" s="1"/>
  <c r="AW47" i="9"/>
  <c r="AZ47" i="9" s="1"/>
  <c r="AQ47" i="9"/>
  <c r="AT47" i="9" s="1"/>
  <c r="AO47" i="9"/>
  <c r="AK47" i="9"/>
  <c r="AN47" i="9" s="1"/>
  <c r="AF47" i="9"/>
  <c r="AI47" i="9" s="1"/>
  <c r="AA47" i="9"/>
  <c r="AD47" i="9" s="1"/>
  <c r="V47" i="9"/>
  <c r="Y47" i="9" s="1"/>
  <c r="Q47" i="9"/>
  <c r="T47" i="9" s="1"/>
  <c r="DL46" i="9"/>
  <c r="CX46" i="9"/>
  <c r="DA46" i="9" s="1"/>
  <c r="CS46" i="9"/>
  <c r="CV46" i="9" s="1"/>
  <c r="CN46" i="9"/>
  <c r="CQ46" i="9" s="1"/>
  <c r="CI46" i="9"/>
  <c r="CL46" i="9" s="1"/>
  <c r="CD46" i="9"/>
  <c r="CG46" i="9" s="1"/>
  <c r="CA46" i="9"/>
  <c r="BW46" i="9"/>
  <c r="BZ46" i="9" s="1"/>
  <c r="BR46" i="9"/>
  <c r="BU46" i="9" s="1"/>
  <c r="BM46" i="9"/>
  <c r="BP46" i="9" s="1"/>
  <c r="BF46" i="9"/>
  <c r="BB46" i="9"/>
  <c r="BE46" i="9" s="1"/>
  <c r="AW46" i="9"/>
  <c r="AZ46" i="9" s="1"/>
  <c r="AQ46" i="9"/>
  <c r="AT46" i="9" s="1"/>
  <c r="AO46" i="9"/>
  <c r="AK46" i="9"/>
  <c r="AN46" i="9" s="1"/>
  <c r="AF46" i="9"/>
  <c r="AI46" i="9" s="1"/>
  <c r="AA46" i="9"/>
  <c r="AD46" i="9" s="1"/>
  <c r="V46" i="9"/>
  <c r="Y46" i="9" s="1"/>
  <c r="Q46" i="9"/>
  <c r="T46" i="9" s="1"/>
  <c r="DL45" i="9"/>
  <c r="CX45" i="9"/>
  <c r="DA45" i="9" s="1"/>
  <c r="CS45" i="9"/>
  <c r="CV45" i="9" s="1"/>
  <c r="CN45" i="9"/>
  <c r="CQ45" i="9" s="1"/>
  <c r="CI45" i="9"/>
  <c r="CL45" i="9" s="1"/>
  <c r="CD45" i="9"/>
  <c r="CG45" i="9" s="1"/>
  <c r="CA45" i="9"/>
  <c r="BW45" i="9"/>
  <c r="BZ45" i="9" s="1"/>
  <c r="BR45" i="9"/>
  <c r="BU45" i="9" s="1"/>
  <c r="BM45" i="9"/>
  <c r="BP45" i="9" s="1"/>
  <c r="BF45" i="9"/>
  <c r="BB45" i="9"/>
  <c r="BE45" i="9" s="1"/>
  <c r="AW45" i="9"/>
  <c r="AZ45" i="9" s="1"/>
  <c r="AQ45" i="9"/>
  <c r="AT45" i="9" s="1"/>
  <c r="AO45" i="9"/>
  <c r="AK45" i="9"/>
  <c r="AN45" i="9" s="1"/>
  <c r="AF45" i="9"/>
  <c r="AI45" i="9" s="1"/>
  <c r="AA45" i="9"/>
  <c r="AD45" i="9" s="1"/>
  <c r="V45" i="9"/>
  <c r="Y45" i="9" s="1"/>
  <c r="Q45" i="9"/>
  <c r="T45" i="9" s="1"/>
  <c r="DL44" i="9"/>
  <c r="CX44" i="9"/>
  <c r="DA44" i="9" s="1"/>
  <c r="CS44" i="9"/>
  <c r="CV44" i="9" s="1"/>
  <c r="CN44" i="9"/>
  <c r="CQ44" i="9" s="1"/>
  <c r="CI44" i="9"/>
  <c r="CL44" i="9" s="1"/>
  <c r="CD44" i="9"/>
  <c r="CG44" i="9" s="1"/>
  <c r="CA44" i="9"/>
  <c r="BW44" i="9"/>
  <c r="BZ44" i="9" s="1"/>
  <c r="BR44" i="9"/>
  <c r="BU44" i="9" s="1"/>
  <c r="BM44" i="9"/>
  <c r="BP44" i="9" s="1"/>
  <c r="BF44" i="9"/>
  <c r="BB44" i="9"/>
  <c r="BE44" i="9" s="1"/>
  <c r="AW44" i="9"/>
  <c r="AZ44" i="9" s="1"/>
  <c r="AQ44" i="9"/>
  <c r="AT44" i="9" s="1"/>
  <c r="AO44" i="9"/>
  <c r="AK44" i="9"/>
  <c r="AN44" i="9" s="1"/>
  <c r="AF44" i="9"/>
  <c r="AI44" i="9" s="1"/>
  <c r="AA44" i="9"/>
  <c r="AD44" i="9" s="1"/>
  <c r="V44" i="9"/>
  <c r="Y44" i="9" s="1"/>
  <c r="Q44" i="9"/>
  <c r="T44" i="9" s="1"/>
  <c r="DL42" i="9"/>
  <c r="CX42" i="9"/>
  <c r="DA42" i="9" s="1"/>
  <c r="CS42" i="9"/>
  <c r="CV42" i="9" s="1"/>
  <c r="CN42" i="9"/>
  <c r="CQ42" i="9" s="1"/>
  <c r="CI42" i="9"/>
  <c r="CL42" i="9" s="1"/>
  <c r="CD42" i="9"/>
  <c r="CG42" i="9" s="1"/>
  <c r="CA42" i="9"/>
  <c r="BW42" i="9"/>
  <c r="BZ42" i="9" s="1"/>
  <c r="BR42" i="9"/>
  <c r="BU42" i="9" s="1"/>
  <c r="BM42" i="9"/>
  <c r="BP42" i="9" s="1"/>
  <c r="BF42" i="9"/>
  <c r="BB42" i="9"/>
  <c r="BE42" i="9" s="1"/>
  <c r="AW42" i="9"/>
  <c r="AZ42" i="9" s="1"/>
  <c r="AQ42" i="9"/>
  <c r="AT42" i="9" s="1"/>
  <c r="AO42" i="9"/>
  <c r="AK42" i="9"/>
  <c r="AN42" i="9" s="1"/>
  <c r="AF42" i="9"/>
  <c r="AI42" i="9" s="1"/>
  <c r="AA42" i="9"/>
  <c r="AD42" i="9" s="1"/>
  <c r="V42" i="9"/>
  <c r="Y42" i="9" s="1"/>
  <c r="Q42" i="9"/>
  <c r="T42" i="9" s="1"/>
  <c r="DL41" i="9"/>
  <c r="CX41" i="9"/>
  <c r="DA41" i="9" s="1"/>
  <c r="CS41" i="9"/>
  <c r="CV41" i="9" s="1"/>
  <c r="CN41" i="9"/>
  <c r="CQ41" i="9" s="1"/>
  <c r="CI41" i="9"/>
  <c r="CL41" i="9" s="1"/>
  <c r="CD41" i="9"/>
  <c r="CG41" i="9" s="1"/>
  <c r="CA41" i="9"/>
  <c r="BW41" i="9"/>
  <c r="BZ41" i="9" s="1"/>
  <c r="BR41" i="9"/>
  <c r="BU41" i="9" s="1"/>
  <c r="BM41" i="9"/>
  <c r="BP41" i="9" s="1"/>
  <c r="BF41" i="9"/>
  <c r="BB41" i="9"/>
  <c r="BE41" i="9" s="1"/>
  <c r="AW41" i="9"/>
  <c r="AZ41" i="9" s="1"/>
  <c r="AQ41" i="9"/>
  <c r="AT41" i="9" s="1"/>
  <c r="AO41" i="9"/>
  <c r="AK41" i="9"/>
  <c r="AN41" i="9" s="1"/>
  <c r="AF41" i="9"/>
  <c r="AI41" i="9" s="1"/>
  <c r="AA41" i="9"/>
  <c r="AD41" i="9" s="1"/>
  <c r="V41" i="9"/>
  <c r="Y41" i="9" s="1"/>
  <c r="Q41" i="9"/>
  <c r="T41" i="9" s="1"/>
  <c r="DL40" i="9"/>
  <c r="CX40" i="9"/>
  <c r="DA40" i="9" s="1"/>
  <c r="CS40" i="9"/>
  <c r="CV40" i="9" s="1"/>
  <c r="CN40" i="9"/>
  <c r="CQ40" i="9" s="1"/>
  <c r="CI40" i="9"/>
  <c r="CL40" i="9" s="1"/>
  <c r="CD40" i="9"/>
  <c r="CG40" i="9" s="1"/>
  <c r="CA40" i="9"/>
  <c r="BW40" i="9"/>
  <c r="BZ40" i="9" s="1"/>
  <c r="BR40" i="9"/>
  <c r="BU40" i="9" s="1"/>
  <c r="BM40" i="9"/>
  <c r="BP40" i="9" s="1"/>
  <c r="BF40" i="9"/>
  <c r="BB40" i="9"/>
  <c r="BE40" i="9" s="1"/>
  <c r="AW40" i="9"/>
  <c r="AZ40" i="9" s="1"/>
  <c r="AQ40" i="9"/>
  <c r="AT40" i="9" s="1"/>
  <c r="AO40" i="9"/>
  <c r="AK40" i="9"/>
  <c r="AN40" i="9" s="1"/>
  <c r="AF40" i="9"/>
  <c r="AI40" i="9" s="1"/>
  <c r="AA40" i="9"/>
  <c r="AD40" i="9" s="1"/>
  <c r="V40" i="9"/>
  <c r="Y40" i="9" s="1"/>
  <c r="Q40" i="9"/>
  <c r="T40" i="9" s="1"/>
  <c r="DL39" i="9"/>
  <c r="CX39" i="9"/>
  <c r="DA39" i="9" s="1"/>
  <c r="CS39" i="9"/>
  <c r="CV39" i="9" s="1"/>
  <c r="CN39" i="9"/>
  <c r="CQ39" i="9" s="1"/>
  <c r="CI39" i="9"/>
  <c r="CL39" i="9" s="1"/>
  <c r="CD39" i="9"/>
  <c r="CG39" i="9" s="1"/>
  <c r="CA39" i="9"/>
  <c r="BW39" i="9"/>
  <c r="BZ39" i="9" s="1"/>
  <c r="BR39" i="9"/>
  <c r="BU39" i="9" s="1"/>
  <c r="BM39" i="9"/>
  <c r="BP39" i="9" s="1"/>
  <c r="BF39" i="9"/>
  <c r="BB39" i="9"/>
  <c r="BE39" i="9" s="1"/>
  <c r="AW39" i="9"/>
  <c r="AZ39" i="9" s="1"/>
  <c r="AQ39" i="9"/>
  <c r="AT39" i="9" s="1"/>
  <c r="AO39" i="9"/>
  <c r="AK39" i="9"/>
  <c r="AN39" i="9" s="1"/>
  <c r="AF39" i="9"/>
  <c r="AI39" i="9" s="1"/>
  <c r="AA39" i="9"/>
  <c r="AD39" i="9" s="1"/>
  <c r="V39" i="9"/>
  <c r="Y39" i="9" s="1"/>
  <c r="Q39" i="9"/>
  <c r="T39" i="9" s="1"/>
  <c r="DL38" i="9"/>
  <c r="CX38" i="9"/>
  <c r="DA38" i="9" s="1"/>
  <c r="CS38" i="9"/>
  <c r="CV38" i="9" s="1"/>
  <c r="CN38" i="9"/>
  <c r="CQ38" i="9" s="1"/>
  <c r="CI38" i="9"/>
  <c r="CL38" i="9" s="1"/>
  <c r="CD38" i="9"/>
  <c r="CG38" i="9" s="1"/>
  <c r="CA38" i="9"/>
  <c r="BW38" i="9"/>
  <c r="BZ38" i="9" s="1"/>
  <c r="BR38" i="9"/>
  <c r="BU38" i="9" s="1"/>
  <c r="BM38" i="9"/>
  <c r="BP38" i="9" s="1"/>
  <c r="BF38" i="9"/>
  <c r="BB38" i="9"/>
  <c r="BE38" i="9" s="1"/>
  <c r="AW38" i="9"/>
  <c r="AZ38" i="9" s="1"/>
  <c r="AQ38" i="9"/>
  <c r="AT38" i="9" s="1"/>
  <c r="AO38" i="9"/>
  <c r="AK38" i="9"/>
  <c r="AN38" i="9" s="1"/>
  <c r="AF38" i="9"/>
  <c r="AI38" i="9" s="1"/>
  <c r="AA38" i="9"/>
  <c r="AD38" i="9" s="1"/>
  <c r="V38" i="9"/>
  <c r="Y38" i="9" s="1"/>
  <c r="Q38" i="9"/>
  <c r="T38" i="9" s="1"/>
  <c r="DL36" i="9"/>
  <c r="CX36" i="9"/>
  <c r="DA36" i="9" s="1"/>
  <c r="CS36" i="9"/>
  <c r="CV36" i="9" s="1"/>
  <c r="CN36" i="9"/>
  <c r="CQ36" i="9" s="1"/>
  <c r="CI36" i="9"/>
  <c r="CL36" i="9" s="1"/>
  <c r="CD36" i="9"/>
  <c r="CG36" i="9" s="1"/>
  <c r="CA36" i="9"/>
  <c r="BW36" i="9"/>
  <c r="BZ36" i="9" s="1"/>
  <c r="BR36" i="9"/>
  <c r="BU36" i="9" s="1"/>
  <c r="BM36" i="9"/>
  <c r="BP36" i="9" s="1"/>
  <c r="BF36" i="9"/>
  <c r="BB36" i="9"/>
  <c r="BE36" i="9" s="1"/>
  <c r="AW36" i="9"/>
  <c r="AZ36" i="9" s="1"/>
  <c r="AQ36" i="9"/>
  <c r="AT36" i="9" s="1"/>
  <c r="AO36" i="9"/>
  <c r="AK36" i="9"/>
  <c r="AN36" i="9" s="1"/>
  <c r="AF36" i="9"/>
  <c r="AI36" i="9" s="1"/>
  <c r="AA36" i="9"/>
  <c r="AD36" i="9" s="1"/>
  <c r="V36" i="9"/>
  <c r="Y36" i="9" s="1"/>
  <c r="Q36" i="9"/>
  <c r="T36" i="9" s="1"/>
  <c r="DL35" i="9"/>
  <c r="CX35" i="9"/>
  <c r="DA35" i="9" s="1"/>
  <c r="CS35" i="9"/>
  <c r="CV35" i="9" s="1"/>
  <c r="CN35" i="9"/>
  <c r="CQ35" i="9" s="1"/>
  <c r="CI35" i="9"/>
  <c r="CL35" i="9" s="1"/>
  <c r="CD35" i="9"/>
  <c r="CG35" i="9" s="1"/>
  <c r="CA35" i="9"/>
  <c r="BW35" i="9"/>
  <c r="BZ35" i="9" s="1"/>
  <c r="BR35" i="9"/>
  <c r="BU35" i="9" s="1"/>
  <c r="BM35" i="9"/>
  <c r="BP35" i="9" s="1"/>
  <c r="BF35" i="9"/>
  <c r="BB35" i="9"/>
  <c r="BE35" i="9" s="1"/>
  <c r="AW35" i="9"/>
  <c r="AZ35" i="9" s="1"/>
  <c r="AQ35" i="9"/>
  <c r="AT35" i="9" s="1"/>
  <c r="AO35" i="9"/>
  <c r="AK35" i="9"/>
  <c r="AN35" i="9" s="1"/>
  <c r="AF35" i="9"/>
  <c r="AI35" i="9" s="1"/>
  <c r="AA35" i="9"/>
  <c r="AD35" i="9" s="1"/>
  <c r="V35" i="9"/>
  <c r="Y35" i="9" s="1"/>
  <c r="Q35" i="9"/>
  <c r="T35" i="9" s="1"/>
  <c r="DL34" i="9"/>
  <c r="CX34" i="9"/>
  <c r="DA34" i="9" s="1"/>
  <c r="CS34" i="9"/>
  <c r="CV34" i="9" s="1"/>
  <c r="CN34" i="9"/>
  <c r="CQ34" i="9" s="1"/>
  <c r="CI34" i="9"/>
  <c r="CL34" i="9" s="1"/>
  <c r="CD34" i="9"/>
  <c r="CG34" i="9" s="1"/>
  <c r="CA34" i="9"/>
  <c r="BW34" i="9"/>
  <c r="BZ34" i="9" s="1"/>
  <c r="BR34" i="9"/>
  <c r="BU34" i="9" s="1"/>
  <c r="BM34" i="9"/>
  <c r="BP34" i="9" s="1"/>
  <c r="BF34" i="9"/>
  <c r="BB34" i="9"/>
  <c r="BE34" i="9" s="1"/>
  <c r="AW34" i="9"/>
  <c r="AZ34" i="9" s="1"/>
  <c r="AQ34" i="9"/>
  <c r="AT34" i="9" s="1"/>
  <c r="AO34" i="9"/>
  <c r="AK34" i="9"/>
  <c r="AN34" i="9" s="1"/>
  <c r="AF34" i="9"/>
  <c r="AI34" i="9" s="1"/>
  <c r="AA34" i="9"/>
  <c r="AD34" i="9" s="1"/>
  <c r="V34" i="9"/>
  <c r="Y34" i="9" s="1"/>
  <c r="Q34" i="9"/>
  <c r="T34" i="9" s="1"/>
  <c r="DL33" i="9"/>
  <c r="CX33" i="9"/>
  <c r="DA33" i="9" s="1"/>
  <c r="CS33" i="9"/>
  <c r="CV33" i="9" s="1"/>
  <c r="CN33" i="9"/>
  <c r="CQ33" i="9" s="1"/>
  <c r="CI33" i="9"/>
  <c r="CL33" i="9" s="1"/>
  <c r="CD33" i="9"/>
  <c r="CG33" i="9" s="1"/>
  <c r="CA33" i="9"/>
  <c r="BW33" i="9"/>
  <c r="BZ33" i="9" s="1"/>
  <c r="BR33" i="9"/>
  <c r="BU33" i="9" s="1"/>
  <c r="BM33" i="9"/>
  <c r="BP33" i="9" s="1"/>
  <c r="BF33" i="9"/>
  <c r="BB33" i="9"/>
  <c r="BE33" i="9" s="1"/>
  <c r="AW33" i="9"/>
  <c r="AZ33" i="9" s="1"/>
  <c r="AQ33" i="9"/>
  <c r="AT33" i="9" s="1"/>
  <c r="AO33" i="9"/>
  <c r="AK33" i="9"/>
  <c r="AN33" i="9" s="1"/>
  <c r="AF33" i="9"/>
  <c r="AI33" i="9" s="1"/>
  <c r="AA33" i="9"/>
  <c r="AD33" i="9" s="1"/>
  <c r="V33" i="9"/>
  <c r="Y33" i="9" s="1"/>
  <c r="Q33" i="9"/>
  <c r="T33" i="9" s="1"/>
  <c r="DL32" i="9"/>
  <c r="CX32" i="9"/>
  <c r="DA32" i="9" s="1"/>
  <c r="CS32" i="9"/>
  <c r="CV32" i="9" s="1"/>
  <c r="CN32" i="9"/>
  <c r="CQ32" i="9" s="1"/>
  <c r="CI32" i="9"/>
  <c r="CL32" i="9" s="1"/>
  <c r="CD32" i="9"/>
  <c r="CG32" i="9" s="1"/>
  <c r="CA32" i="9"/>
  <c r="BW32" i="9"/>
  <c r="BZ32" i="9" s="1"/>
  <c r="BR32" i="9"/>
  <c r="BU32" i="9" s="1"/>
  <c r="BM32" i="9"/>
  <c r="BP32" i="9" s="1"/>
  <c r="BF32" i="9"/>
  <c r="BB32" i="9"/>
  <c r="BE32" i="9" s="1"/>
  <c r="AW32" i="9"/>
  <c r="AZ32" i="9" s="1"/>
  <c r="AQ32" i="9"/>
  <c r="AT32" i="9" s="1"/>
  <c r="AO32" i="9"/>
  <c r="AK32" i="9"/>
  <c r="AN32" i="9" s="1"/>
  <c r="AF32" i="9"/>
  <c r="AI32" i="9" s="1"/>
  <c r="AA32" i="9"/>
  <c r="AD32" i="9" s="1"/>
  <c r="V32" i="9"/>
  <c r="Y32" i="9" s="1"/>
  <c r="Q32" i="9"/>
  <c r="T32" i="9" s="1"/>
  <c r="DL31" i="9"/>
  <c r="CX31" i="9"/>
  <c r="DA31" i="9" s="1"/>
  <c r="CV31" i="9"/>
  <c r="CS31" i="9"/>
  <c r="CN31" i="9"/>
  <c r="CQ31" i="9" s="1"/>
  <c r="CI31" i="9"/>
  <c r="CL31" i="9" s="1"/>
  <c r="CD31" i="9"/>
  <c r="CG31" i="9" s="1"/>
  <c r="CA31" i="9"/>
  <c r="BW31" i="9"/>
  <c r="BZ31" i="9" s="1"/>
  <c r="BR31" i="9"/>
  <c r="BU31" i="9" s="1"/>
  <c r="BM31" i="9"/>
  <c r="BP31" i="9" s="1"/>
  <c r="BF31" i="9"/>
  <c r="BB31" i="9"/>
  <c r="BE31" i="9" s="1"/>
  <c r="AW31" i="9"/>
  <c r="AZ31" i="9" s="1"/>
  <c r="AQ31" i="9"/>
  <c r="AT31" i="9" s="1"/>
  <c r="AO31" i="9"/>
  <c r="AK31" i="9"/>
  <c r="AN31" i="9" s="1"/>
  <c r="AF31" i="9"/>
  <c r="AI31" i="9" s="1"/>
  <c r="AA31" i="9"/>
  <c r="AD31" i="9" s="1"/>
  <c r="V31" i="9"/>
  <c r="Y31" i="9" s="1"/>
  <c r="Q31" i="9"/>
  <c r="T31" i="9" s="1"/>
  <c r="DL30" i="9"/>
  <c r="CX30" i="9"/>
  <c r="DA30" i="9" s="1"/>
  <c r="CS30" i="9"/>
  <c r="CV30" i="9" s="1"/>
  <c r="CN30" i="9"/>
  <c r="CQ30" i="9" s="1"/>
  <c r="CI30" i="9"/>
  <c r="CL30" i="9" s="1"/>
  <c r="CD30" i="9"/>
  <c r="CG30" i="9" s="1"/>
  <c r="CA30" i="9"/>
  <c r="BW30" i="9"/>
  <c r="BZ30" i="9" s="1"/>
  <c r="BR30" i="9"/>
  <c r="BU30" i="9" s="1"/>
  <c r="BM30" i="9"/>
  <c r="BP30" i="9" s="1"/>
  <c r="BF30" i="9"/>
  <c r="BB30" i="9"/>
  <c r="BE30" i="9" s="1"/>
  <c r="AW30" i="9"/>
  <c r="AZ30" i="9" s="1"/>
  <c r="AQ30" i="9"/>
  <c r="AT30" i="9" s="1"/>
  <c r="AO30" i="9"/>
  <c r="AK30" i="9"/>
  <c r="AN30" i="9" s="1"/>
  <c r="AF30" i="9"/>
  <c r="AI30" i="9" s="1"/>
  <c r="AA30" i="9"/>
  <c r="AD30" i="9" s="1"/>
  <c r="V30" i="9"/>
  <c r="Y30" i="9" s="1"/>
  <c r="Q30" i="9"/>
  <c r="T30" i="9" s="1"/>
  <c r="DL29" i="9"/>
  <c r="CX29" i="9"/>
  <c r="DA29" i="9" s="1"/>
  <c r="CS29" i="9"/>
  <c r="CV29" i="9" s="1"/>
  <c r="CN29" i="9"/>
  <c r="CQ29" i="9" s="1"/>
  <c r="CI29" i="9"/>
  <c r="CL29" i="9" s="1"/>
  <c r="CD29" i="9"/>
  <c r="CG29" i="9" s="1"/>
  <c r="CA29" i="9"/>
  <c r="BW29" i="9"/>
  <c r="BZ29" i="9" s="1"/>
  <c r="BR29" i="9"/>
  <c r="BU29" i="9" s="1"/>
  <c r="BM29" i="9"/>
  <c r="BP29" i="9" s="1"/>
  <c r="BF29" i="9"/>
  <c r="BB29" i="9"/>
  <c r="BE29" i="9" s="1"/>
  <c r="AW29" i="9"/>
  <c r="AZ29" i="9" s="1"/>
  <c r="AQ29" i="9"/>
  <c r="AT29" i="9" s="1"/>
  <c r="AO29" i="9"/>
  <c r="AK29" i="9"/>
  <c r="AN29" i="9" s="1"/>
  <c r="AF29" i="9"/>
  <c r="AI29" i="9" s="1"/>
  <c r="AA29" i="9"/>
  <c r="AD29" i="9" s="1"/>
  <c r="V29" i="9"/>
  <c r="Y29" i="9" s="1"/>
  <c r="Q29" i="9"/>
  <c r="T29" i="9" s="1"/>
  <c r="DL28" i="9"/>
  <c r="CX28" i="9"/>
  <c r="DA28" i="9" s="1"/>
  <c r="CS28" i="9"/>
  <c r="CV28" i="9" s="1"/>
  <c r="CN28" i="9"/>
  <c r="CQ28" i="9" s="1"/>
  <c r="CI28" i="9"/>
  <c r="CL28" i="9" s="1"/>
  <c r="CD28" i="9"/>
  <c r="CG28" i="9" s="1"/>
  <c r="CA28" i="9"/>
  <c r="BW28" i="9"/>
  <c r="BZ28" i="9" s="1"/>
  <c r="BR28" i="9"/>
  <c r="BU28" i="9" s="1"/>
  <c r="BM28" i="9"/>
  <c r="BP28" i="9" s="1"/>
  <c r="BF28" i="9"/>
  <c r="BB28" i="9"/>
  <c r="BE28" i="9" s="1"/>
  <c r="AW28" i="9"/>
  <c r="AZ28" i="9" s="1"/>
  <c r="AQ28" i="9"/>
  <c r="AT28" i="9" s="1"/>
  <c r="AO28" i="9"/>
  <c r="AK28" i="9"/>
  <c r="AN28" i="9" s="1"/>
  <c r="AF28" i="9"/>
  <c r="AI28" i="9" s="1"/>
  <c r="AA28" i="9"/>
  <c r="AD28" i="9" s="1"/>
  <c r="V28" i="9"/>
  <c r="Y28" i="9" s="1"/>
  <c r="Q28" i="9"/>
  <c r="T28" i="9" s="1"/>
  <c r="DL27" i="9"/>
  <c r="CX27" i="9"/>
  <c r="DA27" i="9" s="1"/>
  <c r="CS27" i="9"/>
  <c r="CV27" i="9" s="1"/>
  <c r="CN27" i="9"/>
  <c r="CQ27" i="9" s="1"/>
  <c r="CI27" i="9"/>
  <c r="CL27" i="9" s="1"/>
  <c r="CD27" i="9"/>
  <c r="CG27" i="9" s="1"/>
  <c r="CA27" i="9"/>
  <c r="BW27" i="9"/>
  <c r="BZ27" i="9" s="1"/>
  <c r="BR27" i="9"/>
  <c r="BU27" i="9" s="1"/>
  <c r="BM27" i="9"/>
  <c r="BP27" i="9" s="1"/>
  <c r="BF27" i="9"/>
  <c r="BB27" i="9"/>
  <c r="BE27" i="9" s="1"/>
  <c r="AW27" i="9"/>
  <c r="AZ27" i="9" s="1"/>
  <c r="AQ27" i="9"/>
  <c r="AT27" i="9" s="1"/>
  <c r="AO27" i="9"/>
  <c r="AK27" i="9"/>
  <c r="AN27" i="9" s="1"/>
  <c r="AF27" i="9"/>
  <c r="AI27" i="9" s="1"/>
  <c r="AA27" i="9"/>
  <c r="AD27" i="9" s="1"/>
  <c r="V27" i="9"/>
  <c r="Y27" i="9" s="1"/>
  <c r="Q27" i="9"/>
  <c r="T27" i="9" s="1"/>
  <c r="DL26" i="9"/>
  <c r="CX26" i="9"/>
  <c r="DA26" i="9" s="1"/>
  <c r="CS26" i="9"/>
  <c r="CV26" i="9" s="1"/>
  <c r="CN26" i="9"/>
  <c r="CQ26" i="9" s="1"/>
  <c r="CI26" i="9"/>
  <c r="CL26" i="9" s="1"/>
  <c r="CD26" i="9"/>
  <c r="CG26" i="9" s="1"/>
  <c r="CA26" i="9"/>
  <c r="BW26" i="9"/>
  <c r="BZ26" i="9" s="1"/>
  <c r="BR26" i="9"/>
  <c r="BU26" i="9" s="1"/>
  <c r="BM26" i="9"/>
  <c r="BP26" i="9" s="1"/>
  <c r="BF26" i="9"/>
  <c r="BB26" i="9"/>
  <c r="BE26" i="9" s="1"/>
  <c r="AW26" i="9"/>
  <c r="AZ26" i="9" s="1"/>
  <c r="AQ26" i="9"/>
  <c r="AT26" i="9" s="1"/>
  <c r="AO26" i="9"/>
  <c r="AK26" i="9"/>
  <c r="AN26" i="9" s="1"/>
  <c r="AF26" i="9"/>
  <c r="AI26" i="9" s="1"/>
  <c r="AA26" i="9"/>
  <c r="AD26" i="9" s="1"/>
  <c r="V26" i="9"/>
  <c r="Y26" i="9" s="1"/>
  <c r="Q26" i="9"/>
  <c r="T26" i="9" s="1"/>
  <c r="DL25" i="9"/>
  <c r="CX25" i="9"/>
  <c r="DA25" i="9" s="1"/>
  <c r="CS25" i="9"/>
  <c r="CV25" i="9" s="1"/>
  <c r="CN25" i="9"/>
  <c r="CQ25" i="9" s="1"/>
  <c r="CI25" i="9"/>
  <c r="CL25" i="9" s="1"/>
  <c r="CD25" i="9"/>
  <c r="CG25" i="9" s="1"/>
  <c r="CA25" i="9"/>
  <c r="BW25" i="9"/>
  <c r="BZ25" i="9" s="1"/>
  <c r="BR25" i="9"/>
  <c r="BU25" i="9" s="1"/>
  <c r="BM25" i="9"/>
  <c r="BP25" i="9" s="1"/>
  <c r="BF25" i="9"/>
  <c r="BB25" i="9"/>
  <c r="BE25" i="9" s="1"/>
  <c r="AW25" i="9"/>
  <c r="AZ25" i="9" s="1"/>
  <c r="AQ25" i="9"/>
  <c r="AT25" i="9" s="1"/>
  <c r="AO25" i="9"/>
  <c r="AK25" i="9"/>
  <c r="AN25" i="9" s="1"/>
  <c r="AF25" i="9"/>
  <c r="AI25" i="9" s="1"/>
  <c r="AA25" i="9"/>
  <c r="AD25" i="9" s="1"/>
  <c r="V25" i="9"/>
  <c r="Y25" i="9" s="1"/>
  <c r="Q25" i="9"/>
  <c r="T25" i="9" s="1"/>
  <c r="DL24" i="9"/>
  <c r="CX24" i="9"/>
  <c r="DA24" i="9" s="1"/>
  <c r="CS24" i="9"/>
  <c r="CV24" i="9" s="1"/>
  <c r="CN24" i="9"/>
  <c r="CQ24" i="9" s="1"/>
  <c r="CI24" i="9"/>
  <c r="CL24" i="9" s="1"/>
  <c r="CD24" i="9"/>
  <c r="CG24" i="9" s="1"/>
  <c r="CA24" i="9"/>
  <c r="BW24" i="9"/>
  <c r="BZ24" i="9" s="1"/>
  <c r="BR24" i="9"/>
  <c r="BU24" i="9" s="1"/>
  <c r="BM24" i="9"/>
  <c r="BP24" i="9" s="1"/>
  <c r="BF24" i="9"/>
  <c r="BB24" i="9"/>
  <c r="BE24" i="9" s="1"/>
  <c r="AW24" i="9"/>
  <c r="AZ24" i="9" s="1"/>
  <c r="AQ24" i="9"/>
  <c r="AT24" i="9" s="1"/>
  <c r="AO24" i="9"/>
  <c r="AK24" i="9"/>
  <c r="AN24" i="9" s="1"/>
  <c r="AF24" i="9"/>
  <c r="AI24" i="9" s="1"/>
  <c r="AA24" i="9"/>
  <c r="AD24" i="9" s="1"/>
  <c r="V24" i="9"/>
  <c r="Y24" i="9" s="1"/>
  <c r="Q24" i="9"/>
  <c r="T24" i="9" s="1"/>
  <c r="DL23" i="9"/>
  <c r="CX23" i="9"/>
  <c r="DA23" i="9" s="1"/>
  <c r="CS23" i="9"/>
  <c r="CV23" i="9" s="1"/>
  <c r="CN23" i="9"/>
  <c r="CQ23" i="9" s="1"/>
  <c r="CI23" i="9"/>
  <c r="CL23" i="9" s="1"/>
  <c r="CD23" i="9"/>
  <c r="CG23" i="9" s="1"/>
  <c r="CA23" i="9"/>
  <c r="BW23" i="9"/>
  <c r="BZ23" i="9" s="1"/>
  <c r="BR23" i="9"/>
  <c r="BU23" i="9" s="1"/>
  <c r="BM23" i="9"/>
  <c r="BP23" i="9" s="1"/>
  <c r="BF23" i="9"/>
  <c r="BB23" i="9"/>
  <c r="BE23" i="9" s="1"/>
  <c r="AW23" i="9"/>
  <c r="AZ23" i="9" s="1"/>
  <c r="AQ23" i="9"/>
  <c r="AT23" i="9" s="1"/>
  <c r="AO23" i="9"/>
  <c r="AK23" i="9"/>
  <c r="AN23" i="9" s="1"/>
  <c r="AF23" i="9"/>
  <c r="AI23" i="9" s="1"/>
  <c r="AA23" i="9"/>
  <c r="AD23" i="9" s="1"/>
  <c r="V23" i="9"/>
  <c r="Y23" i="9" s="1"/>
  <c r="Q23" i="9"/>
  <c r="T23" i="9" s="1"/>
  <c r="DL22" i="9"/>
  <c r="CX22" i="9"/>
  <c r="DA22" i="9" s="1"/>
  <c r="CS22" i="9"/>
  <c r="CV22" i="9" s="1"/>
  <c r="CN22" i="9"/>
  <c r="CQ22" i="9" s="1"/>
  <c r="CI22" i="9"/>
  <c r="CL22" i="9" s="1"/>
  <c r="CD22" i="9"/>
  <c r="CG22" i="9" s="1"/>
  <c r="CA22" i="9"/>
  <c r="BW22" i="9"/>
  <c r="BZ22" i="9" s="1"/>
  <c r="BR22" i="9"/>
  <c r="BU22" i="9" s="1"/>
  <c r="BM22" i="9"/>
  <c r="BP22" i="9" s="1"/>
  <c r="BF22" i="9"/>
  <c r="BB22" i="9"/>
  <c r="BE22" i="9" s="1"/>
  <c r="AW22" i="9"/>
  <c r="AZ22" i="9" s="1"/>
  <c r="AQ22" i="9"/>
  <c r="AT22" i="9" s="1"/>
  <c r="AO22" i="9"/>
  <c r="AK22" i="9"/>
  <c r="AN22" i="9" s="1"/>
  <c r="AF22" i="9"/>
  <c r="AI22" i="9" s="1"/>
  <c r="AA22" i="9"/>
  <c r="AD22" i="9" s="1"/>
  <c r="V22" i="9"/>
  <c r="Y22" i="9" s="1"/>
  <c r="Q22" i="9"/>
  <c r="T22" i="9" s="1"/>
  <c r="DL19" i="9"/>
  <c r="CX19" i="9"/>
  <c r="DA19" i="9" s="1"/>
  <c r="CS19" i="9"/>
  <c r="CV19" i="9" s="1"/>
  <c r="CN19" i="9"/>
  <c r="CQ19" i="9" s="1"/>
  <c r="CI19" i="9"/>
  <c r="CL19" i="9" s="1"/>
  <c r="CD19" i="9"/>
  <c r="CG19" i="9" s="1"/>
  <c r="CA19" i="9"/>
  <c r="BW19" i="9"/>
  <c r="BZ19" i="9" s="1"/>
  <c r="BR19" i="9"/>
  <c r="BU19" i="9" s="1"/>
  <c r="BM19" i="9"/>
  <c r="BP19" i="9" s="1"/>
  <c r="BF19" i="9"/>
  <c r="BB19" i="9"/>
  <c r="BE19" i="9" s="1"/>
  <c r="AW19" i="9"/>
  <c r="AZ19" i="9" s="1"/>
  <c r="AQ19" i="9"/>
  <c r="AT19" i="9" s="1"/>
  <c r="AO19" i="9"/>
  <c r="AK19" i="9"/>
  <c r="AN19" i="9" s="1"/>
  <c r="AF19" i="9"/>
  <c r="AI19" i="9" s="1"/>
  <c r="AA19" i="9"/>
  <c r="AD19" i="9" s="1"/>
  <c r="V19" i="9"/>
  <c r="Y19" i="9" s="1"/>
  <c r="Q19" i="9"/>
  <c r="T19" i="9" s="1"/>
  <c r="DL17" i="9"/>
  <c r="CX17" i="9"/>
  <c r="DA17" i="9" s="1"/>
  <c r="CS17" i="9"/>
  <c r="CV17" i="9" s="1"/>
  <c r="CN17" i="9"/>
  <c r="CQ17" i="9" s="1"/>
  <c r="CI17" i="9"/>
  <c r="CL17" i="9" s="1"/>
  <c r="CD17" i="9"/>
  <c r="CG17" i="9" s="1"/>
  <c r="CA17" i="9"/>
  <c r="BW17" i="9"/>
  <c r="BZ17" i="9" s="1"/>
  <c r="BR17" i="9"/>
  <c r="BU17" i="9" s="1"/>
  <c r="BM17" i="9"/>
  <c r="BP17" i="9" s="1"/>
  <c r="BF17" i="9"/>
  <c r="BB17" i="9"/>
  <c r="BE17" i="9" s="1"/>
  <c r="AW17" i="9"/>
  <c r="AZ17" i="9" s="1"/>
  <c r="AQ17" i="9"/>
  <c r="AT17" i="9" s="1"/>
  <c r="AO17" i="9"/>
  <c r="AK17" i="9"/>
  <c r="AN17" i="9" s="1"/>
  <c r="AF17" i="9"/>
  <c r="AI17" i="9" s="1"/>
  <c r="AA17" i="9"/>
  <c r="AD17" i="9" s="1"/>
  <c r="V17" i="9"/>
  <c r="Y17" i="9" s="1"/>
  <c r="Q17" i="9"/>
  <c r="T17" i="9" s="1"/>
  <c r="DL16" i="9"/>
  <c r="CX16" i="9"/>
  <c r="DA16" i="9" s="1"/>
  <c r="CS16" i="9"/>
  <c r="CV16" i="9" s="1"/>
  <c r="CN16" i="9"/>
  <c r="CQ16" i="9" s="1"/>
  <c r="CI16" i="9"/>
  <c r="CL16" i="9" s="1"/>
  <c r="CD16" i="9"/>
  <c r="CG16" i="9" s="1"/>
  <c r="CA16" i="9"/>
  <c r="BW16" i="9"/>
  <c r="BZ16" i="9" s="1"/>
  <c r="BR16" i="9"/>
  <c r="BU16" i="9" s="1"/>
  <c r="BM16" i="9"/>
  <c r="BP16" i="9" s="1"/>
  <c r="BF16" i="9"/>
  <c r="BB16" i="9"/>
  <c r="BE16" i="9" s="1"/>
  <c r="AW16" i="9"/>
  <c r="AZ16" i="9" s="1"/>
  <c r="AQ16" i="9"/>
  <c r="AT16" i="9" s="1"/>
  <c r="AO16" i="9"/>
  <c r="AK16" i="9"/>
  <c r="AN16" i="9" s="1"/>
  <c r="AF16" i="9"/>
  <c r="AI16" i="9" s="1"/>
  <c r="AA16" i="9"/>
  <c r="AD16" i="9" s="1"/>
  <c r="V16" i="9"/>
  <c r="Y16" i="9" s="1"/>
  <c r="Q16" i="9"/>
  <c r="T16" i="9" s="1"/>
  <c r="DL15" i="9"/>
  <c r="CX15" i="9"/>
  <c r="DA15" i="9" s="1"/>
  <c r="CS15" i="9"/>
  <c r="CV15" i="9" s="1"/>
  <c r="CN15" i="9"/>
  <c r="CQ15" i="9" s="1"/>
  <c r="CI15" i="9"/>
  <c r="CL15" i="9" s="1"/>
  <c r="CD15" i="9"/>
  <c r="CG15" i="9" s="1"/>
  <c r="CA15" i="9"/>
  <c r="BW15" i="9"/>
  <c r="BZ15" i="9" s="1"/>
  <c r="BR15" i="9"/>
  <c r="BU15" i="9" s="1"/>
  <c r="BM15" i="9"/>
  <c r="BP15" i="9" s="1"/>
  <c r="BF15" i="9"/>
  <c r="BB15" i="9"/>
  <c r="BE15" i="9" s="1"/>
  <c r="AW15" i="9"/>
  <c r="AZ15" i="9" s="1"/>
  <c r="AQ15" i="9"/>
  <c r="AT15" i="9" s="1"/>
  <c r="AO15" i="9"/>
  <c r="AK15" i="9"/>
  <c r="AN15" i="9" s="1"/>
  <c r="AF15" i="9"/>
  <c r="AI15" i="9" s="1"/>
  <c r="AA15" i="9"/>
  <c r="AD15" i="9" s="1"/>
  <c r="V15" i="9"/>
  <c r="Y15" i="9" s="1"/>
  <c r="Q15" i="9"/>
  <c r="T15" i="9" s="1"/>
  <c r="DL13" i="9"/>
  <c r="CX13" i="9"/>
  <c r="DA13" i="9" s="1"/>
  <c r="CS13" i="9"/>
  <c r="CV13" i="9" s="1"/>
  <c r="CN13" i="9"/>
  <c r="CQ13" i="9" s="1"/>
  <c r="CI13" i="9"/>
  <c r="CL13" i="9" s="1"/>
  <c r="CD13" i="9"/>
  <c r="CG13" i="9" s="1"/>
  <c r="CA13" i="9"/>
  <c r="BW13" i="9"/>
  <c r="BZ13" i="9" s="1"/>
  <c r="BR13" i="9"/>
  <c r="BU13" i="9" s="1"/>
  <c r="BM13" i="9"/>
  <c r="BP13" i="9" s="1"/>
  <c r="BF13" i="9"/>
  <c r="BB13" i="9"/>
  <c r="BE13" i="9" s="1"/>
  <c r="AW13" i="9"/>
  <c r="AZ13" i="9" s="1"/>
  <c r="AQ13" i="9"/>
  <c r="AT13" i="9" s="1"/>
  <c r="AO13" i="9"/>
  <c r="AK13" i="9"/>
  <c r="AN13" i="9" s="1"/>
  <c r="AF13" i="9"/>
  <c r="AI13" i="9" s="1"/>
  <c r="AA13" i="9"/>
  <c r="AD13" i="9" s="1"/>
  <c r="V13" i="9"/>
  <c r="Y13" i="9" s="1"/>
  <c r="Q13" i="9"/>
  <c r="T13" i="9" s="1"/>
  <c r="DL12" i="9"/>
  <c r="CX12" i="9"/>
  <c r="DA12" i="9" s="1"/>
  <c r="CS12" i="9"/>
  <c r="CV12" i="9" s="1"/>
  <c r="CN12" i="9"/>
  <c r="CQ12" i="9" s="1"/>
  <c r="CI12" i="9"/>
  <c r="CL12" i="9" s="1"/>
  <c r="CD12" i="9"/>
  <c r="CG12" i="9" s="1"/>
  <c r="CA12" i="9"/>
  <c r="BW12" i="9"/>
  <c r="BZ12" i="9" s="1"/>
  <c r="BR12" i="9"/>
  <c r="BU12" i="9" s="1"/>
  <c r="BM12" i="9"/>
  <c r="BP12" i="9" s="1"/>
  <c r="BF12" i="9"/>
  <c r="BB12" i="9"/>
  <c r="BE12" i="9" s="1"/>
  <c r="AW12" i="9"/>
  <c r="AZ12" i="9" s="1"/>
  <c r="AQ12" i="9"/>
  <c r="AT12" i="9" s="1"/>
  <c r="AO12" i="9"/>
  <c r="AK12" i="9"/>
  <c r="AN12" i="9" s="1"/>
  <c r="AF12" i="9"/>
  <c r="AI12" i="9" s="1"/>
  <c r="AA12" i="9"/>
  <c r="AD12" i="9" s="1"/>
  <c r="V12" i="9"/>
  <c r="Y12" i="9" s="1"/>
  <c r="Q12" i="9"/>
  <c r="T12" i="9" s="1"/>
  <c r="DL11" i="9"/>
  <c r="CX11" i="9"/>
  <c r="DA11" i="9" s="1"/>
  <c r="CS11" i="9"/>
  <c r="CV11" i="9" s="1"/>
  <c r="CN11" i="9"/>
  <c r="CQ11" i="9" s="1"/>
  <c r="CI11" i="9"/>
  <c r="CL11" i="9" s="1"/>
  <c r="CD11" i="9"/>
  <c r="CG11" i="9" s="1"/>
  <c r="CA11" i="9"/>
  <c r="BW11" i="9"/>
  <c r="BZ11" i="9" s="1"/>
  <c r="BR11" i="9"/>
  <c r="BU11" i="9" s="1"/>
  <c r="BM11" i="9"/>
  <c r="BP11" i="9" s="1"/>
  <c r="BF11" i="9"/>
  <c r="BB11" i="9"/>
  <c r="BE11" i="9" s="1"/>
  <c r="AW11" i="9"/>
  <c r="AZ11" i="9" s="1"/>
  <c r="AQ11" i="9"/>
  <c r="AT11" i="9" s="1"/>
  <c r="AO11" i="9"/>
  <c r="AK11" i="9"/>
  <c r="AN11" i="9" s="1"/>
  <c r="AF11" i="9"/>
  <c r="AI11" i="9" s="1"/>
  <c r="AA11" i="9"/>
  <c r="AD11" i="9" s="1"/>
  <c r="V11" i="9"/>
  <c r="Y11" i="9" s="1"/>
  <c r="Q11" i="9"/>
  <c r="T11" i="9" s="1"/>
  <c r="DL10" i="9"/>
  <c r="CX10" i="9"/>
  <c r="DA10" i="9" s="1"/>
  <c r="CS10" i="9"/>
  <c r="CV10" i="9" s="1"/>
  <c r="CN10" i="9"/>
  <c r="CQ10" i="9" s="1"/>
  <c r="CI10" i="9"/>
  <c r="CL10" i="9" s="1"/>
  <c r="CD10" i="9"/>
  <c r="CG10" i="9" s="1"/>
  <c r="CA10" i="9"/>
  <c r="BW10" i="9"/>
  <c r="BZ10" i="9" s="1"/>
  <c r="BR10" i="9"/>
  <c r="BU10" i="9" s="1"/>
  <c r="BM10" i="9"/>
  <c r="BP10" i="9" s="1"/>
  <c r="BF10" i="9"/>
  <c r="BB10" i="9"/>
  <c r="BE10" i="9" s="1"/>
  <c r="AW10" i="9"/>
  <c r="AZ10" i="9" s="1"/>
  <c r="AQ10" i="9"/>
  <c r="AT10" i="9" s="1"/>
  <c r="AO10" i="9"/>
  <c r="AK10" i="9"/>
  <c r="AN10" i="9" s="1"/>
  <c r="AF10" i="9"/>
  <c r="AI10" i="9" s="1"/>
  <c r="AA10" i="9"/>
  <c r="AD10" i="9" s="1"/>
  <c r="V10" i="9"/>
  <c r="Y10" i="9" s="1"/>
  <c r="Q10" i="9"/>
  <c r="T10" i="9" s="1"/>
  <c r="DL9" i="9"/>
  <c r="CX9" i="9"/>
  <c r="DA9" i="9" s="1"/>
  <c r="CS9" i="9"/>
  <c r="CV9" i="9" s="1"/>
  <c r="CN9" i="9"/>
  <c r="CQ9" i="9" s="1"/>
  <c r="CI9" i="9"/>
  <c r="CL9" i="9" s="1"/>
  <c r="CD9" i="9"/>
  <c r="CG9" i="9" s="1"/>
  <c r="CA9" i="9"/>
  <c r="BW9" i="9"/>
  <c r="BZ9" i="9" s="1"/>
  <c r="BR9" i="9"/>
  <c r="BU9" i="9" s="1"/>
  <c r="BM9" i="9"/>
  <c r="BP9" i="9" s="1"/>
  <c r="BF9" i="9"/>
  <c r="BB9" i="9"/>
  <c r="BE9" i="9" s="1"/>
  <c r="AW9" i="9"/>
  <c r="AZ9" i="9" s="1"/>
  <c r="AQ9" i="9"/>
  <c r="AT9" i="9" s="1"/>
  <c r="AO9" i="9"/>
  <c r="AK9" i="9"/>
  <c r="AN9" i="9" s="1"/>
  <c r="AF9" i="9"/>
  <c r="AI9" i="9" s="1"/>
  <c r="AA9" i="9"/>
  <c r="AD9" i="9" s="1"/>
  <c r="V9" i="9"/>
  <c r="Y9" i="9" s="1"/>
  <c r="Q9" i="9"/>
  <c r="T9" i="9" s="1"/>
  <c r="DL7" i="9"/>
  <c r="DM7" i="9" s="1"/>
  <c r="DN7" i="9" s="1"/>
  <c r="DP7" i="9" s="1"/>
  <c r="K7" i="9"/>
  <c r="N7" i="9" s="1"/>
  <c r="K57" i="9"/>
  <c r="DB57" i="9" s="1"/>
  <c r="DC57" i="9" s="1"/>
  <c r="DF57" i="9" s="1"/>
  <c r="K56" i="9"/>
  <c r="N56" i="9" s="1"/>
  <c r="K55" i="9"/>
  <c r="DB55" i="9" s="1"/>
  <c r="DC55" i="9" s="1"/>
  <c r="DF55" i="9" s="1"/>
  <c r="K54" i="9"/>
  <c r="N54" i="9" s="1"/>
  <c r="K53" i="9"/>
  <c r="DB53" i="9" s="1"/>
  <c r="DC53" i="9" s="1"/>
  <c r="DF53" i="9" s="1"/>
  <c r="K52" i="9"/>
  <c r="N52" i="9" s="1"/>
  <c r="K51" i="9"/>
  <c r="DB51" i="9" s="1"/>
  <c r="DC51" i="9" s="1"/>
  <c r="DF51" i="9" s="1"/>
  <c r="K50" i="9"/>
  <c r="N50" i="9" s="1"/>
  <c r="K48" i="9"/>
  <c r="DB48" i="9" s="1"/>
  <c r="DC48" i="9" s="1"/>
  <c r="DF48" i="9" s="1"/>
  <c r="K47" i="9"/>
  <c r="DB47" i="9" s="1"/>
  <c r="DC47" i="9" s="1"/>
  <c r="DF47" i="9" s="1"/>
  <c r="K46" i="9"/>
  <c r="N46" i="9" s="1"/>
  <c r="K45" i="9"/>
  <c r="N45" i="9" s="1"/>
  <c r="K44" i="9"/>
  <c r="N44" i="9" s="1"/>
  <c r="K42" i="9"/>
  <c r="N42" i="9" s="1"/>
  <c r="K41" i="9"/>
  <c r="N41" i="9" s="1"/>
  <c r="K40" i="9"/>
  <c r="DB40" i="9" s="1"/>
  <c r="DC40" i="9" s="1"/>
  <c r="DF40" i="9" s="1"/>
  <c r="K39" i="9"/>
  <c r="DB39" i="9" s="1"/>
  <c r="DC39" i="9" s="1"/>
  <c r="DF39" i="9" s="1"/>
  <c r="K38" i="9"/>
  <c r="N38" i="9" s="1"/>
  <c r="K36" i="9"/>
  <c r="DB36" i="9" s="1"/>
  <c r="DC36" i="9" s="1"/>
  <c r="DF36" i="9" s="1"/>
  <c r="K35" i="9"/>
  <c r="N35" i="9" s="1"/>
  <c r="K34" i="9"/>
  <c r="N34" i="9" s="1"/>
  <c r="K33" i="9"/>
  <c r="DB33" i="9" s="1"/>
  <c r="DC33" i="9" s="1"/>
  <c r="DF33" i="9" s="1"/>
  <c r="K32" i="9"/>
  <c r="DB32" i="9" s="1"/>
  <c r="DC32" i="9" s="1"/>
  <c r="DF32" i="9" s="1"/>
  <c r="K31" i="9"/>
  <c r="DB31" i="9" s="1"/>
  <c r="DC31" i="9" s="1"/>
  <c r="DF31" i="9" s="1"/>
  <c r="K30" i="9"/>
  <c r="N30" i="9" s="1"/>
  <c r="K29" i="9"/>
  <c r="DB29" i="9" s="1"/>
  <c r="DC29" i="9" s="1"/>
  <c r="DF29" i="9" s="1"/>
  <c r="K28" i="9"/>
  <c r="N28" i="9" s="1"/>
  <c r="K27" i="9"/>
  <c r="N27" i="9" s="1"/>
  <c r="K26" i="9"/>
  <c r="N26" i="9" s="1"/>
  <c r="K25" i="9"/>
  <c r="N25" i="9" s="1"/>
  <c r="K24" i="9"/>
  <c r="DB24" i="9" s="1"/>
  <c r="DC24" i="9" s="1"/>
  <c r="DF24" i="9" s="1"/>
  <c r="K23" i="9"/>
  <c r="DB23" i="9" s="1"/>
  <c r="DC23" i="9" s="1"/>
  <c r="DF23" i="9" s="1"/>
  <c r="K22" i="9"/>
  <c r="N22" i="9" s="1"/>
  <c r="K19" i="9"/>
  <c r="N19" i="9" s="1"/>
  <c r="K17" i="9"/>
  <c r="DB17" i="9" s="1"/>
  <c r="DC17" i="9" s="1"/>
  <c r="DF17" i="9" s="1"/>
  <c r="K16" i="9"/>
  <c r="DB16" i="9" s="1"/>
  <c r="DC16" i="9" s="1"/>
  <c r="DF16" i="9" s="1"/>
  <c r="K15" i="9"/>
  <c r="N15" i="9" s="1"/>
  <c r="K14" i="9"/>
  <c r="K13" i="9"/>
  <c r="N13" i="9" s="1"/>
  <c r="K12" i="9"/>
  <c r="DB12" i="9" s="1"/>
  <c r="DC12" i="9" s="1"/>
  <c r="DF12" i="9" s="1"/>
  <c r="K11" i="9"/>
  <c r="N11" i="9" s="1"/>
  <c r="K10" i="9"/>
  <c r="N10" i="9" s="1"/>
  <c r="K9" i="9"/>
  <c r="DB9" i="9" s="1"/>
  <c r="DC9" i="9" s="1"/>
  <c r="DF9" i="9" s="1"/>
  <c r="DL6" i="9"/>
  <c r="CX6" i="9"/>
  <c r="DA6" i="9" s="1"/>
  <c r="CS6" i="9"/>
  <c r="CV6" i="9" s="1"/>
  <c r="CN6" i="9"/>
  <c r="CQ6" i="9" s="1"/>
  <c r="CI6" i="9"/>
  <c r="CL6" i="9" s="1"/>
  <c r="CD6" i="9"/>
  <c r="CG6" i="9" s="1"/>
  <c r="DG6" i="9" s="1"/>
  <c r="DJ6" i="9" s="1"/>
  <c r="CA6" i="9"/>
  <c r="BW6" i="9"/>
  <c r="BZ6" i="9" s="1"/>
  <c r="BR6" i="9"/>
  <c r="BU6" i="9" s="1"/>
  <c r="BM6" i="9"/>
  <c r="BP6" i="9" s="1"/>
  <c r="BF6" i="9"/>
  <c r="BB6" i="9"/>
  <c r="BE6" i="9" s="1"/>
  <c r="AW6" i="9"/>
  <c r="AZ6" i="9" s="1"/>
  <c r="CB6" i="9" s="1"/>
  <c r="DI6" i="9" s="1"/>
  <c r="AQ6" i="9"/>
  <c r="AT6" i="9" s="1"/>
  <c r="AO6" i="9"/>
  <c r="AK6" i="9"/>
  <c r="AN6" i="9" s="1"/>
  <c r="AF6" i="9"/>
  <c r="AI6" i="9" s="1"/>
  <c r="AA6" i="9"/>
  <c r="AD6" i="9" s="1"/>
  <c r="V6" i="9"/>
  <c r="Y6" i="9" s="1"/>
  <c r="Q6" i="9"/>
  <c r="T6" i="9" s="1"/>
  <c r="AU6" i="9" s="1"/>
  <c r="DH6" i="9" s="1"/>
  <c r="DK6" i="9" s="1"/>
  <c r="DM6" i="9" s="1"/>
  <c r="DN6" i="9" s="1"/>
  <c r="DP6" i="9" s="1"/>
  <c r="K6" i="9"/>
  <c r="DB6" i="9" s="1"/>
  <c r="DC6" i="9" s="1"/>
  <c r="DF6" i="9" s="1"/>
  <c r="N57" i="9" l="1"/>
  <c r="N18" i="9"/>
  <c r="DB18" i="9"/>
  <c r="DC18" i="9" s="1"/>
  <c r="DF18" i="9" s="1"/>
  <c r="DG18" i="9" s="1"/>
  <c r="DJ18" i="9" s="1"/>
  <c r="DK18" i="9" s="1"/>
  <c r="DM18" i="9" s="1"/>
  <c r="DN18" i="9" s="1"/>
  <c r="DP18" i="9" s="1"/>
  <c r="N20" i="9"/>
  <c r="DB20" i="9"/>
  <c r="DC20" i="9" s="1"/>
  <c r="DF20" i="9" s="1"/>
  <c r="DG20" i="9" s="1"/>
  <c r="DJ20" i="9" s="1"/>
  <c r="DK20" i="9" s="1"/>
  <c r="DM20" i="9" s="1"/>
  <c r="DN20" i="9" s="1"/>
  <c r="DP20" i="9" s="1"/>
  <c r="N14" i="9"/>
  <c r="DB14" i="9"/>
  <c r="DC14" i="9" s="1"/>
  <c r="DF14" i="9" s="1"/>
  <c r="DG14" i="9" s="1"/>
  <c r="DJ14" i="9" s="1"/>
  <c r="DK14" i="9" s="1"/>
  <c r="DM14" i="9" s="1"/>
  <c r="DN14" i="9" s="1"/>
  <c r="DP14" i="9" s="1"/>
  <c r="N21" i="9"/>
  <c r="DB21" i="9"/>
  <c r="DC21" i="9" s="1"/>
  <c r="DF21" i="9" s="1"/>
  <c r="DG21" i="9" s="1"/>
  <c r="DJ21" i="9" s="1"/>
  <c r="DK21" i="9" s="1"/>
  <c r="DM21" i="9" s="1"/>
  <c r="DN21" i="9" s="1"/>
  <c r="DP21" i="9" s="1"/>
  <c r="N43" i="9"/>
  <c r="DB43" i="9"/>
  <c r="DC43" i="9" s="1"/>
  <c r="DF43" i="9" s="1"/>
  <c r="DG43" i="9" s="1"/>
  <c r="DJ43" i="9" s="1"/>
  <c r="DK43" i="9" s="1"/>
  <c r="DM43" i="9" s="1"/>
  <c r="DN43" i="9" s="1"/>
  <c r="DP43" i="9" s="1"/>
  <c r="N49" i="9"/>
  <c r="DB49" i="9"/>
  <c r="DC49" i="9" s="1"/>
  <c r="DF49" i="9" s="1"/>
  <c r="DG49" i="9" s="1"/>
  <c r="DJ49" i="9" s="1"/>
  <c r="DK49" i="9" s="1"/>
  <c r="DM49" i="9" s="1"/>
  <c r="DN49" i="9" s="1"/>
  <c r="DP49" i="9" s="1"/>
  <c r="N37" i="9"/>
  <c r="N53" i="9"/>
  <c r="DB52" i="9"/>
  <c r="DC52" i="9" s="1"/>
  <c r="DF52" i="9" s="1"/>
  <c r="DG52" i="9" s="1"/>
  <c r="DJ52" i="9" s="1"/>
  <c r="DB26" i="9"/>
  <c r="DC26" i="9" s="1"/>
  <c r="DF26" i="9" s="1"/>
  <c r="DB25" i="9"/>
  <c r="DC25" i="9" s="1"/>
  <c r="DF25" i="9" s="1"/>
  <c r="N12" i="9"/>
  <c r="N39" i="9"/>
  <c r="DB28" i="9"/>
  <c r="DC28" i="9" s="1"/>
  <c r="DF28" i="9" s="1"/>
  <c r="DB44" i="9"/>
  <c r="DC44" i="9" s="1"/>
  <c r="DF44" i="9" s="1"/>
  <c r="DB56" i="9"/>
  <c r="DC56" i="9" s="1"/>
  <c r="DF56" i="9" s="1"/>
  <c r="DG56" i="9" s="1"/>
  <c r="DJ56" i="9" s="1"/>
  <c r="DG57" i="9"/>
  <c r="DJ57" i="9" s="1"/>
  <c r="AU57" i="9"/>
  <c r="DH57" i="9" s="1"/>
  <c r="CB57" i="9"/>
  <c r="DI57" i="9" s="1"/>
  <c r="CB56" i="9"/>
  <c r="DI56" i="9" s="1"/>
  <c r="AU56" i="9"/>
  <c r="DH56" i="9" s="1"/>
  <c r="N55" i="9"/>
  <c r="DG55" i="9"/>
  <c r="DJ55" i="9" s="1"/>
  <c r="AU55" i="9"/>
  <c r="DH55" i="9" s="1"/>
  <c r="CB55" i="9"/>
  <c r="DI55" i="9" s="1"/>
  <c r="AU54" i="9"/>
  <c r="DH54" i="9" s="1"/>
  <c r="CB54" i="9"/>
  <c r="DI54" i="9" s="1"/>
  <c r="DG54" i="9"/>
  <c r="DJ54" i="9" s="1"/>
  <c r="DB54" i="9"/>
  <c r="DC54" i="9" s="1"/>
  <c r="DF54" i="9" s="1"/>
  <c r="AU52" i="9"/>
  <c r="DH52" i="9" s="1"/>
  <c r="DB50" i="9"/>
  <c r="DC50" i="9" s="1"/>
  <c r="DF50" i="9" s="1"/>
  <c r="DG50" i="9" s="1"/>
  <c r="DJ50" i="9" s="1"/>
  <c r="DG53" i="9"/>
  <c r="DJ53" i="9" s="1"/>
  <c r="AU53" i="9"/>
  <c r="DH53" i="9" s="1"/>
  <c r="CB53" i="9"/>
  <c r="DI53" i="9" s="1"/>
  <c r="CB52" i="9"/>
  <c r="DI52" i="9" s="1"/>
  <c r="DG51" i="9"/>
  <c r="DJ51" i="9" s="1"/>
  <c r="AU51" i="9"/>
  <c r="DH51" i="9" s="1"/>
  <c r="CB51" i="9"/>
  <c r="DI51" i="9" s="1"/>
  <c r="AU50" i="9"/>
  <c r="DH50" i="9" s="1"/>
  <c r="CB50" i="9"/>
  <c r="DI50" i="9" s="1"/>
  <c r="N48" i="9"/>
  <c r="DG48" i="9"/>
  <c r="DJ48" i="9" s="1"/>
  <c r="CB48" i="9"/>
  <c r="DI48" i="9" s="1"/>
  <c r="AU48" i="9"/>
  <c r="DH48" i="9" s="1"/>
  <c r="N47" i="9"/>
  <c r="DG47" i="9"/>
  <c r="DJ47" i="9" s="1"/>
  <c r="AU47" i="9"/>
  <c r="DH47" i="9" s="1"/>
  <c r="CB47" i="9"/>
  <c r="DI47" i="9" s="1"/>
  <c r="DB46" i="9"/>
  <c r="DC46" i="9" s="1"/>
  <c r="DF46" i="9" s="1"/>
  <c r="DG46" i="9" s="1"/>
  <c r="DJ46" i="9" s="1"/>
  <c r="AU46" i="9"/>
  <c r="DH46" i="9" s="1"/>
  <c r="CB46" i="9"/>
  <c r="DI46" i="9" s="1"/>
  <c r="CB44" i="9"/>
  <c r="DI44" i="9" s="1"/>
  <c r="AU44" i="9"/>
  <c r="DH44" i="9" s="1"/>
  <c r="DG44" i="9"/>
  <c r="DJ44" i="9" s="1"/>
  <c r="DB45" i="9"/>
  <c r="DC45" i="9" s="1"/>
  <c r="DF45" i="9" s="1"/>
  <c r="DG45" i="9" s="1"/>
  <c r="DJ45" i="9" s="1"/>
  <c r="AU45" i="9"/>
  <c r="DH45" i="9" s="1"/>
  <c r="CB45" i="9"/>
  <c r="DI45" i="9" s="1"/>
  <c r="DB41" i="9"/>
  <c r="DC41" i="9" s="1"/>
  <c r="DF41" i="9" s="1"/>
  <c r="DB42" i="9"/>
  <c r="DC42" i="9" s="1"/>
  <c r="DF42" i="9" s="1"/>
  <c r="DG42" i="9" s="1"/>
  <c r="DJ42" i="9" s="1"/>
  <c r="DB38" i="9"/>
  <c r="DC38" i="9" s="1"/>
  <c r="DF38" i="9" s="1"/>
  <c r="DG39" i="9"/>
  <c r="DJ39" i="9" s="1"/>
  <c r="DG41" i="9"/>
  <c r="DJ41" i="9" s="1"/>
  <c r="AU40" i="9"/>
  <c r="DH40" i="9" s="1"/>
  <c r="DG40" i="9"/>
  <c r="DJ40" i="9" s="1"/>
  <c r="AU38" i="9"/>
  <c r="DH38" i="9" s="1"/>
  <c r="AU42" i="9"/>
  <c r="DH42" i="9" s="1"/>
  <c r="CB38" i="9"/>
  <c r="DI38" i="9" s="1"/>
  <c r="CB39" i="9"/>
  <c r="DI39" i="9" s="1"/>
  <c r="AU41" i="9"/>
  <c r="DH41" i="9" s="1"/>
  <c r="CB41" i="9"/>
  <c r="DI41" i="9" s="1"/>
  <c r="CB40" i="9"/>
  <c r="DI40" i="9" s="1"/>
  <c r="AU39" i="9"/>
  <c r="DH39" i="9" s="1"/>
  <c r="CB42" i="9"/>
  <c r="DI42" i="9" s="1"/>
  <c r="DG38" i="9"/>
  <c r="DJ38" i="9" s="1"/>
  <c r="N31" i="9"/>
  <c r="DB35" i="9"/>
  <c r="DC35" i="9" s="1"/>
  <c r="DF35" i="9" s="1"/>
  <c r="DG35" i="9" s="1"/>
  <c r="DJ35" i="9" s="1"/>
  <c r="DB30" i="9"/>
  <c r="DC30" i="9" s="1"/>
  <c r="DF30" i="9" s="1"/>
  <c r="N33" i="9"/>
  <c r="DB34" i="9"/>
  <c r="DC34" i="9" s="1"/>
  <c r="DF34" i="9" s="1"/>
  <c r="DG34" i="9" s="1"/>
  <c r="DJ34" i="9" s="1"/>
  <c r="DG33" i="9"/>
  <c r="DJ33" i="9" s="1"/>
  <c r="AU32" i="9"/>
  <c r="DH32" i="9" s="1"/>
  <c r="DK32" i="9" s="1"/>
  <c r="AU31" i="9"/>
  <c r="DH31" i="9" s="1"/>
  <c r="CB35" i="9"/>
  <c r="DI35" i="9" s="1"/>
  <c r="CB32" i="9"/>
  <c r="DI32" i="9" s="1"/>
  <c r="AU30" i="9"/>
  <c r="DH30" i="9" s="1"/>
  <c r="CB31" i="9"/>
  <c r="DI31" i="9" s="1"/>
  <c r="CB34" i="9"/>
  <c r="DI34" i="9" s="1"/>
  <c r="CB30" i="9"/>
  <c r="DI30" i="9" s="1"/>
  <c r="CB36" i="9"/>
  <c r="DI36" i="9" s="1"/>
  <c r="DG36" i="9"/>
  <c r="DJ36" i="9" s="1"/>
  <c r="DG30" i="9"/>
  <c r="DJ30" i="9" s="1"/>
  <c r="DG31" i="9"/>
  <c r="DJ31" i="9" s="1"/>
  <c r="AU35" i="9"/>
  <c r="DH35" i="9" s="1"/>
  <c r="DG32" i="9"/>
  <c r="DJ32" i="9" s="1"/>
  <c r="AU33" i="9"/>
  <c r="DH33" i="9" s="1"/>
  <c r="AU34" i="9"/>
  <c r="DH34" i="9" s="1"/>
  <c r="AU36" i="9"/>
  <c r="DH36" i="9" s="1"/>
  <c r="DK36" i="9" s="1"/>
  <c r="CB33" i="9"/>
  <c r="DI33" i="9" s="1"/>
  <c r="DG29" i="9"/>
  <c r="DJ29" i="9" s="1"/>
  <c r="CB29" i="9"/>
  <c r="DI29" i="9" s="1"/>
  <c r="AU29" i="9"/>
  <c r="DH29" i="9" s="1"/>
  <c r="N29" i="9"/>
  <c r="N23" i="9"/>
  <c r="DB27" i="9"/>
  <c r="DC27" i="9" s="1"/>
  <c r="DF27" i="9" s="1"/>
  <c r="DG27" i="9" s="1"/>
  <c r="DJ27" i="9" s="1"/>
  <c r="AU24" i="9"/>
  <c r="DH24" i="9" s="1"/>
  <c r="DG24" i="9"/>
  <c r="DJ24" i="9" s="1"/>
  <c r="CB26" i="9"/>
  <c r="DI26" i="9" s="1"/>
  <c r="AU28" i="9"/>
  <c r="DH28" i="9" s="1"/>
  <c r="DG25" i="9"/>
  <c r="DJ25" i="9" s="1"/>
  <c r="AU27" i="9"/>
  <c r="DH27" i="9" s="1"/>
  <c r="AU26" i="9"/>
  <c r="DH26" i="9" s="1"/>
  <c r="AU23" i="9"/>
  <c r="DH23" i="9" s="1"/>
  <c r="CB24" i="9"/>
  <c r="DI24" i="9" s="1"/>
  <c r="DG26" i="9"/>
  <c r="DJ26" i="9" s="1"/>
  <c r="CB27" i="9"/>
  <c r="DI27" i="9" s="1"/>
  <c r="AU25" i="9"/>
  <c r="DH25" i="9" s="1"/>
  <c r="DG23" i="9"/>
  <c r="DJ23" i="9" s="1"/>
  <c r="CB23" i="9"/>
  <c r="DI23" i="9" s="1"/>
  <c r="CB25" i="9"/>
  <c r="DI25" i="9" s="1"/>
  <c r="CB28" i="9"/>
  <c r="DI28" i="9" s="1"/>
  <c r="DG28" i="9"/>
  <c r="DJ28" i="9" s="1"/>
  <c r="CB22" i="9"/>
  <c r="DI22" i="9" s="1"/>
  <c r="DB22" i="9"/>
  <c r="DC22" i="9" s="1"/>
  <c r="DF22" i="9" s="1"/>
  <c r="DG22" i="9" s="1"/>
  <c r="DJ22" i="9" s="1"/>
  <c r="AU22" i="9"/>
  <c r="DH22" i="9" s="1"/>
  <c r="DB19" i="9"/>
  <c r="DC19" i="9" s="1"/>
  <c r="DF19" i="9" s="1"/>
  <c r="DG19" i="9" s="1"/>
  <c r="DJ19" i="9" s="1"/>
  <c r="CB19" i="9"/>
  <c r="DI19" i="9" s="1"/>
  <c r="AU19" i="9"/>
  <c r="DH19" i="9" s="1"/>
  <c r="N17" i="9"/>
  <c r="CB17" i="9"/>
  <c r="DI17" i="9" s="1"/>
  <c r="DG17" i="9"/>
  <c r="DJ17" i="9" s="1"/>
  <c r="AU17" i="9"/>
  <c r="DH17" i="9" s="1"/>
  <c r="N16" i="9"/>
  <c r="AU16" i="9"/>
  <c r="DH16" i="9" s="1"/>
  <c r="CB16" i="9"/>
  <c r="DI16" i="9" s="1"/>
  <c r="DG16" i="9"/>
  <c r="DJ16" i="9" s="1"/>
  <c r="CB12" i="9"/>
  <c r="DI12" i="9" s="1"/>
  <c r="AU12" i="9"/>
  <c r="DH12" i="9" s="1"/>
  <c r="AU9" i="9"/>
  <c r="DH9" i="9" s="1"/>
  <c r="AU10" i="9"/>
  <c r="DH10" i="9" s="1"/>
  <c r="CB10" i="9"/>
  <c r="DI10" i="9" s="1"/>
  <c r="CB9" i="9"/>
  <c r="DI9" i="9" s="1"/>
  <c r="DG9" i="9"/>
  <c r="DJ9" i="9" s="1"/>
  <c r="DG12" i="9"/>
  <c r="DJ12" i="9" s="1"/>
  <c r="AU13" i="9"/>
  <c r="DH13" i="9" s="1"/>
  <c r="DK13" i="9" s="1"/>
  <c r="AU15" i="9"/>
  <c r="DH15" i="9" s="1"/>
  <c r="CB15" i="9"/>
  <c r="DI15" i="9" s="1"/>
  <c r="AU11" i="9"/>
  <c r="DH11" i="9" s="1"/>
  <c r="CB13" i="9"/>
  <c r="DI13" i="9" s="1"/>
  <c r="CB11" i="9"/>
  <c r="DI11" i="9" s="1"/>
  <c r="DB13" i="9"/>
  <c r="DC13" i="9" s="1"/>
  <c r="DF13" i="9" s="1"/>
  <c r="DG13" i="9" s="1"/>
  <c r="DJ13" i="9" s="1"/>
  <c r="DB15" i="9"/>
  <c r="DC15" i="9" s="1"/>
  <c r="DF15" i="9" s="1"/>
  <c r="DG15" i="9" s="1"/>
  <c r="DJ15" i="9" s="1"/>
  <c r="DB10" i="9"/>
  <c r="DC10" i="9" s="1"/>
  <c r="DF10" i="9" s="1"/>
  <c r="DG10" i="9" s="1"/>
  <c r="DJ10" i="9" s="1"/>
  <c r="DB11" i="9"/>
  <c r="DC11" i="9" s="1"/>
  <c r="DF11" i="9" s="1"/>
  <c r="DG11" i="9" s="1"/>
  <c r="DJ11" i="9" s="1"/>
  <c r="N9" i="9"/>
  <c r="N24" i="9"/>
  <c r="N32" i="9"/>
  <c r="N40" i="9"/>
  <c r="N36" i="9"/>
  <c r="N51" i="9"/>
  <c r="N6" i="9"/>
  <c r="DK19" i="9" l="1"/>
  <c r="DK26" i="9"/>
  <c r="DK33" i="9"/>
  <c r="DK47" i="9"/>
  <c r="DK50" i="9"/>
  <c r="DK55" i="9"/>
  <c r="DK41" i="9"/>
  <c r="DK44" i="9"/>
  <c r="DM44" i="9" s="1"/>
  <c r="DN44" i="9" s="1"/>
  <c r="DP44" i="9" s="1"/>
  <c r="DK51" i="9"/>
  <c r="DK10" i="9"/>
  <c r="DK53" i="9"/>
  <c r="DK57" i="9"/>
  <c r="DK17" i="9"/>
  <c r="DK12" i="9"/>
  <c r="DK24" i="9"/>
  <c r="DK38" i="9"/>
  <c r="DK54" i="9"/>
  <c r="DK15" i="9"/>
  <c r="DM15" i="9" s="1"/>
  <c r="DN15" i="9" s="1"/>
  <c r="DP15" i="9" s="1"/>
  <c r="DK23" i="9"/>
  <c r="DK34" i="9"/>
  <c r="DK39" i="9"/>
  <c r="DK45" i="9"/>
  <c r="DM45" i="9" s="1"/>
  <c r="DN45" i="9" s="1"/>
  <c r="DP45" i="9" s="1"/>
  <c r="DK40" i="9"/>
  <c r="DK27" i="9"/>
  <c r="DM27" i="9" s="1"/>
  <c r="DN27" i="9" s="1"/>
  <c r="DP27" i="9" s="1"/>
  <c r="DK29" i="9"/>
  <c r="DK35" i="9"/>
  <c r="DM35" i="9" s="1"/>
  <c r="DN35" i="9" s="1"/>
  <c r="DP35" i="9" s="1"/>
  <c r="DK30" i="9"/>
  <c r="DK52" i="9"/>
  <c r="DK16" i="9"/>
  <c r="DK22" i="9"/>
  <c r="DM22" i="9" s="1"/>
  <c r="DN22" i="9" s="1"/>
  <c r="DP22" i="9" s="1"/>
  <c r="DK25" i="9"/>
  <c r="DK28" i="9"/>
  <c r="DM28" i="9" s="1"/>
  <c r="DN28" i="9" s="1"/>
  <c r="DP28" i="9" s="1"/>
  <c r="DK48" i="9"/>
  <c r="DM48" i="9" s="1"/>
  <c r="DN48" i="9" s="1"/>
  <c r="DP48" i="9" s="1"/>
  <c r="DK56" i="9"/>
  <c r="DM56" i="9" s="1"/>
  <c r="DN56" i="9" s="1"/>
  <c r="DP56" i="9" s="1"/>
  <c r="DK11" i="9"/>
  <c r="DM11" i="9" s="1"/>
  <c r="DN11" i="9" s="1"/>
  <c r="DP11" i="9" s="1"/>
  <c r="DK9" i="9"/>
  <c r="DK31" i="9"/>
  <c r="DM31" i="9" s="1"/>
  <c r="DN31" i="9" s="1"/>
  <c r="DP31" i="9" s="1"/>
  <c r="DK42" i="9"/>
  <c r="DM42" i="9" s="1"/>
  <c r="DN42" i="9" s="1"/>
  <c r="DP42" i="9" s="1"/>
  <c r="DK46" i="9"/>
  <c r="DM57" i="9"/>
  <c r="DN57" i="9" s="1"/>
  <c r="DP57" i="9" s="1"/>
  <c r="DM55" i="9"/>
  <c r="DN55" i="9" s="1"/>
  <c r="DP55" i="9" s="1"/>
  <c r="DM54" i="9"/>
  <c r="DN54" i="9" s="1"/>
  <c r="DP54" i="9" s="1"/>
  <c r="DM53" i="9"/>
  <c r="DN53" i="9" s="1"/>
  <c r="DP53" i="9" s="1"/>
  <c r="DM52" i="9"/>
  <c r="DN52" i="9" s="1"/>
  <c r="DP52" i="9" s="1"/>
  <c r="DM50" i="9"/>
  <c r="DN50" i="9" s="1"/>
  <c r="DP50" i="9" s="1"/>
  <c r="DM51" i="9"/>
  <c r="DN51" i="9" s="1"/>
  <c r="DP51" i="9" s="1"/>
  <c r="DM47" i="9"/>
  <c r="DN47" i="9" s="1"/>
  <c r="DP47" i="9" s="1"/>
  <c r="DM46" i="9"/>
  <c r="DN46" i="9" s="1"/>
  <c r="DP46" i="9" s="1"/>
  <c r="DM39" i="9"/>
  <c r="DN39" i="9" s="1"/>
  <c r="DP39" i="9" s="1"/>
  <c r="DM40" i="9"/>
  <c r="DN40" i="9" s="1"/>
  <c r="DP40" i="9" s="1"/>
  <c r="DM38" i="9"/>
  <c r="DN38" i="9" s="1"/>
  <c r="DP38" i="9" s="1"/>
  <c r="DM41" i="9"/>
  <c r="DN41" i="9" s="1"/>
  <c r="DP41" i="9" s="1"/>
  <c r="DM32" i="9"/>
  <c r="DN32" i="9" s="1"/>
  <c r="DP32" i="9" s="1"/>
  <c r="DM36" i="9"/>
  <c r="DN36" i="9" s="1"/>
  <c r="DP36" i="9" s="1"/>
  <c r="DM34" i="9"/>
  <c r="DN34" i="9" s="1"/>
  <c r="DP34" i="9" s="1"/>
  <c r="DM33" i="9"/>
  <c r="DN33" i="9" s="1"/>
  <c r="DP33" i="9" s="1"/>
  <c r="DM30" i="9"/>
  <c r="DN30" i="9" s="1"/>
  <c r="DP30" i="9" s="1"/>
  <c r="DM29" i="9"/>
  <c r="DN29" i="9" s="1"/>
  <c r="DP29" i="9" s="1"/>
  <c r="DM24" i="9"/>
  <c r="DN24" i="9" s="1"/>
  <c r="DP24" i="9" s="1"/>
  <c r="DM26" i="9"/>
  <c r="DN26" i="9" s="1"/>
  <c r="DP26" i="9" s="1"/>
  <c r="DM23" i="9"/>
  <c r="DN23" i="9" s="1"/>
  <c r="DP23" i="9" s="1"/>
  <c r="DM25" i="9"/>
  <c r="DN25" i="9" s="1"/>
  <c r="DP25" i="9" s="1"/>
  <c r="DM19" i="9"/>
  <c r="DN19" i="9" s="1"/>
  <c r="DP19" i="9" s="1"/>
  <c r="DM17" i="9"/>
  <c r="DN17" i="9" s="1"/>
  <c r="DP17" i="9" s="1"/>
  <c r="DM16" i="9"/>
  <c r="DN16" i="9" s="1"/>
  <c r="DP16" i="9" s="1"/>
  <c r="DM12" i="9"/>
  <c r="DN12" i="9" s="1"/>
  <c r="DP12" i="9" s="1"/>
  <c r="DM10" i="9"/>
  <c r="DN10" i="9" s="1"/>
  <c r="DP10" i="9" s="1"/>
  <c r="DM9" i="9"/>
  <c r="DN9" i="9" s="1"/>
  <c r="DP9" i="9" s="1"/>
  <c r="DM13" i="9"/>
  <c r="DN13" i="9" s="1"/>
  <c r="DP13" i="9" s="1"/>
</calcChain>
</file>

<file path=xl/sharedStrings.xml><?xml version="1.0" encoding="utf-8"?>
<sst xmlns="http://schemas.openxmlformats.org/spreadsheetml/2006/main" count="415" uniqueCount="180">
  <si>
    <t>작업조</t>
    <phoneticPr fontId="1" type="noConversion"/>
  </si>
  <si>
    <t>구  분</t>
    <phoneticPr fontId="1" type="noConversion"/>
  </si>
  <si>
    <t>시점</t>
    <phoneticPr fontId="1" type="noConversion"/>
  </si>
  <si>
    <t>종점</t>
    <phoneticPr fontId="1" type="noConversion"/>
  </si>
  <si>
    <t>일 작업량</t>
    <phoneticPr fontId="1" type="noConversion"/>
  </si>
  <si>
    <t>소요기간</t>
    <phoneticPr fontId="1" type="noConversion"/>
  </si>
  <si>
    <t>수량</t>
    <phoneticPr fontId="1" type="noConversion"/>
  </si>
  <si>
    <t>양생</t>
    <phoneticPr fontId="1" type="noConversion"/>
  </si>
  <si>
    <t>시스템 공동구</t>
    <phoneticPr fontId="1" type="noConversion"/>
  </si>
  <si>
    <t>기초콘크리트(HSB)</t>
    <phoneticPr fontId="1" type="noConversion"/>
  </si>
  <si>
    <t>보조기층</t>
    <phoneticPr fontId="1" type="noConversion"/>
  </si>
  <si>
    <t>기층</t>
    <phoneticPr fontId="1" type="noConversion"/>
  </si>
  <si>
    <t>동상방지층</t>
    <phoneticPr fontId="1" type="noConversion"/>
  </si>
  <si>
    <t>프라임코팅/택코팅</t>
    <phoneticPr fontId="1" type="noConversion"/>
  </si>
  <si>
    <t>중간층/표층</t>
    <phoneticPr fontId="1" type="noConversion"/>
  </si>
  <si>
    <t>STA.</t>
    <phoneticPr fontId="1" type="noConversion"/>
  </si>
  <si>
    <t>구간</t>
    <phoneticPr fontId="1" type="noConversion"/>
  </si>
  <si>
    <t>콘크리트 종류</t>
    <phoneticPr fontId="1" type="noConversion"/>
  </si>
  <si>
    <t>조강</t>
    <phoneticPr fontId="1" type="noConversion"/>
  </si>
  <si>
    <t>양생(G)</t>
    <phoneticPr fontId="1" type="noConversion"/>
  </si>
  <si>
    <t>철근조립</t>
    <phoneticPr fontId="1" type="noConversion"/>
  </si>
  <si>
    <t>콘크리트 도상(TCL)</t>
    <phoneticPr fontId="1" type="noConversion"/>
  </si>
  <si>
    <t>포장</t>
    <phoneticPr fontId="1" type="noConversion"/>
  </si>
  <si>
    <t>순서</t>
    <phoneticPr fontId="1" type="noConversion"/>
  </si>
  <si>
    <t>위탁지장물</t>
    <phoneticPr fontId="1" type="noConversion"/>
  </si>
  <si>
    <t>노반 공사</t>
    <phoneticPr fontId="1" type="noConversion"/>
  </si>
  <si>
    <t>아스팔트 깨기</t>
    <phoneticPr fontId="1" type="noConversion"/>
  </si>
  <si>
    <t>거푸집</t>
    <phoneticPr fontId="1" type="noConversion"/>
  </si>
  <si>
    <t>궤도공사</t>
    <phoneticPr fontId="1" type="noConversion"/>
  </si>
  <si>
    <t>노반
합계</t>
    <phoneticPr fontId="1" type="noConversion"/>
  </si>
  <si>
    <t>거푸집</t>
    <phoneticPr fontId="1" type="noConversion"/>
  </si>
  <si>
    <t>강화노반</t>
    <phoneticPr fontId="1" type="noConversion"/>
  </si>
  <si>
    <t>양생</t>
    <phoneticPr fontId="1" type="noConversion"/>
  </si>
  <si>
    <t>교통처리</t>
    <phoneticPr fontId="1" type="noConversion"/>
  </si>
  <si>
    <t>포장기타(가설물 해체 등 포함)</t>
    <phoneticPr fontId="1" type="noConversion"/>
  </si>
  <si>
    <t>궤도
합계</t>
    <phoneticPr fontId="1" type="noConversion"/>
  </si>
  <si>
    <t>포장
합계</t>
    <phoneticPr fontId="1" type="noConversion"/>
  </si>
  <si>
    <t>노반</t>
    <phoneticPr fontId="1" type="noConversion"/>
  </si>
  <si>
    <t>궤도</t>
    <phoneticPr fontId="1" type="noConversion"/>
  </si>
  <si>
    <t>포장</t>
    <phoneticPr fontId="1" type="noConversion"/>
  </si>
  <si>
    <t>No</t>
    <phoneticPr fontId="1" type="noConversion"/>
  </si>
  <si>
    <t>연장
(구간)</t>
    <phoneticPr fontId="1" type="noConversion"/>
  </si>
  <si>
    <t>소요공기 정리
(수식재정리)</t>
    <phoneticPr fontId="1" type="noConversion"/>
  </si>
  <si>
    <t>단계수량</t>
    <phoneticPr fontId="1" type="noConversion"/>
  </si>
  <si>
    <t>단계수량</t>
    <phoneticPr fontId="1" type="noConversion"/>
  </si>
  <si>
    <t>단계별
합계</t>
    <phoneticPr fontId="1" type="noConversion"/>
  </si>
  <si>
    <t>공법</t>
    <phoneticPr fontId="1" type="noConversion"/>
  </si>
  <si>
    <t>현장타설</t>
    <phoneticPr fontId="1" type="noConversion"/>
  </si>
  <si>
    <r>
      <t>타설</t>
    </r>
    <r>
      <rPr>
        <sz val="11"/>
        <color rgb="FFFF0000"/>
        <rFont val="맑은 고딕"/>
        <family val="3"/>
        <charset val="129"/>
        <scheme val="minor"/>
      </rPr>
      <t>(20m이하 계산결과 그대로 적용)</t>
    </r>
    <phoneticPr fontId="1" type="noConversion"/>
  </si>
  <si>
    <r>
      <t>타설</t>
    </r>
    <r>
      <rPr>
        <sz val="11"/>
        <color rgb="FFFF0000"/>
        <rFont val="맑은 고딕"/>
        <family val="3"/>
        <charset val="129"/>
        <scheme val="minor"/>
      </rPr>
      <t>(20m 이하 격간시공 없음)</t>
    </r>
    <phoneticPr fontId="1" type="noConversion"/>
  </si>
  <si>
    <r>
      <t>타설</t>
    </r>
    <r>
      <rPr>
        <sz val="11"/>
        <color rgb="FFFF0000"/>
        <rFont val="맑은 고딕"/>
        <family val="3"/>
        <charset val="129"/>
        <scheme val="minor"/>
      </rPr>
      <t>(20m 이하 계산그대로 적용)</t>
    </r>
    <phoneticPr fontId="1" type="noConversion"/>
  </si>
  <si>
    <t>단계별
공기</t>
    <phoneticPr fontId="1" type="noConversion"/>
  </si>
  <si>
    <t>총단계</t>
    <phoneticPr fontId="1" type="noConversion"/>
  </si>
  <si>
    <t>공정적용
(최종 레일1일 추가)</t>
    <phoneticPr fontId="1" type="noConversion"/>
  </si>
  <si>
    <t>교차로명</t>
    <phoneticPr fontId="1" type="noConversion"/>
  </si>
  <si>
    <r>
      <t>레일 설치</t>
    </r>
    <r>
      <rPr>
        <sz val="11"/>
        <color rgb="FFFF0000"/>
        <rFont val="맑은 고딕"/>
        <family val="3"/>
        <charset val="129"/>
        <scheme val="minor"/>
      </rPr>
      <t>(마지막 단계 1일로 반영)</t>
    </r>
    <phoneticPr fontId="1" type="noConversion"/>
  </si>
  <si>
    <t>거푸집</t>
    <phoneticPr fontId="1" type="noConversion"/>
  </si>
  <si>
    <t>단계별
평균
작업연장</t>
    <phoneticPr fontId="1" type="noConversion"/>
  </si>
  <si>
    <t>선시공</t>
    <phoneticPr fontId="1" type="noConversion"/>
  </si>
  <si>
    <r>
      <t>되메우기</t>
    </r>
    <r>
      <rPr>
        <sz val="11"/>
        <color rgb="FFFF0000"/>
        <rFont val="맑은 고딕"/>
        <family val="3"/>
        <charset val="129"/>
        <scheme val="minor"/>
      </rPr>
      <t>(관로부설 0.3일추가)</t>
    </r>
    <phoneticPr fontId="1" type="noConversion"/>
  </si>
  <si>
    <t>PC</t>
    <phoneticPr fontId="1" type="noConversion"/>
  </si>
  <si>
    <t>소요공기
(개월)</t>
    <phoneticPr fontId="1" type="noConversion"/>
  </si>
  <si>
    <t>지장물</t>
    <phoneticPr fontId="1" type="noConversion"/>
  </si>
  <si>
    <t>우선착공</t>
  </si>
  <si>
    <t>우선착공</t>
    <phoneticPr fontId="1" type="noConversion"/>
  </si>
  <si>
    <t>동탄호수공원(남) 교차로</t>
  </si>
  <si>
    <t>교통처리</t>
    <phoneticPr fontId="1" type="noConversion"/>
  </si>
  <si>
    <t>최종</t>
    <phoneticPr fontId="1" type="noConversion"/>
  </si>
  <si>
    <t>병점역공영주차장삼거리</t>
  </si>
  <si>
    <t>우선착공</t>
    <phoneticPr fontId="1" type="noConversion"/>
  </si>
  <si>
    <t>후시공</t>
    <phoneticPr fontId="1" type="noConversion"/>
  </si>
  <si>
    <t>(삼교)1-2/3-직</t>
  </si>
  <si>
    <t>서해스카이팰리스 3단지 삼거리</t>
  </si>
  <si>
    <t>병점아이파크 107동 앞 삼거리</t>
  </si>
  <si>
    <t>(사교)1-4/5-직</t>
  </si>
  <si>
    <t>병점아이파크 2번 출구 사거리</t>
  </si>
  <si>
    <t>(사교)1-5/6-직</t>
  </si>
  <si>
    <t>병점아이파크 1번 출구 사거리</t>
  </si>
  <si>
    <t>(사교)1-6/7구간-곡</t>
  </si>
  <si>
    <t>새봄초교사거리</t>
  </si>
  <si>
    <t>(사교)1-9/10-직</t>
  </si>
  <si>
    <t>우남퍼스트빌 사거리</t>
  </si>
  <si>
    <t>선시공</t>
    <phoneticPr fontId="1" type="noConversion"/>
  </si>
  <si>
    <t>(사교)1-10/11-직</t>
  </si>
  <si>
    <t>서동탄역 사거리</t>
  </si>
  <si>
    <t>후시공</t>
    <phoneticPr fontId="1" type="noConversion"/>
  </si>
  <si>
    <t>(삼교)1-11/12-직</t>
  </si>
  <si>
    <t>엘리트타워 삼거리</t>
  </si>
  <si>
    <t>선시공</t>
    <phoneticPr fontId="1" type="noConversion"/>
  </si>
  <si>
    <t>터파기</t>
    <phoneticPr fontId="1" type="noConversion"/>
  </si>
  <si>
    <t>(사교)1-12/13-직</t>
    <phoneticPr fontId="1" type="noConversion"/>
  </si>
  <si>
    <t>마당뫼 사거리</t>
  </si>
  <si>
    <t>조강</t>
    <phoneticPr fontId="1" type="noConversion"/>
  </si>
  <si>
    <t>(사교)1-13/14-직</t>
  </si>
  <si>
    <t>퍼스트독 사거리</t>
  </si>
  <si>
    <t>휴먼시아 사거리</t>
  </si>
  <si>
    <t>금곡초교 사거리</t>
  </si>
  <si>
    <t>(사교)1-14/15-곡</t>
    <phoneticPr fontId="1" type="noConversion"/>
  </si>
  <si>
    <t>(사교)1-15/16-곡</t>
    <phoneticPr fontId="1" type="noConversion"/>
  </si>
  <si>
    <t>(사교)1-16/17-직</t>
  </si>
  <si>
    <t>새강마을 사거리</t>
  </si>
  <si>
    <t>(삼교)1-17/18-직</t>
  </si>
  <si>
    <t>꿈에그린622동 삼거리</t>
  </si>
  <si>
    <t>국제고교 사거리</t>
  </si>
  <si>
    <t>동탄사랑의교회사거리</t>
  </si>
  <si>
    <t>(삼교)1-19/19-1-직</t>
  </si>
  <si>
    <t>나루마을삼거리</t>
  </si>
  <si>
    <t>(삼교)1-19-1/20-곡</t>
  </si>
  <si>
    <t>나루교사거리</t>
  </si>
  <si>
    <t>(삼교)1-20/21-직</t>
  </si>
  <si>
    <t>한국토지주택공사 삼거리</t>
  </si>
  <si>
    <t>(사교)1-21/22-직</t>
  </si>
  <si>
    <t>동부대로3지하차도사거리</t>
  </si>
  <si>
    <t>(사교)1-22/23-곡</t>
  </si>
  <si>
    <t>반도5차1502동 사거리</t>
  </si>
  <si>
    <t>(사교)1-23/24-곡</t>
  </si>
  <si>
    <t>동탄역파라곤사거리</t>
  </si>
  <si>
    <t>(사교)1-24/25-곡</t>
  </si>
  <si>
    <t>로얄클래스교차로</t>
  </si>
  <si>
    <t>(사교)1-25/26-곡</t>
  </si>
  <si>
    <t>동탄역북측교차로</t>
  </si>
  <si>
    <t>(사교)1-26/27-곡</t>
  </si>
  <si>
    <t>롯데백화점동탄점 사거리</t>
  </si>
  <si>
    <t>(사교)1-27/28-직</t>
  </si>
  <si>
    <t>치동천2교 교차로</t>
  </si>
  <si>
    <t>(사교)1-29/30-직</t>
  </si>
  <si>
    <t>지엘프라자사거리</t>
  </si>
  <si>
    <t>후시공</t>
    <phoneticPr fontId="1" type="noConversion"/>
  </si>
  <si>
    <t>동탄테크노벨리(남) 교차로</t>
  </si>
  <si>
    <t>우선착공</t>
    <phoneticPr fontId="1" type="noConversion"/>
  </si>
  <si>
    <t>(사교)1-31/32-직</t>
  </si>
  <si>
    <t>동탄5동행정복지센터 교차로</t>
  </si>
  <si>
    <t>(사교)1-32/33-직</t>
  </si>
  <si>
    <t>선납숲공원 교차로</t>
  </si>
  <si>
    <t>(사교)1-33/34-직</t>
  </si>
  <si>
    <t>대성메디컬프라자사거리</t>
  </si>
  <si>
    <t>(사교)1-34/35-직</t>
  </si>
  <si>
    <t>롯데리아사거리</t>
  </si>
  <si>
    <t>(사교)1-36/37-직</t>
  </si>
  <si>
    <t>치동천5교 교차로</t>
  </si>
  <si>
    <t>(사교)1-38/39-직</t>
  </si>
  <si>
    <t>예솔청목초 교차로</t>
  </si>
  <si>
    <t>(사교)1-40/41-직</t>
  </si>
  <si>
    <t>목동초 교차로</t>
  </si>
  <si>
    <t>(사교)1-41/42-직</t>
  </si>
  <si>
    <t>한율초 교차로</t>
  </si>
  <si>
    <t>(사교)1-42/43-직</t>
  </si>
  <si>
    <t>신리천공원 교차로</t>
  </si>
  <si>
    <t>(사교)1-46/47-직</t>
  </si>
  <si>
    <t>도로교통연구원 교차로</t>
  </si>
  <si>
    <t>신리IC 교차로</t>
  </si>
  <si>
    <t>SMP타워사거리</t>
  </si>
  <si>
    <t>더레이크시티3064동 삼거리</t>
  </si>
  <si>
    <t>(사교)1-49/50-직</t>
  </si>
  <si>
    <t>부영5,6단지 사거리</t>
  </si>
  <si>
    <t>(사교)1-50/51-직</t>
  </si>
  <si>
    <t>이솔고 교차로</t>
  </si>
  <si>
    <t>(사교)1-52/53-직</t>
  </si>
  <si>
    <t>동탄8동행정복지센터사거리</t>
  </si>
  <si>
    <t>(사교)1-53/54-직</t>
  </si>
  <si>
    <t>미작스퀘어 교차로</t>
  </si>
  <si>
    <t>(사교)1-54/55-직</t>
  </si>
  <si>
    <t>장지지하차도 사거리</t>
  </si>
  <si>
    <t>우선착공</t>
    <phoneticPr fontId="1" type="noConversion"/>
  </si>
  <si>
    <t>선시공</t>
    <phoneticPr fontId="1" type="noConversion"/>
  </si>
  <si>
    <t>(사교)1-30/31-곡</t>
    <phoneticPr fontId="1" type="noConversion"/>
  </si>
  <si>
    <t>후시공</t>
    <phoneticPr fontId="1" type="noConversion"/>
  </si>
  <si>
    <t>(사교)1-37/38-직</t>
    <phoneticPr fontId="1" type="noConversion"/>
  </si>
  <si>
    <t>(사교)1-47/48-직</t>
    <phoneticPr fontId="1" type="noConversion"/>
  </si>
  <si>
    <t>(사교)1-51/52-곡</t>
    <phoneticPr fontId="1" type="noConversion"/>
  </si>
  <si>
    <t>(삼교)1-1/2-직-P</t>
    <phoneticPr fontId="1" type="noConversion"/>
  </si>
  <si>
    <t>(삼교)1-3/4구간-곡-P</t>
    <phoneticPr fontId="1" type="noConversion"/>
  </si>
  <si>
    <t>(사교)1-18/18-1-곡</t>
    <phoneticPr fontId="1" type="noConversion"/>
  </si>
  <si>
    <t>(사교)1-18-1/19-직</t>
    <phoneticPr fontId="1" type="noConversion"/>
  </si>
  <si>
    <t>(사교)1-48/(기교)48-직</t>
    <phoneticPr fontId="1" type="noConversion"/>
  </si>
  <si>
    <t>(삼교)1-(기교)48/49-직</t>
    <phoneticPr fontId="1" type="noConversion"/>
  </si>
  <si>
    <t>후시공</t>
    <phoneticPr fontId="1" type="noConversion"/>
  </si>
  <si>
    <t>조강</t>
    <phoneticPr fontId="1" type="noConversion"/>
  </si>
  <si>
    <t>현장타설</t>
    <phoneticPr fontId="1" type="noConversion"/>
  </si>
  <si>
    <t>PC-삭제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</si>
</sst>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5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#,##0.0&quot;㎥/일&quot;"/>
    <numFmt numFmtId="177" formatCode="#,##0&quot;㎥/일&quot;"/>
    <numFmt numFmtId="178" formatCode="#,##0&quot;㎡/일&quot;"/>
    <numFmt numFmtId="179" formatCode="#,##0&quot;일&quot;"/>
    <numFmt numFmtId="180" formatCode="#,##0.0&quot;ton/일&quot;"/>
    <numFmt numFmtId="181" formatCode="#,##0&quot;m/일&quot;"/>
    <numFmt numFmtId="182" formatCode="#,##0.0&quot;m&quot;"/>
    <numFmt numFmtId="183" formatCode="#,##0.0&quot;일&quot;"/>
    <numFmt numFmtId="184" formatCode="#,##0&quot;개조&quot;"/>
    <numFmt numFmtId="185" formatCode="#,##0.00&quot;일&quot;"/>
    <numFmt numFmtId="186" formatCode="0.000"/>
    <numFmt numFmtId="187" formatCode="#,##0.00_ "/>
    <numFmt numFmtId="188" formatCode="_ * #,##0_ ;_ * \-#,##0_ ;_ * &quot;-&quot;_ ;_ @_ "/>
    <numFmt numFmtId="189" formatCode="0.000_ "/>
    <numFmt numFmtId="190" formatCode="0.0"/>
    <numFmt numFmtId="191" formatCode="&quot;년&quot;\ "/>
    <numFmt numFmtId="192" formatCode="&quot;₩&quot;#,##0;&quot;₩&quot;\-#,##0"/>
    <numFmt numFmtId="193" formatCode="_-&quot;S&quot;\ * #,##0.00_-;\-&quot;S&quot;\ * #,##0.00_-;_-&quot;S&quot;\ * &quot;-&quot;??_-;_-@_-"/>
    <numFmt numFmtId="194" formatCode="0\ &quot;EA&quot;"/>
    <numFmt numFmtId="195" formatCode="#\ ?/2"/>
    <numFmt numFmtId="196" formatCode="0_ "/>
    <numFmt numFmtId="197" formatCode="_ * #,##0.00_ ;_ * \-#,##0.00_ ;_ * &quot;-&quot;??_ ;_ @_ "/>
    <numFmt numFmtId="198" formatCode="##0.000&quot;㎥&quot;"/>
    <numFmt numFmtId="199" formatCode="##0.000&quot;㎡&quot;"/>
    <numFmt numFmtId="200" formatCode="##0.000&quot;㎡/개소&quot;"/>
    <numFmt numFmtId="201" formatCode="##0.000&quot;kg&quot;"/>
    <numFmt numFmtId="202" formatCode="##0.00&quot;m&quot;"/>
    <numFmt numFmtId="203" formatCode="##&quot;%&quot;"/>
    <numFmt numFmtId="204" formatCode="\t\=0.00"/>
    <numFmt numFmtId="205" formatCode="0.000&quot;*&quot;"/>
    <numFmt numFmtId="206" formatCode="_-\-* #,##0_-;\-* #,##0_-;_-* &quot;-&quot;_-;_-@_-"/>
    <numFmt numFmtId="207" formatCode="&quot;₩&quot;#,##0;[Red]&quot;₩&quot;&quot;₩&quot;\-#,##0"/>
    <numFmt numFmtId="208" formatCode="General_)"/>
    <numFmt numFmtId="209" formatCode="0.0_)"/>
    <numFmt numFmtId="210" formatCode="0.000\ "/>
    <numFmt numFmtId="211" formatCode="#\!\,##0\!.00_ "/>
    <numFmt numFmtId="212" formatCode="_-* #,##0.0_-;\-* #,##0.0_-;_-* &quot;-&quot;_-;_-@_-"/>
    <numFmt numFmtId="213" formatCode="0&quot;km&quot;000.0000"/>
    <numFmt numFmtId="214" formatCode="0.00&quot;m&quot;"/>
    <numFmt numFmtId="215" formatCode="0.0&quot;일&quot;"/>
    <numFmt numFmtId="216" formatCode="0&quot;단계&quot;"/>
    <numFmt numFmtId="217" formatCode="#,##0.00&quot;hr&quot;"/>
    <numFmt numFmtId="218" formatCode="0.0&quot;m&quot;"/>
    <numFmt numFmtId="219" formatCode="#,##0&quot;분&quot;"/>
    <numFmt numFmtId="220" formatCode="0.00_);[Red]\(0.00\)"/>
    <numFmt numFmtId="221" formatCode="_(* #,##0_);_(* \(#,##0\);_(* \-_);_(@_)"/>
    <numFmt numFmtId="222" formatCode="0_);[Red]\(0\)"/>
    <numFmt numFmtId="223" formatCode="_-* #,##0.000_-;\-* #,##0.000_-;_-* &quot;-&quot;_-;_-@_-"/>
    <numFmt numFmtId="224" formatCode="#,##0.0&quot;개월&quot;"/>
    <numFmt numFmtId="225" formatCode="yy/mm/dd"/>
    <numFmt numFmtId="226" formatCode="#&quot;단계&quot;"/>
    <numFmt numFmtId="227" formatCode="0.0_);[Red]\(0.0\)"/>
  </numFmts>
  <fonts count="7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0000"/>
      <name val="-윤고딕120"/>
      <family val="1"/>
      <charset val="129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바탕체"/>
      <family val="1"/>
      <charset val="129"/>
    </font>
    <font>
      <sz val="9"/>
      <color indexed="8"/>
      <name val="굴림체"/>
      <family val="3"/>
      <charset val="129"/>
    </font>
    <font>
      <sz val="10"/>
      <name val="Arial"/>
      <family val="2"/>
    </font>
    <font>
      <sz val="9"/>
      <name val="굴림체"/>
      <family val="3"/>
      <charset val="129"/>
    </font>
    <font>
      <u/>
      <sz val="11"/>
      <color indexed="36"/>
      <name val="돋움"/>
      <family val="3"/>
      <charset val="129"/>
    </font>
    <font>
      <sz val="12"/>
      <name val="굴림체"/>
      <family val="3"/>
      <charset val="129"/>
    </font>
    <font>
      <sz val="11"/>
      <name val="굴림체"/>
      <family val="3"/>
      <charset val="129"/>
    </font>
    <font>
      <sz val="12"/>
      <name val="¹UAAA¼"/>
      <family val="3"/>
      <charset val="129"/>
    </font>
    <font>
      <sz val="10"/>
      <name val="MS Sans Serif"/>
      <family val="2"/>
    </font>
    <font>
      <sz val="10"/>
      <name val="굴림체"/>
      <family val="3"/>
      <charset val="129"/>
    </font>
    <font>
      <sz val="12"/>
      <name val="¹ÙÅÁÃ¼"/>
      <family val="1"/>
      <charset val="129"/>
    </font>
    <font>
      <sz val="12"/>
      <name val="뼻뮝"/>
      <family val="1"/>
      <charset val="129"/>
    </font>
    <font>
      <sz val="8"/>
      <name val="Arial"/>
      <family val="2"/>
    </font>
    <font>
      <sz val="12"/>
      <name val="돋움체"/>
      <family val="3"/>
      <charset val="129"/>
    </font>
    <font>
      <b/>
      <sz val="18"/>
      <name val="Arial"/>
      <family val="2"/>
    </font>
    <font>
      <b/>
      <sz val="12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돋움체"/>
      <family val="3"/>
      <charset val="129"/>
    </font>
    <font>
      <sz val="11"/>
      <color indexed="16"/>
      <name val="바탕체"/>
      <family val="1"/>
      <charset val="129"/>
    </font>
    <font>
      <b/>
      <sz val="14"/>
      <color indexed="12"/>
      <name val="바탕체"/>
      <family val="1"/>
      <charset val="129"/>
    </font>
    <font>
      <sz val="14"/>
      <name val="뼻뮝"/>
      <family val="1"/>
      <charset val="129"/>
    </font>
    <font>
      <sz val="9"/>
      <name val="바탕체"/>
      <family val="1"/>
      <charset val="129"/>
    </font>
    <font>
      <sz val="10"/>
      <name val="바탕체"/>
      <family val="1"/>
      <charset val="129"/>
    </font>
    <font>
      <b/>
      <sz val="12"/>
      <name val="돋움체"/>
      <family val="3"/>
      <charset val="129"/>
    </font>
    <font>
      <sz val="10"/>
      <name val="명조"/>
      <family val="3"/>
      <charset val="129"/>
    </font>
    <font>
      <b/>
      <sz val="12"/>
      <color indexed="12"/>
      <name val="돋움체"/>
      <family val="3"/>
      <charset val="129"/>
    </font>
    <font>
      <sz val="10"/>
      <color indexed="12"/>
      <name val="굴림체"/>
      <family val="3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2"/>
      <name val="Helv"/>
      <family val="2"/>
    </font>
    <font>
      <u/>
      <sz val="10"/>
      <color indexed="12"/>
      <name val="MS Sans Serif"/>
      <family val="2"/>
    </font>
    <font>
      <b/>
      <i/>
      <sz val="12"/>
      <name val="Times New Roman"/>
      <family val="1"/>
    </font>
    <font>
      <b/>
      <sz val="11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color rgb="FF000000"/>
      <name val="-윤고딕120"/>
      <family val="1"/>
      <charset val="129"/>
    </font>
    <font>
      <sz val="11"/>
      <color rgb="FFFF0000"/>
      <name val="-윤고딕120"/>
      <family val="1"/>
      <charset val="129"/>
    </font>
    <font>
      <sz val="11"/>
      <color theme="5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-윤고딕120"/>
      <family val="1"/>
      <charset val="129"/>
    </font>
    <font>
      <b/>
      <sz val="11"/>
      <name val="-윤고딕120"/>
      <family val="1"/>
      <charset val="129"/>
    </font>
    <font>
      <sz val="11"/>
      <color theme="0"/>
      <name val="맑은 고딕"/>
      <family val="3"/>
      <charset val="129"/>
      <scheme val="minor"/>
    </font>
    <font>
      <sz val="11"/>
      <color rgb="FF00008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inor"/>
    </font>
    <font>
      <sz val="11"/>
      <name val="Noto Sans CJK SC"/>
      <family val="2"/>
    </font>
    <font>
      <sz val="11"/>
      <color rgb="FFFF0000"/>
      <name val="맑은 고딕"/>
      <family val="3"/>
      <charset val="129"/>
      <scheme val="major"/>
    </font>
    <font>
      <sz val="11"/>
      <color theme="1"/>
      <name val="돋움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50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4" fillId="0" borderId="0"/>
    <xf numFmtId="0" fontId="8" fillId="0" borderId="0">
      <alignment vertical="center"/>
    </xf>
    <xf numFmtId="0" fontId="9" fillId="0" borderId="0"/>
    <xf numFmtId="0" fontId="9" fillId="0" borderId="0"/>
    <xf numFmtId="0" fontId="15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9" fillId="0" borderId="13">
      <alignment horizontal="center"/>
    </xf>
    <xf numFmtId="0" fontId="23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/>
    <xf numFmtId="0" fontId="23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23" fillId="0" borderId="0"/>
    <xf numFmtId="0" fontId="11" fillId="0" borderId="0" applyFill="0" applyBorder="0" applyAlignment="0"/>
    <xf numFmtId="0" fontId="42" fillId="0" borderId="0"/>
    <xf numFmtId="0" fontId="11" fillId="0" borderId="0">
      <protection locked="0"/>
    </xf>
    <xf numFmtId="0" fontId="15" fillId="0" borderId="0" applyFont="0" applyFill="0" applyBorder="0" applyAlignment="0" applyProtection="0"/>
    <xf numFmtId="195" fontId="11" fillId="0" borderId="0"/>
    <xf numFmtId="0" fontId="15" fillId="0" borderId="0" applyFont="0" applyFill="0" applyBorder="0" applyAlignment="0" applyProtection="0"/>
    <xf numFmtId="3" fontId="15" fillId="0" borderId="0" applyFill="0" applyBorder="0" applyAlignment="0" applyProtection="0"/>
    <xf numFmtId="0" fontId="15" fillId="0" borderId="0" applyFont="0" applyFill="0" applyBorder="0" applyAlignment="0" applyProtection="0"/>
    <xf numFmtId="0" fontId="11" fillId="0" borderId="0">
      <protection locked="0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5" fontId="15" fillId="0" borderId="0" applyFont="0" applyFill="0" applyBorder="0" applyAlignment="0" applyProtection="0"/>
    <xf numFmtId="0" fontId="11" fillId="0" borderId="0"/>
    <xf numFmtId="0" fontId="15" fillId="0" borderId="0" applyFont="0" applyFill="0" applyBorder="0" applyAlignment="0" applyProtection="0"/>
    <xf numFmtId="194" fontId="11" fillId="0" borderId="0"/>
    <xf numFmtId="0" fontId="43" fillId="0" borderId="0">
      <protection locked="0"/>
    </xf>
    <xf numFmtId="0" fontId="43" fillId="0" borderId="0">
      <protection locked="0"/>
    </xf>
    <xf numFmtId="0" fontId="44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4" fillId="0" borderId="0">
      <protection locked="0"/>
    </xf>
    <xf numFmtId="2" fontId="15" fillId="0" borderId="0" applyFont="0" applyFill="0" applyBorder="0" applyAlignment="0" applyProtection="0"/>
    <xf numFmtId="38" fontId="25" fillId="5" borderId="0" applyNumberFormat="0" applyBorder="0" applyAlignment="0" applyProtection="0"/>
    <xf numFmtId="0" fontId="45" fillId="0" borderId="0">
      <alignment horizontal="left"/>
    </xf>
    <xf numFmtId="0" fontId="28" fillId="0" borderId="14" applyNumberFormat="0" applyAlignment="0" applyProtection="0">
      <alignment horizontal="left" vertical="center"/>
    </xf>
    <xf numFmtId="0" fontId="28" fillId="0" borderId="3">
      <alignment horizontal="left" vertical="center"/>
    </xf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91" fontId="9" fillId="0" borderId="0">
      <protection locked="0"/>
    </xf>
    <xf numFmtId="191" fontId="9" fillId="0" borderId="0">
      <protection locked="0"/>
    </xf>
    <xf numFmtId="0" fontId="46" fillId="0" borderId="0" applyNumberFormat="0" applyFill="0" applyBorder="0" applyAlignment="0" applyProtection="0"/>
    <xf numFmtId="10" fontId="25" fillId="6" borderId="1" applyNumberFormat="0" applyBorder="0" applyAlignment="0" applyProtection="0"/>
    <xf numFmtId="208" fontId="47" fillId="0" borderId="0">
      <alignment horizontal="left"/>
    </xf>
    <xf numFmtId="188" fontId="15" fillId="0" borderId="0" applyFont="0" applyFill="0" applyBorder="0" applyAlignment="0" applyProtection="0"/>
    <xf numFmtId="197" fontId="15" fillId="0" borderId="0" applyFont="0" applyFill="0" applyBorder="0" applyAlignment="0" applyProtection="0"/>
    <xf numFmtId="0" fontId="48" fillId="0" borderId="15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26" fillId="0" borderId="0"/>
    <xf numFmtId="0" fontId="15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1" fillId="0" borderId="0">
      <protection locked="0"/>
    </xf>
    <xf numFmtId="10" fontId="15" fillId="0" borderId="0" applyFont="0" applyFill="0" applyBorder="0" applyAlignment="0" applyProtection="0"/>
    <xf numFmtId="187" fontId="11" fillId="0" borderId="0">
      <protection locked="0"/>
    </xf>
    <xf numFmtId="0" fontId="48" fillId="0" borderId="0"/>
    <xf numFmtId="209" fontId="49" fillId="0" borderId="0">
      <alignment horizontal="center"/>
    </xf>
    <xf numFmtId="0" fontId="50" fillId="0" borderId="0" applyFill="0" applyBorder="0" applyProtection="0">
      <alignment horizontal="centerContinuous" vertical="center"/>
    </xf>
    <xf numFmtId="0" fontId="18" fillId="7" borderId="0" applyFill="0" applyBorder="0" applyProtection="0">
      <alignment horizontal="center" vertical="center"/>
    </xf>
    <xf numFmtId="0" fontId="15" fillId="0" borderId="16" applyNumberFormat="0" applyFont="0" applyFill="0" applyAlignment="0" applyProtection="0"/>
    <xf numFmtId="0" fontId="13" fillId="0" borderId="13">
      <alignment horizontal="left"/>
    </xf>
    <xf numFmtId="2" fontId="29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Border="0">
      <alignment horizontal="distributed"/>
      <protection locked="0"/>
    </xf>
    <xf numFmtId="0" fontId="29" fillId="0" borderId="0" applyFont="0" applyFill="0" applyBorder="0" applyAlignment="0" applyProtection="0"/>
    <xf numFmtId="205" fontId="33" fillId="0" borderId="0" applyFill="0" applyBorder="0">
      <alignment horizontal="center" vertical="center"/>
    </xf>
    <xf numFmtId="203" fontId="32" fillId="0" borderId="18" applyFill="0" applyBorder="0">
      <alignment horizontal="center" vertical="center"/>
      <protection locked="0"/>
    </xf>
    <xf numFmtId="201" fontId="32" fillId="0" borderId="12" applyFill="0" applyBorder="0">
      <alignment horizontal="center"/>
      <protection locked="0"/>
    </xf>
    <xf numFmtId="202" fontId="32" fillId="0" borderId="12" applyFill="0" applyBorder="0">
      <alignment horizontal="center"/>
      <protection locked="0"/>
    </xf>
    <xf numFmtId="199" fontId="32" fillId="0" borderId="19">
      <alignment horizontal="center"/>
      <protection locked="0"/>
    </xf>
    <xf numFmtId="200" fontId="32" fillId="0" borderId="19">
      <alignment horizontal="center"/>
      <protection locked="0"/>
    </xf>
    <xf numFmtId="206" fontId="32" fillId="0" borderId="19">
      <alignment horizontal="center"/>
      <protection locked="0"/>
    </xf>
    <xf numFmtId="198" fontId="32" fillId="0" borderId="19">
      <alignment horizontal="center"/>
      <protection locked="0"/>
    </xf>
    <xf numFmtId="204" fontId="32" fillId="0" borderId="2" applyFill="0" applyBorder="0">
      <alignment horizontal="center" vertical="center"/>
      <protection locked="0"/>
    </xf>
    <xf numFmtId="0" fontId="29" fillId="0" borderId="0" applyFont="0" applyFill="0" applyBorder="0" applyAlignment="0" applyProtection="0"/>
    <xf numFmtId="0" fontId="34" fillId="0" borderId="0" applyProtection="0"/>
    <xf numFmtId="0" fontId="17" fillId="0" borderId="0" applyNumberFormat="0" applyFill="0" applyBorder="0" applyAlignment="0" applyProtection="0">
      <alignment vertical="top"/>
      <protection locked="0"/>
    </xf>
    <xf numFmtId="40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9" fontId="19" fillId="7" borderId="0" applyFill="0" applyBorder="0" applyProtection="0">
      <alignment horizontal="right"/>
    </xf>
    <xf numFmtId="10" fontId="19" fillId="0" borderId="0" applyFill="0" applyBorder="0" applyProtection="0">
      <alignment horizontal="right"/>
    </xf>
    <xf numFmtId="0" fontId="24" fillId="0" borderId="0"/>
    <xf numFmtId="49" fontId="32" fillId="0" borderId="6" applyFill="0" applyBorder="0">
      <alignment horizontal="center" vertical="center"/>
      <protection locked="0"/>
    </xf>
    <xf numFmtId="0" fontId="36" fillId="0" borderId="0" applyNumberFormat="0" applyFont="0" applyFill="0" applyBorder="0" applyProtection="0">
      <alignment horizontal="centerContinuous" vertical="center"/>
    </xf>
    <xf numFmtId="189" fontId="36" fillId="0" borderId="0" applyFill="0" applyBorder="0" applyProtection="0">
      <alignment horizontal="centerContinuous" vertical="center"/>
    </xf>
    <xf numFmtId="196" fontId="36" fillId="0" borderId="0" applyNumberFormat="0" applyFont="0" applyFill="0" applyBorder="0" applyProtection="0">
      <alignment horizontal="centerContinuous"/>
    </xf>
    <xf numFmtId="0" fontId="37" fillId="0" borderId="0" applyNumberFormat="0" applyFont="0" applyFill="0" applyBorder="0" applyProtection="0">
      <alignment horizontal="centerContinuous" vertical="center"/>
    </xf>
    <xf numFmtId="196" fontId="36" fillId="0" borderId="0" applyNumberFormat="0" applyFont="0" applyFill="0" applyBorder="0" applyProtection="0">
      <alignment horizontal="centerContinuous" vertical="center"/>
    </xf>
    <xf numFmtId="0" fontId="38" fillId="0" borderId="0" applyProtection="0">
      <alignment vertical="center"/>
      <protection locked="0"/>
    </xf>
    <xf numFmtId="196" fontId="16" fillId="0" borderId="20" applyFont="0" applyFill="0" applyBorder="0" applyAlignment="0" applyProtection="0">
      <alignment vertical="center"/>
    </xf>
    <xf numFmtId="189" fontId="16" fillId="0" borderId="20" applyFont="0" applyFill="0" applyBorder="0" applyAlignment="0" applyProtection="0">
      <alignment vertical="center"/>
    </xf>
    <xf numFmtId="0" fontId="12" fillId="0" borderId="0"/>
    <xf numFmtId="196" fontId="36" fillId="0" borderId="0" applyFont="0" applyFill="0" applyBorder="0" applyProtection="0">
      <alignment horizontal="centerContinuous" vertical="center"/>
    </xf>
    <xf numFmtId="207" fontId="15" fillId="0" borderId="0">
      <alignment vertical="center"/>
    </xf>
    <xf numFmtId="190" fontId="36" fillId="0" borderId="0" applyFont="0" applyFill="0" applyBorder="0" applyProtection="0">
      <alignment horizontal="centerContinuous" vertical="center"/>
    </xf>
    <xf numFmtId="186" fontId="36" fillId="0" borderId="0" applyFont="0" applyFill="0" applyBorder="0" applyProtection="0">
      <alignment horizontal="centerContinuous" vertical="center"/>
    </xf>
    <xf numFmtId="210" fontId="36" fillId="0" borderId="21" applyFont="0" applyFill="0" applyBorder="0" applyProtection="0">
      <alignment horizontal="right" vertical="center"/>
      <protection locked="0"/>
    </xf>
    <xf numFmtId="210" fontId="22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0" fontId="15" fillId="0" borderId="0"/>
    <xf numFmtId="0" fontId="39" fillId="0" borderId="22"/>
    <xf numFmtId="0" fontId="40" fillId="0" borderId="6" applyBorder="0">
      <alignment horizontal="distributed" vertical="center"/>
      <protection locked="0"/>
    </xf>
    <xf numFmtId="0" fontId="41" fillId="0" borderId="0">
      <alignment vertical="center"/>
    </xf>
    <xf numFmtId="196" fontId="36" fillId="0" borderId="0" applyNumberFormat="0" applyFont="0" applyFill="0" applyBorder="0" applyProtection="0">
      <alignment vertical="center"/>
    </xf>
    <xf numFmtId="4" fontId="29" fillId="0" borderId="0" applyFont="0" applyFill="0" applyBorder="0" applyAlignment="0" applyProtection="0"/>
    <xf numFmtId="3" fontId="29" fillId="0" borderId="0" applyFont="0" applyFill="0" applyBorder="0" applyAlignment="0" applyProtection="0"/>
    <xf numFmtId="0" fontId="9" fillId="0" borderId="0"/>
    <xf numFmtId="0" fontId="9" fillId="0" borderId="0" applyFont="0" applyFill="0" applyBorder="0" applyAlignment="0" applyProtection="0"/>
    <xf numFmtId="0" fontId="15" fillId="0" borderId="1"/>
    <xf numFmtId="211" fontId="19" fillId="7" borderId="0" applyFill="0" applyBorder="0" applyProtection="0">
      <alignment horizontal="right"/>
    </xf>
    <xf numFmtId="0" fontId="9" fillId="0" borderId="0" applyFont="0" applyFill="0" applyBorder="0" applyAlignment="0" applyProtection="0"/>
    <xf numFmtId="42" fontId="11" fillId="0" borderId="0" applyFont="0" applyFill="0" applyBorder="0" applyAlignment="0" applyProtection="0"/>
    <xf numFmtId="0" fontId="9" fillId="0" borderId="0" applyFont="0" applyFill="0" applyBorder="0" applyAlignment="0" applyProtection="0"/>
    <xf numFmtId="10" fontId="29" fillId="0" borderId="0" applyFont="0" applyFill="0" applyBorder="0" applyAlignment="0" applyProtection="0"/>
    <xf numFmtId="0" fontId="51" fillId="0" borderId="0">
      <alignment vertical="center"/>
    </xf>
    <xf numFmtId="0" fontId="29" fillId="0" borderId="16" applyNumberFormat="0" applyFont="0" applyFill="0" applyAlignment="0" applyProtection="0"/>
    <xf numFmtId="193" fontId="11" fillId="0" borderId="0" applyFont="0" applyFill="0" applyBorder="0" applyAlignment="0" applyProtection="0"/>
    <xf numFmtId="192" fontId="29" fillId="0" borderId="0" applyFont="0" applyFill="0" applyBorder="0" applyAlignment="0" applyProtection="0"/>
    <xf numFmtId="0" fontId="8" fillId="0" borderId="0">
      <alignment vertical="center"/>
    </xf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52" fillId="0" borderId="0">
      <alignment vertical="center"/>
    </xf>
    <xf numFmtId="0" fontId="11" fillId="0" borderId="0"/>
    <xf numFmtId="0" fontId="8" fillId="0" borderId="0">
      <alignment vertical="center"/>
    </xf>
    <xf numFmtId="221" fontId="64" fillId="0" borderId="0">
      <alignment vertical="center"/>
    </xf>
    <xf numFmtId="41" fontId="64" fillId="0" borderId="0" applyFont="0" applyFill="0" applyBorder="0" applyAlignment="0" applyProtection="0">
      <alignment vertical="center"/>
    </xf>
    <xf numFmtId="0" fontId="64" fillId="0" borderId="0">
      <alignment vertical="center"/>
    </xf>
    <xf numFmtId="0" fontId="69" fillId="0" borderId="0">
      <alignment vertical="center"/>
    </xf>
  </cellStyleXfs>
  <cellXfs count="145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213" fontId="10" fillId="0" borderId="0" xfId="0" applyNumberFormat="1" applyFont="1" applyFill="1" applyBorder="1" applyAlignment="1">
      <alignment horizontal="center" vertical="center"/>
    </xf>
    <xf numFmtId="212" fontId="10" fillId="0" borderId="0" xfId="1" applyNumberFormat="1" applyFont="1" applyFill="1" applyBorder="1" applyAlignment="1">
      <alignment horizontal="center" vertical="center"/>
    </xf>
    <xf numFmtId="0" fontId="57" fillId="0" borderId="0" xfId="0" applyFont="1" applyFill="1" applyBorder="1">
      <alignment vertical="center"/>
    </xf>
    <xf numFmtId="0" fontId="57" fillId="0" borderId="0" xfId="0" applyFont="1" applyFill="1" applyBorder="1" applyAlignment="1">
      <alignment horizontal="center" vertical="center"/>
    </xf>
    <xf numFmtId="179" fontId="58" fillId="0" borderId="0" xfId="0" applyNumberFormat="1" applyFont="1" applyFill="1" applyBorder="1" applyAlignment="1">
      <alignment horizontal="center" vertical="center" wrapText="1"/>
    </xf>
    <xf numFmtId="182" fontId="57" fillId="0" borderId="0" xfId="0" applyNumberFormat="1" applyFont="1" applyFill="1" applyBorder="1" applyAlignment="1">
      <alignment horizontal="center" vertical="center"/>
    </xf>
    <xf numFmtId="176" fontId="58" fillId="0" borderId="0" xfId="0" applyNumberFormat="1" applyFont="1" applyFill="1" applyBorder="1" applyAlignment="1">
      <alignment horizontal="center" vertical="center" wrapText="1"/>
    </xf>
    <xf numFmtId="184" fontId="58" fillId="0" borderId="0" xfId="0" applyNumberFormat="1" applyFont="1" applyFill="1" applyBorder="1" applyAlignment="1">
      <alignment horizontal="center" vertical="center" wrapText="1"/>
    </xf>
    <xf numFmtId="183" fontId="58" fillId="0" borderId="0" xfId="0" applyNumberFormat="1" applyFont="1" applyFill="1" applyBorder="1" applyAlignment="1">
      <alignment horizontal="center" vertical="center" wrapText="1"/>
    </xf>
    <xf numFmtId="177" fontId="58" fillId="0" borderId="0" xfId="0" applyNumberFormat="1" applyFont="1" applyFill="1" applyBorder="1" applyAlignment="1">
      <alignment horizontal="center" vertical="center" wrapText="1"/>
    </xf>
    <xf numFmtId="183" fontId="59" fillId="0" borderId="0" xfId="0" applyNumberFormat="1" applyFont="1" applyFill="1" applyBorder="1" applyAlignment="1">
      <alignment horizontal="center" vertical="center" wrapText="1"/>
    </xf>
    <xf numFmtId="178" fontId="58" fillId="0" borderId="0" xfId="0" applyNumberFormat="1" applyFont="1" applyFill="1" applyBorder="1" applyAlignment="1">
      <alignment horizontal="center" vertical="center" wrapText="1"/>
    </xf>
    <xf numFmtId="181" fontId="58" fillId="0" borderId="0" xfId="0" applyNumberFormat="1" applyFont="1" applyFill="1" applyBorder="1" applyAlignment="1">
      <alignment horizontal="center" vertical="center" wrapText="1"/>
    </xf>
    <xf numFmtId="180" fontId="58" fillId="0" borderId="0" xfId="0" applyNumberFormat="1" applyFont="1" applyFill="1" applyBorder="1" applyAlignment="1">
      <alignment horizontal="center" vertical="center" wrapText="1"/>
    </xf>
    <xf numFmtId="179" fontId="59" fillId="0" borderId="0" xfId="0" applyNumberFormat="1" applyFont="1" applyFill="1" applyBorder="1" applyAlignment="1">
      <alignment horizontal="center" vertical="center" wrapText="1"/>
    </xf>
    <xf numFmtId="215" fontId="0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82" fontId="0" fillId="0" borderId="0" xfId="0" applyNumberFormat="1" applyFont="1" applyBorder="1" applyAlignment="1">
      <alignment vertical="center"/>
    </xf>
    <xf numFmtId="216" fontId="5" fillId="0" borderId="1" xfId="0" applyNumberFormat="1" applyFont="1" applyBorder="1" applyAlignment="1">
      <alignment horizontal="center" vertical="center"/>
    </xf>
    <xf numFmtId="0" fontId="0" fillId="0" borderId="0" xfId="0">
      <alignment vertical="center"/>
    </xf>
    <xf numFmtId="0" fontId="51" fillId="0" borderId="0" xfId="0" applyFont="1" applyAlignment="1">
      <alignment horizontal="center" vertical="center"/>
    </xf>
    <xf numFmtId="179" fontId="6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212" fontId="10" fillId="14" borderId="1" xfId="1" applyNumberFormat="1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214" fontId="51" fillId="2" borderId="1" xfId="0" applyNumberFormat="1" applyFont="1" applyFill="1" applyBorder="1" applyAlignment="1">
      <alignment horizontal="center" vertical="center"/>
    </xf>
    <xf numFmtId="222" fontId="57" fillId="14" borderId="1" xfId="0" applyNumberFormat="1" applyFont="1" applyFill="1" applyBorder="1" applyAlignment="1">
      <alignment horizontal="center" vertical="center"/>
    </xf>
    <xf numFmtId="214" fontId="57" fillId="14" borderId="1" xfId="0" applyNumberFormat="1" applyFont="1" applyFill="1" applyBorder="1" applyAlignment="1">
      <alignment horizontal="center" vertical="center"/>
    </xf>
    <xf numFmtId="0" fontId="63" fillId="14" borderId="1" xfId="0" applyFont="1" applyFill="1" applyBorder="1" applyAlignment="1">
      <alignment horizontal="center" vertical="center"/>
    </xf>
    <xf numFmtId="213" fontId="63" fillId="14" borderId="1" xfId="0" applyNumberFormat="1" applyFont="1" applyFill="1" applyBorder="1" applyAlignment="1">
      <alignment horizontal="right" vertical="center" shrinkToFit="1"/>
    </xf>
    <xf numFmtId="212" fontId="63" fillId="14" borderId="1" xfId="1" applyNumberFormat="1" applyFont="1" applyFill="1" applyBorder="1" applyAlignment="1">
      <alignment horizontal="center" vertical="center"/>
    </xf>
    <xf numFmtId="220" fontId="10" fillId="14" borderId="1" xfId="0" applyNumberFormat="1" applyFont="1" applyFill="1" applyBorder="1" applyAlignment="1">
      <alignment horizontal="center" vertical="center"/>
    </xf>
    <xf numFmtId="216" fontId="6" fillId="14" borderId="1" xfId="0" applyNumberFormat="1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224" fontId="62" fillId="0" borderId="1" xfId="0" applyNumberFormat="1" applyFont="1" applyFill="1" applyBorder="1" applyAlignment="1">
      <alignment horizontal="center" vertical="center" wrapText="1"/>
    </xf>
    <xf numFmtId="182" fontId="0" fillId="0" borderId="1" xfId="0" applyNumberFormat="1" applyFont="1" applyBorder="1" applyAlignment="1">
      <alignment horizontal="center" vertical="center"/>
    </xf>
    <xf numFmtId="176" fontId="53" fillId="0" borderId="1" xfId="0" applyNumberFormat="1" applyFont="1" applyFill="1" applyBorder="1" applyAlignment="1">
      <alignment horizontal="center" vertical="center" wrapText="1"/>
    </xf>
    <xf numFmtId="179" fontId="53" fillId="4" borderId="1" xfId="0" applyNumberFormat="1" applyFont="1" applyFill="1" applyBorder="1" applyAlignment="1">
      <alignment horizontal="center" vertical="center" wrapText="1"/>
    </xf>
    <xf numFmtId="183" fontId="53" fillId="4" borderId="1" xfId="0" applyNumberFormat="1" applyFont="1" applyFill="1" applyBorder="1" applyAlignment="1">
      <alignment horizontal="center" vertical="center" wrapText="1"/>
    </xf>
    <xf numFmtId="185" fontId="53" fillId="4" borderId="1" xfId="0" applyNumberFormat="1" applyFont="1" applyFill="1" applyBorder="1" applyAlignment="1">
      <alignment horizontal="center" vertical="center" wrapText="1"/>
    </xf>
    <xf numFmtId="183" fontId="7" fillId="10" borderId="1" xfId="0" applyNumberFormat="1" applyFont="1" applyFill="1" applyBorder="1" applyAlignment="1">
      <alignment horizontal="center" vertical="center" wrapText="1"/>
    </xf>
    <xf numFmtId="178" fontId="53" fillId="0" borderId="1" xfId="0" applyNumberFormat="1" applyFont="1" applyFill="1" applyBorder="1" applyAlignment="1">
      <alignment horizontal="center" vertical="center" wrapText="1"/>
    </xf>
    <xf numFmtId="181" fontId="54" fillId="14" borderId="1" xfId="0" applyNumberFormat="1" applyFont="1" applyFill="1" applyBorder="1" applyAlignment="1">
      <alignment horizontal="center" vertical="center" wrapText="1"/>
    </xf>
    <xf numFmtId="184" fontId="53" fillId="14" borderId="1" xfId="0" applyNumberFormat="1" applyFont="1" applyFill="1" applyBorder="1" applyAlignment="1">
      <alignment horizontal="center" vertical="center" wrapText="1"/>
    </xf>
    <xf numFmtId="183" fontId="53" fillId="14" borderId="1" xfId="0" applyNumberFormat="1" applyFont="1" applyFill="1" applyBorder="1" applyAlignment="1">
      <alignment horizontal="center" vertical="center" wrapText="1"/>
    </xf>
    <xf numFmtId="180" fontId="53" fillId="0" borderId="1" xfId="0" applyNumberFormat="1" applyFont="1" applyFill="1" applyBorder="1" applyAlignment="1">
      <alignment horizontal="center" vertical="center" wrapText="1"/>
    </xf>
    <xf numFmtId="183" fontId="7" fillId="9" borderId="1" xfId="0" applyNumberFormat="1" applyFont="1" applyFill="1" applyBorder="1" applyAlignment="1">
      <alignment horizontal="center" vertical="center" wrapText="1"/>
    </xf>
    <xf numFmtId="182" fontId="55" fillId="0" borderId="1" xfId="0" applyNumberFormat="1" applyFont="1" applyBorder="1" applyAlignment="1">
      <alignment horizontal="center" vertical="center"/>
    </xf>
    <xf numFmtId="181" fontId="53" fillId="0" borderId="1" xfId="0" applyNumberFormat="1" applyFont="1" applyFill="1" applyBorder="1" applyAlignment="1">
      <alignment horizontal="center" vertical="center" wrapText="1"/>
    </xf>
    <xf numFmtId="183" fontId="7" fillId="11" borderId="1" xfId="0" applyNumberFormat="1" applyFont="1" applyFill="1" applyBorder="1" applyAlignment="1">
      <alignment horizontal="center" vertical="center" wrapText="1"/>
    </xf>
    <xf numFmtId="185" fontId="54" fillId="4" borderId="1" xfId="0" applyNumberFormat="1" applyFont="1" applyFill="1" applyBorder="1" applyAlignment="1">
      <alignment horizontal="center" vertical="center" wrapText="1"/>
    </xf>
    <xf numFmtId="177" fontId="53" fillId="0" borderId="1" xfId="0" applyNumberFormat="1" applyFont="1" applyFill="1" applyBorder="1" applyAlignment="1">
      <alignment horizontal="center" vertical="center" wrapText="1"/>
    </xf>
    <xf numFmtId="184" fontId="53" fillId="0" borderId="1" xfId="0" applyNumberFormat="1" applyFont="1" applyFill="1" applyBorder="1" applyAlignment="1">
      <alignment horizontal="center" vertical="center" wrapText="1"/>
    </xf>
    <xf numFmtId="179" fontId="53" fillId="3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222" fontId="51" fillId="2" borderId="1" xfId="0" applyNumberFormat="1" applyFont="1" applyFill="1" applyBorder="1" applyAlignment="1">
      <alignment horizontal="center" vertical="center"/>
    </xf>
    <xf numFmtId="212" fontId="10" fillId="0" borderId="1" xfId="1" applyNumberFormat="1" applyFont="1" applyFill="1" applyBorder="1" applyAlignment="1">
      <alignment horizontal="center" vertical="center"/>
    </xf>
    <xf numFmtId="0" fontId="64" fillId="0" borderId="1" xfId="0" applyFont="1" applyFill="1" applyBorder="1" applyAlignment="1">
      <alignment horizontal="center" vertical="center"/>
    </xf>
    <xf numFmtId="220" fontId="10" fillId="3" borderId="1" xfId="0" applyNumberFormat="1" applyFont="1" applyFill="1" applyBorder="1" applyAlignment="1">
      <alignment horizontal="center" vertical="center"/>
    </xf>
    <xf numFmtId="225" fontId="0" fillId="8" borderId="1" xfId="0" applyNumberFormat="1" applyFont="1" applyFill="1" applyBorder="1" applyAlignment="1">
      <alignment horizontal="center" vertical="center"/>
    </xf>
    <xf numFmtId="226" fontId="51" fillId="0" borderId="1" xfId="0" applyNumberFormat="1" applyFont="1" applyBorder="1" applyAlignment="1">
      <alignment horizontal="center" vertical="center"/>
    </xf>
    <xf numFmtId="226" fontId="51" fillId="10" borderId="1" xfId="0" applyNumberFormat="1" applyFont="1" applyFill="1" applyBorder="1" applyAlignment="1">
      <alignment horizontal="center" vertical="center"/>
    </xf>
    <xf numFmtId="212" fontId="63" fillId="3" borderId="1" xfId="1" applyNumberFormat="1" applyFont="1" applyFill="1" applyBorder="1" applyAlignment="1">
      <alignment horizontal="center" vertical="center"/>
    </xf>
    <xf numFmtId="212" fontId="10" fillId="3" borderId="1" xfId="1" applyNumberFormat="1" applyFont="1" applyFill="1" applyBorder="1" applyAlignment="1">
      <alignment horizontal="center" vertical="center"/>
    </xf>
    <xf numFmtId="176" fontId="54" fillId="0" borderId="1" xfId="0" applyNumberFormat="1" applyFont="1" applyFill="1" applyBorder="1" applyAlignment="1">
      <alignment horizontal="center" vertical="center" wrapText="1"/>
    </xf>
    <xf numFmtId="182" fontId="66" fillId="3" borderId="1" xfId="0" applyNumberFormat="1" applyFont="1" applyFill="1" applyBorder="1" applyAlignment="1">
      <alignment horizontal="center" vertical="center"/>
    </xf>
    <xf numFmtId="0" fontId="57" fillId="14" borderId="1" xfId="0" applyFont="1" applyFill="1" applyBorder="1" applyAlignment="1">
      <alignment horizontal="center" vertical="center"/>
    </xf>
    <xf numFmtId="223" fontId="68" fillId="0" borderId="1" xfId="147" applyNumberFormat="1" applyFont="1" applyFill="1" applyBorder="1" applyAlignment="1">
      <alignment horizontal="center" vertical="center"/>
    </xf>
    <xf numFmtId="180" fontId="58" fillId="14" borderId="1" xfId="0" applyNumberFormat="1" applyFont="1" applyFill="1" applyBorder="1" applyAlignment="1">
      <alignment horizontal="center" vertical="center" wrapText="1"/>
    </xf>
    <xf numFmtId="181" fontId="58" fillId="14" borderId="1" xfId="0" applyNumberFormat="1" applyFont="1" applyFill="1" applyBorder="1" applyAlignment="1">
      <alignment horizontal="center" vertical="center" wrapText="1"/>
    </xf>
    <xf numFmtId="178" fontId="58" fillId="14" borderId="1" xfId="0" applyNumberFormat="1" applyFont="1" applyFill="1" applyBorder="1" applyAlignment="1">
      <alignment horizontal="center" vertical="center" wrapText="1"/>
    </xf>
    <xf numFmtId="183" fontId="59" fillId="14" borderId="1" xfId="0" applyNumberFormat="1" applyFont="1" applyFill="1" applyBorder="1" applyAlignment="1">
      <alignment horizontal="center" vertical="center" wrapText="1"/>
    </xf>
    <xf numFmtId="185" fontId="58" fillId="14" borderId="1" xfId="0" applyNumberFormat="1" applyFont="1" applyFill="1" applyBorder="1" applyAlignment="1">
      <alignment horizontal="center" vertical="center" wrapText="1"/>
    </xf>
    <xf numFmtId="177" fontId="58" fillId="14" borderId="1" xfId="0" applyNumberFormat="1" applyFont="1" applyFill="1" applyBorder="1" applyAlignment="1">
      <alignment horizontal="center" vertical="center" wrapText="1"/>
    </xf>
    <xf numFmtId="184" fontId="58" fillId="14" borderId="1" xfId="0" applyNumberFormat="1" applyFont="1" applyFill="1" applyBorder="1" applyAlignment="1">
      <alignment horizontal="center" vertical="center" wrapText="1"/>
    </xf>
    <xf numFmtId="176" fontId="58" fillId="14" borderId="1" xfId="0" applyNumberFormat="1" applyFont="1" applyFill="1" applyBorder="1" applyAlignment="1">
      <alignment horizontal="center" vertical="center" wrapText="1"/>
    </xf>
    <xf numFmtId="183" fontId="58" fillId="14" borderId="1" xfId="0" applyNumberFormat="1" applyFont="1" applyFill="1" applyBorder="1" applyAlignment="1">
      <alignment horizontal="center" vertical="center" wrapText="1"/>
    </xf>
    <xf numFmtId="182" fontId="57" fillId="14" borderId="1" xfId="0" applyNumberFormat="1" applyFont="1" applyFill="1" applyBorder="1" applyAlignment="1">
      <alignment horizontal="center" vertical="center"/>
    </xf>
    <xf numFmtId="179" fontId="58" fillId="14" borderId="1" xfId="0" applyNumberFormat="1" applyFont="1" applyFill="1" applyBorder="1" applyAlignment="1">
      <alignment horizontal="center" vertical="center" wrapText="1"/>
    </xf>
    <xf numFmtId="223" fontId="65" fillId="0" borderId="1" xfId="147" applyNumberFormat="1" applyFont="1" applyFill="1" applyBorder="1" applyAlignment="1">
      <alignment horizontal="center" vertical="center"/>
    </xf>
    <xf numFmtId="0" fontId="68" fillId="2" borderId="1" xfId="0" applyFont="1" applyFill="1" applyBorder="1" applyAlignment="1">
      <alignment horizontal="center" vertical="center"/>
    </xf>
    <xf numFmtId="222" fontId="10" fillId="2" borderId="1" xfId="0" applyNumberFormat="1" applyFont="1" applyFill="1" applyBorder="1" applyAlignment="1">
      <alignment horizontal="center" vertical="center"/>
    </xf>
    <xf numFmtId="222" fontId="65" fillId="2" borderId="1" xfId="0" applyNumberFormat="1" applyFont="1" applyFill="1" applyBorder="1" applyAlignment="1">
      <alignment horizontal="center" vertical="center"/>
    </xf>
    <xf numFmtId="179" fontId="62" fillId="0" borderId="1" xfId="0" applyNumberFormat="1" applyFont="1" applyFill="1" applyBorder="1" applyAlignment="1">
      <alignment horizontal="center" vertical="center" wrapText="1"/>
    </xf>
    <xf numFmtId="179" fontId="6" fillId="14" borderId="1" xfId="0" applyNumberFormat="1" applyFont="1" applyFill="1" applyBorder="1" applyAlignment="1">
      <alignment horizontal="center" vertical="center" wrapText="1"/>
    </xf>
    <xf numFmtId="179" fontId="62" fillId="0" borderId="1" xfId="0" applyNumberFormat="1" applyFont="1" applyFill="1" applyBorder="1" applyAlignment="1">
      <alignment horizontal="right" vertical="center" wrapText="1"/>
    </xf>
    <xf numFmtId="214" fontId="57" fillId="4" borderId="1" xfId="0" applyNumberFormat="1" applyFont="1" applyFill="1" applyBorder="1" applyAlignment="1">
      <alignment horizontal="center" vertical="center"/>
    </xf>
    <xf numFmtId="213" fontId="61" fillId="0" borderId="1" xfId="0" applyNumberFormat="1" applyFont="1" applyFill="1" applyBorder="1" applyAlignment="1">
      <alignment horizontal="right" vertical="center" shrinkToFit="1"/>
    </xf>
    <xf numFmtId="0" fontId="65" fillId="0" borderId="1" xfId="0" applyFont="1" applyFill="1" applyBorder="1" applyAlignment="1">
      <alignment horizontal="center" vertical="center"/>
    </xf>
    <xf numFmtId="227" fontId="67" fillId="3" borderId="1" xfId="0" applyNumberFormat="1" applyFont="1" applyFill="1" applyBorder="1" applyAlignment="1">
      <alignment horizontal="right" vertical="center"/>
    </xf>
    <xf numFmtId="214" fontId="0" fillId="2" borderId="1" xfId="0" applyNumberFormat="1" applyFill="1" applyBorder="1" applyAlignment="1">
      <alignment horizontal="center" vertical="center"/>
    </xf>
    <xf numFmtId="222" fontId="60" fillId="13" borderId="1" xfId="0" applyNumberFormat="1" applyFont="1" applyFill="1" applyBorder="1" applyAlignment="1">
      <alignment horizontal="center" vertical="center"/>
    </xf>
    <xf numFmtId="222" fontId="0" fillId="4" borderId="1" xfId="0" applyNumberFormat="1" applyFill="1" applyBorder="1" applyAlignment="1">
      <alignment horizontal="center" vertical="center"/>
    </xf>
    <xf numFmtId="222" fontId="0" fillId="2" borderId="1" xfId="0" applyNumberFormat="1" applyFill="1" applyBorder="1" applyAlignment="1">
      <alignment horizontal="center" vertical="center"/>
    </xf>
    <xf numFmtId="214" fontId="0" fillId="4" borderId="1" xfId="0" applyNumberFormat="1" applyFill="1" applyBorder="1" applyAlignment="1">
      <alignment horizontal="center" vertical="center"/>
    </xf>
    <xf numFmtId="214" fontId="60" fillId="13" borderId="1" xfId="0" applyNumberFormat="1" applyFont="1" applyFill="1" applyBorder="1" applyAlignment="1">
      <alignment horizontal="center" vertical="center"/>
    </xf>
    <xf numFmtId="214" fontId="10" fillId="2" borderId="1" xfId="0" applyNumberFormat="1" applyFont="1" applyFill="1" applyBorder="1" applyAlignment="1">
      <alignment horizontal="center" vertical="center"/>
    </xf>
    <xf numFmtId="214" fontId="10" fillId="4" borderId="1" xfId="0" applyNumberFormat="1" applyFont="1" applyFill="1" applyBorder="1" applyAlignment="1">
      <alignment horizontal="center" vertical="center"/>
    </xf>
    <xf numFmtId="222" fontId="10" fillId="4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/>
    </xf>
    <xf numFmtId="0" fontId="56" fillId="12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 wrapText="1"/>
    </xf>
    <xf numFmtId="179" fontId="62" fillId="0" borderId="1" xfId="0" applyNumberFormat="1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/>
    </xf>
    <xf numFmtId="0" fontId="57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0" fillId="8" borderId="5" xfId="0" applyFont="1" applyFill="1" applyBorder="1" applyAlignment="1">
      <alignment horizontal="center" vertical="center"/>
    </xf>
    <xf numFmtId="0" fontId="0" fillId="8" borderId="6" xfId="0" applyFont="1" applyFill="1" applyBorder="1" applyAlignment="1">
      <alignment horizontal="center" vertical="center"/>
    </xf>
    <xf numFmtId="0" fontId="0" fillId="8" borderId="7" xfId="0" applyFont="1" applyFill="1" applyBorder="1" applyAlignment="1">
      <alignment horizontal="center" vertical="center"/>
    </xf>
    <xf numFmtId="0" fontId="0" fillId="8" borderId="12" xfId="0" applyFont="1" applyFill="1" applyBorder="1" applyAlignment="1">
      <alignment horizontal="center" vertical="center"/>
    </xf>
    <xf numFmtId="0" fontId="0" fillId="8" borderId="0" xfId="0" applyFont="1" applyFill="1" applyBorder="1" applyAlignment="1">
      <alignment horizontal="center" vertical="center"/>
    </xf>
    <xf numFmtId="0" fontId="0" fillId="8" borderId="11" xfId="0" applyFont="1" applyFill="1" applyBorder="1" applyAlignment="1">
      <alignment horizontal="center" vertical="center"/>
    </xf>
    <xf numFmtId="0" fontId="0" fillId="8" borderId="8" xfId="0" applyFont="1" applyFill="1" applyBorder="1" applyAlignment="1">
      <alignment horizontal="center" vertical="center"/>
    </xf>
    <xf numFmtId="0" fontId="0" fillId="8" borderId="9" xfId="0" applyFont="1" applyFill="1" applyBorder="1" applyAlignment="1">
      <alignment horizontal="center" vertical="center"/>
    </xf>
    <xf numFmtId="0" fontId="0" fillId="8" borderId="10" xfId="0" applyFont="1" applyFill="1" applyBorder="1" applyAlignment="1">
      <alignment horizontal="center" vertical="center"/>
    </xf>
    <xf numFmtId="179" fontId="6" fillId="14" borderId="1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218" fontId="0" fillId="0" borderId="0" xfId="1" applyNumberFormat="1" applyFont="1" applyFill="1" applyAlignment="1">
      <alignment horizontal="center" vertical="center"/>
    </xf>
    <xf numFmtId="185" fontId="53" fillId="0" borderId="4" xfId="0" applyNumberFormat="1" applyFont="1" applyFill="1" applyBorder="1" applyAlignment="1">
      <alignment horizontal="center" vertical="center" wrapText="1"/>
    </xf>
    <xf numFmtId="217" fontId="53" fillId="0" borderId="4" xfId="0" applyNumberFormat="1" applyFont="1" applyFill="1" applyBorder="1" applyAlignment="1">
      <alignment horizontal="center" vertical="center" wrapText="1"/>
    </xf>
    <xf numFmtId="219" fontId="53" fillId="0" borderId="4" xfId="0" applyNumberFormat="1" applyFont="1" applyFill="1" applyBorder="1" applyAlignment="1">
      <alignment horizontal="center" vertical="center" wrapText="1"/>
    </xf>
    <xf numFmtId="0" fontId="51" fillId="0" borderId="0" xfId="0" applyFont="1" applyFill="1" applyAlignment="1">
      <alignment horizontal="center" vertical="center"/>
    </xf>
  </cellXfs>
  <cellStyles count="150">
    <cellStyle name="??&amp;O?&amp;H?_x0008__x000f__x0007_?_x0007__x0001__x0001_" xfId="8"/>
    <cellStyle name="??&amp;O?&amp;H?_x0008_??_x0007__x0001__x0001_" xfId="9"/>
    <cellStyle name="?W?_laroux" xfId="10"/>
    <cellStyle name="’E‰Y [0.00]_laroux" xfId="11"/>
    <cellStyle name="’E‰Y_laroux" xfId="12"/>
    <cellStyle name="2)" xfId="13"/>
    <cellStyle name="ÅëÈ­ [0]_»óºÎ¼ö·®Áý°è " xfId="14"/>
    <cellStyle name="AeE­ [0]_INQUIRY ¿μ¾÷AßAø " xfId="15"/>
    <cellStyle name="ÅëÈ­_»óºÎ¼ö·®Áý°è " xfId="16"/>
    <cellStyle name="AeE­_INQUIRY ¿μ¾÷AßAø " xfId="17"/>
    <cellStyle name="ALIGNMENT" xfId="18"/>
    <cellStyle name="ÄÞ¸¶ [0]_»óºÎ¼ö·®Áý°è " xfId="19"/>
    <cellStyle name="AÞ¸¶ [0]_INQUIRY ¿μ¾÷AßAø " xfId="20"/>
    <cellStyle name="ÄÞ¸¶_»óºÎ¼ö·®Áý°è " xfId="21"/>
    <cellStyle name="AÞ¸¶_INQUIRY ¿μ¾÷AßAø " xfId="22"/>
    <cellStyle name="C￥AØ_¿μ¾÷CoE² " xfId="23"/>
    <cellStyle name="Ç¥ÁØ_»óºÎ¼ö·®Áý°è " xfId="24"/>
    <cellStyle name="Calc Currency (0)" xfId="25"/>
    <cellStyle name="category" xfId="26"/>
    <cellStyle name="Comma" xfId="27"/>
    <cellStyle name="Comma [0]_ SG&amp;A Bridge " xfId="28"/>
    <cellStyle name="comma zerodec" xfId="29"/>
    <cellStyle name="Comma_ SG&amp;A Bridge " xfId="30"/>
    <cellStyle name="Comma0" xfId="31"/>
    <cellStyle name="Currenby_Cash&amp;DSO Chart" xfId="32"/>
    <cellStyle name="Currency" xfId="33"/>
    <cellStyle name="Currency [0]_ SG&amp;A Bridge " xfId="34"/>
    <cellStyle name="Currency_ SG&amp;A Bridge " xfId="35"/>
    <cellStyle name="Currency0" xfId="36"/>
    <cellStyle name="Currency1" xfId="37"/>
    <cellStyle name="Date" xfId="38"/>
    <cellStyle name="Dollar (zero dec)" xfId="39"/>
    <cellStyle name="F2" xfId="40"/>
    <cellStyle name="F3" xfId="41"/>
    <cellStyle name="F4" xfId="42"/>
    <cellStyle name="F5" xfId="43"/>
    <cellStyle name="F6" xfId="44"/>
    <cellStyle name="F7" xfId="45"/>
    <cellStyle name="F8" xfId="46"/>
    <cellStyle name="Fixed" xfId="47"/>
    <cellStyle name="Grey" xfId="48"/>
    <cellStyle name="HEADER" xfId="49"/>
    <cellStyle name="Header1" xfId="50"/>
    <cellStyle name="Header2" xfId="51"/>
    <cellStyle name="Heading 1" xfId="52"/>
    <cellStyle name="Heading 2" xfId="53"/>
    <cellStyle name="Heading1" xfId="54"/>
    <cellStyle name="Heading2" xfId="55"/>
    <cellStyle name="Hyperlink_NEGS" xfId="56"/>
    <cellStyle name="Input [yellow]" xfId="57"/>
    <cellStyle name="Midtitle" xfId="58"/>
    <cellStyle name="Milliers [0]_Arabian Spec" xfId="59"/>
    <cellStyle name="Milliers_Arabian Spec" xfId="60"/>
    <cellStyle name="Model" xfId="61"/>
    <cellStyle name="Mon?aire [0]_Arabian Spec" xfId="62"/>
    <cellStyle name="Mon?aire_Arabian Spec" xfId="63"/>
    <cellStyle name="normal" xfId="64"/>
    <cellStyle name="Normal - Style1" xfId="65"/>
    <cellStyle name="Normal_ SG&amp;A Bridge " xfId="66"/>
    <cellStyle name="Œ…?æ맖?e [0.00]_laroux" xfId="67"/>
    <cellStyle name="Œ…?æ맖?e_laroux" xfId="68"/>
    <cellStyle name="Percent" xfId="69"/>
    <cellStyle name="Percent [2]" xfId="70"/>
    <cellStyle name="Percent_00_전체토공수량" xfId="71"/>
    <cellStyle name="subhead" xfId="72"/>
    <cellStyle name="testtitle" xfId="73"/>
    <cellStyle name="title [1]" xfId="74"/>
    <cellStyle name="title [2]" xfId="75"/>
    <cellStyle name="Total" xfId="76"/>
    <cellStyle name="UM" xfId="77"/>
    <cellStyle name="고정소숫점" xfId="78"/>
    <cellStyle name="고정출력1" xfId="79"/>
    <cellStyle name="고정출력2" xfId="80"/>
    <cellStyle name="공종-규격" xfId="81"/>
    <cellStyle name="날짜" xfId="82"/>
    <cellStyle name="단위-&quot;*&quot;" xfId="83"/>
    <cellStyle name="단위-%" xfId="84"/>
    <cellStyle name="단위-kg" xfId="85"/>
    <cellStyle name="단위-m" xfId="86"/>
    <cellStyle name="단위-㎡" xfId="87"/>
    <cellStyle name="단위-㎡/개소" xfId="88"/>
    <cellStyle name="단위-㎡_관보호공" xfId="89"/>
    <cellStyle name="단위-㎥" xfId="90"/>
    <cellStyle name="단위-t=" xfId="91"/>
    <cellStyle name="달러" xfId="92"/>
    <cellStyle name="대공종" xfId="93"/>
    <cellStyle name="뒤에 오는 하이퍼링크_1차포장공1" xfId="94"/>
    <cellStyle name="똿뗦먛귟 [0.00]_PRODUCT DETAIL Q1" xfId="95"/>
    <cellStyle name="똿뗦먛귟_PRODUCT DETAIL Q1" xfId="96"/>
    <cellStyle name="믅됞 [0.00]_PRODUCT DETAIL Q1" xfId="97"/>
    <cellStyle name="믅됞_PRODUCT DETAIL Q1" xfId="98"/>
    <cellStyle name="백분율 [0]" xfId="99"/>
    <cellStyle name="백분율 [2]" xfId="100"/>
    <cellStyle name="뷭?_BOOKSHIP" xfId="101"/>
    <cellStyle name="산출식" xfId="102"/>
    <cellStyle name="선택영역" xfId="103"/>
    <cellStyle name="선택영역 가운데" xfId="104"/>
    <cellStyle name="선택영역_토공수량" xfId="105"/>
    <cellStyle name="선택영역의 가운데" xfId="106"/>
    <cellStyle name="선택영영" xfId="107"/>
    <cellStyle name="소공종" xfId="108"/>
    <cellStyle name="소숫점0" xfId="109"/>
    <cellStyle name="소숫점3" xfId="110"/>
    <cellStyle name="수량산출" xfId="111"/>
    <cellStyle name="숫자" xfId="112"/>
    <cellStyle name="숫자(R)" xfId="113"/>
    <cellStyle name="숫자1" xfId="114"/>
    <cellStyle name="숫자3" xfId="115"/>
    <cellStyle name="숫자3R" xfId="116"/>
    <cellStyle name="숫자3자리" xfId="117"/>
    <cellStyle name="쉼표 [0]" xfId="1" builtinId="6"/>
    <cellStyle name="쉼표 [0] 2" xfId="2"/>
    <cellStyle name="쉼표 [0] 2 2" xfId="139"/>
    <cellStyle name="쉼표 [0] 3" xfId="146"/>
    <cellStyle name="쉼표 [0] 3 2" xfId="147"/>
    <cellStyle name="쉼표 [0] 6" xfId="3"/>
    <cellStyle name="쉼표 [0] 6 2" xfId="140"/>
    <cellStyle name="쉼표 [0] 6 3" xfId="118"/>
    <cellStyle name="스타일 1" xfId="119"/>
    <cellStyle name="안건회계법인" xfId="120"/>
    <cellStyle name="양식-타이틀" xfId="121"/>
    <cellStyle name="유1" xfId="122"/>
    <cellStyle name="일반" xfId="123"/>
    <cellStyle name="자리수" xfId="124"/>
    <cellStyle name="자리수0" xfId="125"/>
    <cellStyle name="지정되지 않음" xfId="126"/>
    <cellStyle name="콤마 [0]_ 4.하중계산  " xfId="127"/>
    <cellStyle name="콤마 [1]" xfId="128"/>
    <cellStyle name="콤마 [2]" xfId="129"/>
    <cellStyle name="콤마_ 4.하중계산  " xfId="130"/>
    <cellStyle name="통화 [0] 2" xfId="131"/>
    <cellStyle name="통화 [0㉝〸" xfId="132"/>
    <cellStyle name="퍼센트" xfId="133"/>
    <cellStyle name="표준" xfId="0" builtinId="0"/>
    <cellStyle name="표준 12" xfId="143"/>
    <cellStyle name="표준 2" xfId="4"/>
    <cellStyle name="표준 2 3" xfId="5"/>
    <cellStyle name="표준 2 3 2" xfId="141"/>
    <cellStyle name="표준 3" xfId="138"/>
    <cellStyle name="표준 3 2" xfId="144"/>
    <cellStyle name="표준 3 3" xfId="148"/>
    <cellStyle name="표준 4" xfId="6"/>
    <cellStyle name="표준 5" xfId="7"/>
    <cellStyle name="표준 5 2" xfId="142"/>
    <cellStyle name="표준 5 3" xfId="134"/>
    <cellStyle name="표준 6" xfId="145"/>
    <cellStyle name="표준 6 2" xfId="149"/>
    <cellStyle name="합산" xfId="135"/>
    <cellStyle name="화폐기호" xfId="136"/>
    <cellStyle name="화폐기호0" xfId="1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72"/>
  <sheetViews>
    <sheetView showGridLines="0" tabSelected="1" zoomScale="85" zoomScaleNormal="85" zoomScaleSheetLayoutView="55" workbookViewId="0">
      <pane xSplit="14" ySplit="5" topLeftCell="CY39" activePane="bottomRight" state="frozen"/>
      <selection pane="topRight" activeCell="O1" sqref="O1"/>
      <selection pane="bottomLeft" activeCell="A9" sqref="A9"/>
      <selection pane="bottomRight" activeCell="DL64" sqref="DL64"/>
    </sheetView>
  </sheetViews>
  <sheetFormatPr defaultRowHeight="16.5"/>
  <cols>
    <col min="1" max="1" width="3.375" customWidth="1"/>
    <col min="2" max="2" width="5" style="2" customWidth="1"/>
    <col min="3" max="3" width="20.125" customWidth="1"/>
    <col min="4" max="4" width="30.125" style="29" bestFit="1" customWidth="1"/>
    <col min="5" max="5" width="9" style="65" customWidth="1"/>
    <col min="6" max="6" width="7.125" bestFit="1" customWidth="1"/>
    <col min="7" max="7" width="11.625" customWidth="1"/>
    <col min="8" max="8" width="11" bestFit="1" customWidth="1"/>
    <col min="9" max="10" width="14.375" style="2" bestFit="1" customWidth="1"/>
    <col min="11" max="11" width="9.875" customWidth="1"/>
    <col min="12" max="12" width="10.75" style="3" customWidth="1"/>
    <col min="13" max="13" width="9.375" style="4" bestFit="1" customWidth="1"/>
    <col min="14" max="14" width="9.375" style="2" customWidth="1"/>
    <col min="15" max="15" width="8.125" style="2" customWidth="1"/>
    <col min="16" max="16" width="9.25" style="2" bestFit="1" customWidth="1"/>
    <col min="17" max="17" width="9.25" style="2" customWidth="1"/>
    <col min="18" max="18" width="10.75" style="2" customWidth="1"/>
    <col min="19" max="20" width="8.125" style="2" customWidth="1"/>
    <col min="21" max="21" width="10.125" style="2" bestFit="1" customWidth="1"/>
    <col min="22" max="22" width="10.125" style="2" customWidth="1"/>
    <col min="23" max="23" width="11.25" style="2" bestFit="1" customWidth="1"/>
    <col min="24" max="24" width="9.125" style="2" bestFit="1" customWidth="1"/>
    <col min="25" max="25" width="8.125" style="2" customWidth="1"/>
    <col min="26" max="26" width="8.5" style="2" customWidth="1"/>
    <col min="27" max="27" width="11.125" style="2" customWidth="1"/>
    <col min="28" max="28" width="9.75" style="2" bestFit="1" customWidth="1"/>
    <col min="29" max="30" width="8.125" style="2" customWidth="1"/>
    <col min="31" max="31" width="8.625" style="2" customWidth="1"/>
    <col min="32" max="32" width="10.125" style="2" customWidth="1"/>
    <col min="33" max="37" width="8.125" style="2" customWidth="1"/>
    <col min="38" max="38" width="9.875" style="2" bestFit="1" customWidth="1"/>
    <col min="39" max="41" width="8.125" style="2" customWidth="1"/>
    <col min="42" max="43" width="8.25" style="2" customWidth="1"/>
    <col min="44" max="44" width="9" style="2" customWidth="1"/>
    <col min="45" max="60" width="8.25" style="2" customWidth="1"/>
    <col min="61" max="61" width="10" style="2" bestFit="1" customWidth="1"/>
    <col min="62" max="70" width="8.25" style="2" customWidth="1"/>
    <col min="71" max="71" width="10.25" style="2" bestFit="1" customWidth="1"/>
    <col min="72" max="75" width="8.25" style="2" customWidth="1"/>
    <col min="76" max="76" width="9.25" style="2" customWidth="1"/>
    <col min="77" max="92" width="8.25" style="2" customWidth="1"/>
    <col min="93" max="93" width="9.625" style="2" bestFit="1" customWidth="1"/>
    <col min="94" max="95" width="8.25" style="2" customWidth="1"/>
    <col min="96" max="96" width="8" style="2" customWidth="1"/>
    <col min="97" max="97" width="8.25" style="2" customWidth="1"/>
    <col min="98" max="98" width="11.625" style="2" bestFit="1" customWidth="1"/>
    <col min="99" max="100" width="8.25" style="2" customWidth="1"/>
    <col min="101" max="101" width="7.625" style="2" customWidth="1"/>
    <col min="102" max="102" width="8.25" style="2" customWidth="1"/>
    <col min="103" max="103" width="9.75" style="2" bestFit="1" customWidth="1"/>
    <col min="104" max="111" width="8.25" style="2" customWidth="1"/>
    <col min="112" max="115" width="8.25" style="30" customWidth="1"/>
    <col min="116" max="119" width="9" style="30"/>
    <col min="120" max="125" width="9" style="2"/>
  </cols>
  <sheetData>
    <row r="1" spans="1:125" s="136" customFormat="1" ht="24.95" customHeight="1">
      <c r="B1" s="137"/>
      <c r="C1" s="138"/>
      <c r="D1" s="138"/>
      <c r="E1" s="138"/>
      <c r="F1" s="138"/>
      <c r="G1" s="139"/>
      <c r="H1" s="139"/>
      <c r="I1" s="137"/>
      <c r="J1" s="137"/>
      <c r="N1" s="140"/>
      <c r="O1" s="137"/>
      <c r="P1" s="141"/>
      <c r="Q1" s="142"/>
      <c r="R1" s="143"/>
      <c r="S1" s="137"/>
      <c r="T1" s="137"/>
      <c r="U1" s="141"/>
      <c r="V1" s="142"/>
      <c r="W1" s="143"/>
      <c r="X1" s="137"/>
      <c r="Y1" s="137"/>
      <c r="Z1" s="141"/>
      <c r="AA1" s="142"/>
      <c r="AB1" s="143"/>
      <c r="AC1" s="137"/>
      <c r="AD1" s="137"/>
      <c r="AE1" s="141"/>
      <c r="AF1" s="142"/>
      <c r="AG1" s="143"/>
      <c r="AH1" s="137"/>
      <c r="AI1" s="137"/>
      <c r="AJ1" s="141"/>
      <c r="AK1" s="142"/>
      <c r="AL1" s="143"/>
      <c r="AM1" s="137"/>
      <c r="AN1" s="137"/>
      <c r="AO1" s="137"/>
      <c r="AP1" s="137"/>
      <c r="AQ1" s="137"/>
      <c r="AR1" s="137"/>
      <c r="AS1" s="137"/>
      <c r="AT1" s="137"/>
      <c r="AU1" s="137"/>
      <c r="AV1" s="141"/>
      <c r="AW1" s="142"/>
      <c r="AX1" s="143"/>
      <c r="AY1" s="137"/>
      <c r="AZ1" s="137"/>
      <c r="BA1" s="141"/>
      <c r="BB1" s="142"/>
      <c r="BC1" s="143"/>
      <c r="BD1" s="137"/>
      <c r="BE1" s="137"/>
      <c r="BF1" s="137"/>
      <c r="BG1" s="141"/>
      <c r="BH1" s="142"/>
      <c r="BI1" s="143"/>
      <c r="BJ1" s="137"/>
      <c r="BK1" s="137"/>
      <c r="BL1" s="141"/>
      <c r="BM1" s="142"/>
      <c r="BN1" s="143"/>
      <c r="BO1" s="137"/>
      <c r="BP1" s="137"/>
      <c r="BQ1" s="141"/>
      <c r="BR1" s="142"/>
      <c r="BS1" s="143"/>
      <c r="BT1" s="137"/>
      <c r="BU1" s="137"/>
      <c r="BV1" s="141"/>
      <c r="BW1" s="142"/>
      <c r="BX1" s="143"/>
      <c r="BY1" s="137"/>
      <c r="BZ1" s="137"/>
      <c r="CA1" s="137"/>
      <c r="CB1" s="137"/>
      <c r="CC1" s="141"/>
      <c r="CD1" s="142"/>
      <c r="CE1" s="143"/>
      <c r="CF1" s="137"/>
      <c r="CG1" s="137"/>
      <c r="CH1" s="141"/>
      <c r="CI1" s="142"/>
      <c r="CJ1" s="143"/>
      <c r="CK1" s="137"/>
      <c r="CL1" s="137"/>
      <c r="CM1" s="141"/>
      <c r="CN1" s="142"/>
      <c r="CO1" s="143"/>
      <c r="CP1" s="137"/>
      <c r="CQ1" s="137"/>
      <c r="CR1" s="141"/>
      <c r="CS1" s="142"/>
      <c r="CT1" s="143"/>
      <c r="CU1" s="137"/>
      <c r="CV1" s="137"/>
      <c r="CW1" s="141"/>
      <c r="CX1" s="142"/>
      <c r="CY1" s="143"/>
      <c r="CZ1" s="137"/>
      <c r="DA1" s="137"/>
      <c r="DB1" s="141"/>
      <c r="DC1" s="142"/>
      <c r="DD1" s="143"/>
      <c r="DE1" s="137"/>
      <c r="DF1" s="142"/>
      <c r="DG1" s="143"/>
      <c r="DH1" s="144"/>
      <c r="DI1" s="144"/>
      <c r="DJ1" s="144"/>
      <c r="DK1" s="144"/>
      <c r="DL1" s="144"/>
      <c r="DM1" s="144"/>
      <c r="DN1" s="144"/>
      <c r="DO1" s="144"/>
      <c r="DP1" s="137"/>
      <c r="DQ1" s="137"/>
      <c r="DR1" s="137"/>
      <c r="DS1" s="137"/>
      <c r="DT1" s="137"/>
      <c r="DU1" s="137"/>
    </row>
    <row r="2" spans="1:125" s="1" customFormat="1" ht="17.25" customHeight="1">
      <c r="A2" s="118"/>
      <c r="B2" s="126" t="s">
        <v>1</v>
      </c>
      <c r="C2" s="127"/>
      <c r="D2" s="127"/>
      <c r="E2" s="127"/>
      <c r="F2" s="127"/>
      <c r="G2" s="127"/>
      <c r="H2" s="128"/>
      <c r="I2" s="119" t="s">
        <v>15</v>
      </c>
      <c r="J2" s="119"/>
      <c r="K2" s="120" t="s">
        <v>41</v>
      </c>
      <c r="L2" s="120" t="s">
        <v>46</v>
      </c>
      <c r="M2" s="120" t="s">
        <v>66</v>
      </c>
      <c r="N2" s="120" t="s">
        <v>57</v>
      </c>
      <c r="O2" s="110" t="s">
        <v>25</v>
      </c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2" t="s">
        <v>28</v>
      </c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5" t="s">
        <v>22</v>
      </c>
      <c r="CD2" s="115"/>
      <c r="CE2" s="115"/>
      <c r="CF2" s="115"/>
      <c r="CG2" s="115"/>
      <c r="CH2" s="115"/>
      <c r="CI2" s="115"/>
      <c r="CJ2" s="115"/>
      <c r="CK2" s="115"/>
      <c r="CL2" s="115"/>
      <c r="CM2" s="115"/>
      <c r="CN2" s="115"/>
      <c r="CO2" s="115"/>
      <c r="CP2" s="115"/>
      <c r="CQ2" s="115"/>
      <c r="CR2" s="115"/>
      <c r="CS2" s="115"/>
      <c r="CT2" s="115"/>
      <c r="CU2" s="115"/>
      <c r="CV2" s="115"/>
      <c r="CW2" s="115"/>
      <c r="CX2" s="115"/>
      <c r="CY2" s="115"/>
      <c r="CZ2" s="115"/>
      <c r="DA2" s="115"/>
      <c r="DB2" s="115"/>
      <c r="DC2" s="115"/>
      <c r="DD2" s="115"/>
      <c r="DE2" s="115"/>
      <c r="DF2" s="115"/>
      <c r="DG2" s="115"/>
      <c r="DH2" s="113" t="s">
        <v>42</v>
      </c>
      <c r="DI2" s="113"/>
      <c r="DJ2" s="113"/>
      <c r="DK2" s="113"/>
      <c r="DL2" s="113"/>
      <c r="DM2" s="113"/>
      <c r="DN2" s="113"/>
      <c r="DO2" s="113"/>
      <c r="DP2" s="113"/>
      <c r="DQ2" s="26"/>
      <c r="DR2" s="26"/>
      <c r="DS2" s="26"/>
      <c r="DT2" s="26"/>
      <c r="DU2" s="26"/>
    </row>
    <row r="3" spans="1:125" s="1" customFormat="1" ht="17.25" customHeight="1">
      <c r="A3" s="118"/>
      <c r="B3" s="129"/>
      <c r="C3" s="130"/>
      <c r="D3" s="130"/>
      <c r="E3" s="130"/>
      <c r="F3" s="130"/>
      <c r="G3" s="130"/>
      <c r="H3" s="131"/>
      <c r="I3" s="119"/>
      <c r="J3" s="119"/>
      <c r="K3" s="119"/>
      <c r="L3" s="119"/>
      <c r="M3" s="120"/>
      <c r="N3" s="119"/>
      <c r="O3" s="121" t="s">
        <v>33</v>
      </c>
      <c r="P3" s="121" t="s">
        <v>26</v>
      </c>
      <c r="Q3" s="121"/>
      <c r="R3" s="121"/>
      <c r="S3" s="121"/>
      <c r="T3" s="121"/>
      <c r="U3" s="122" t="s">
        <v>89</v>
      </c>
      <c r="V3" s="123"/>
      <c r="W3" s="123"/>
      <c r="X3" s="123"/>
      <c r="Y3" s="123"/>
      <c r="Z3" s="121" t="s">
        <v>8</v>
      </c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 t="s">
        <v>31</v>
      </c>
      <c r="AQ3" s="121"/>
      <c r="AR3" s="121"/>
      <c r="AS3" s="121"/>
      <c r="AT3" s="121"/>
      <c r="AU3" s="111" t="s">
        <v>29</v>
      </c>
      <c r="AV3" s="112" t="s">
        <v>9</v>
      </c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 t="s">
        <v>21</v>
      </c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  <c r="BS3" s="112"/>
      <c r="BT3" s="112"/>
      <c r="BU3" s="112"/>
      <c r="BV3" s="112"/>
      <c r="BW3" s="112"/>
      <c r="BX3" s="112"/>
      <c r="BY3" s="112"/>
      <c r="BZ3" s="112"/>
      <c r="CA3" s="112"/>
      <c r="CB3" s="124" t="s">
        <v>35</v>
      </c>
      <c r="CC3" s="115" t="s">
        <v>12</v>
      </c>
      <c r="CD3" s="115"/>
      <c r="CE3" s="115"/>
      <c r="CF3" s="115"/>
      <c r="CG3" s="115"/>
      <c r="CH3" s="115" t="s">
        <v>10</v>
      </c>
      <c r="CI3" s="115"/>
      <c r="CJ3" s="115"/>
      <c r="CK3" s="115"/>
      <c r="CL3" s="115"/>
      <c r="CM3" s="115" t="s">
        <v>11</v>
      </c>
      <c r="CN3" s="115"/>
      <c r="CO3" s="115"/>
      <c r="CP3" s="115"/>
      <c r="CQ3" s="115"/>
      <c r="CR3" s="115" t="s">
        <v>13</v>
      </c>
      <c r="CS3" s="115"/>
      <c r="CT3" s="115"/>
      <c r="CU3" s="115"/>
      <c r="CV3" s="115"/>
      <c r="CW3" s="115" t="s">
        <v>14</v>
      </c>
      <c r="CX3" s="115"/>
      <c r="CY3" s="115"/>
      <c r="CZ3" s="115"/>
      <c r="DA3" s="115"/>
      <c r="DB3" s="115" t="s">
        <v>34</v>
      </c>
      <c r="DC3" s="115"/>
      <c r="DD3" s="115"/>
      <c r="DE3" s="115"/>
      <c r="DF3" s="115"/>
      <c r="DG3" s="116" t="s">
        <v>36</v>
      </c>
      <c r="DH3" s="113"/>
      <c r="DI3" s="113"/>
      <c r="DJ3" s="113"/>
      <c r="DK3" s="113"/>
      <c r="DL3" s="113"/>
      <c r="DM3" s="113"/>
      <c r="DN3" s="113"/>
      <c r="DO3" s="113"/>
      <c r="DP3" s="113"/>
      <c r="DQ3" s="26"/>
      <c r="DR3" s="26"/>
      <c r="DS3" s="26"/>
      <c r="DT3" s="26"/>
      <c r="DU3" s="26"/>
    </row>
    <row r="4" spans="1:125" s="1" customFormat="1" ht="17.25" customHeight="1">
      <c r="A4" s="118"/>
      <c r="B4" s="132"/>
      <c r="C4" s="133"/>
      <c r="D4" s="133"/>
      <c r="E4" s="133"/>
      <c r="F4" s="133"/>
      <c r="G4" s="133"/>
      <c r="H4" s="134"/>
      <c r="I4" s="119"/>
      <c r="J4" s="119"/>
      <c r="K4" s="119"/>
      <c r="L4" s="119"/>
      <c r="M4" s="43" t="s">
        <v>67</v>
      </c>
      <c r="N4" s="119"/>
      <c r="O4" s="121"/>
      <c r="P4" s="121"/>
      <c r="Q4" s="121"/>
      <c r="R4" s="121"/>
      <c r="S4" s="121"/>
      <c r="T4" s="121"/>
      <c r="U4" s="123"/>
      <c r="V4" s="123"/>
      <c r="W4" s="123"/>
      <c r="X4" s="123"/>
      <c r="Y4" s="123"/>
      <c r="Z4" s="121" t="s">
        <v>59</v>
      </c>
      <c r="AA4" s="121"/>
      <c r="AB4" s="121"/>
      <c r="AC4" s="121"/>
      <c r="AD4" s="121"/>
      <c r="AE4" s="121" t="s">
        <v>27</v>
      </c>
      <c r="AF4" s="121"/>
      <c r="AG4" s="121"/>
      <c r="AH4" s="121"/>
      <c r="AI4" s="121"/>
      <c r="AJ4" s="121" t="s">
        <v>48</v>
      </c>
      <c r="AK4" s="121"/>
      <c r="AL4" s="121"/>
      <c r="AM4" s="121"/>
      <c r="AN4" s="121"/>
      <c r="AO4" s="121" t="s">
        <v>19</v>
      </c>
      <c r="AP4" s="121"/>
      <c r="AQ4" s="121"/>
      <c r="AR4" s="121"/>
      <c r="AS4" s="121"/>
      <c r="AT4" s="121"/>
      <c r="AU4" s="110"/>
      <c r="AV4" s="112" t="s">
        <v>30</v>
      </c>
      <c r="AW4" s="112"/>
      <c r="AX4" s="112"/>
      <c r="AY4" s="112"/>
      <c r="AZ4" s="112"/>
      <c r="BA4" s="112" t="s">
        <v>49</v>
      </c>
      <c r="BB4" s="112"/>
      <c r="BC4" s="112"/>
      <c r="BD4" s="112"/>
      <c r="BE4" s="112"/>
      <c r="BF4" s="112" t="s">
        <v>32</v>
      </c>
      <c r="BG4" s="112" t="s">
        <v>55</v>
      </c>
      <c r="BH4" s="112"/>
      <c r="BI4" s="112"/>
      <c r="BJ4" s="112"/>
      <c r="BK4" s="112"/>
      <c r="BL4" s="112" t="s">
        <v>56</v>
      </c>
      <c r="BM4" s="112"/>
      <c r="BN4" s="112"/>
      <c r="BO4" s="112"/>
      <c r="BP4" s="112"/>
      <c r="BQ4" s="112" t="s">
        <v>20</v>
      </c>
      <c r="BR4" s="112"/>
      <c r="BS4" s="112"/>
      <c r="BT4" s="112"/>
      <c r="BU4" s="112"/>
      <c r="BV4" s="112" t="s">
        <v>50</v>
      </c>
      <c r="BW4" s="112"/>
      <c r="BX4" s="112"/>
      <c r="BY4" s="112"/>
      <c r="BZ4" s="112"/>
      <c r="CA4" s="112" t="s">
        <v>7</v>
      </c>
      <c r="CB4" s="125"/>
      <c r="CC4" s="115"/>
      <c r="CD4" s="115"/>
      <c r="CE4" s="115"/>
      <c r="CF4" s="115"/>
      <c r="CG4" s="115"/>
      <c r="CH4" s="115"/>
      <c r="CI4" s="115"/>
      <c r="CJ4" s="115"/>
      <c r="CK4" s="115"/>
      <c r="CL4" s="115"/>
      <c r="CM4" s="115"/>
      <c r="CN4" s="115"/>
      <c r="CO4" s="115"/>
      <c r="CP4" s="115"/>
      <c r="CQ4" s="115"/>
      <c r="CR4" s="115"/>
      <c r="CS4" s="115"/>
      <c r="CT4" s="115"/>
      <c r="CU4" s="115"/>
      <c r="CV4" s="115"/>
      <c r="CW4" s="115"/>
      <c r="CX4" s="115"/>
      <c r="CY4" s="115"/>
      <c r="CZ4" s="115"/>
      <c r="DA4" s="115"/>
      <c r="DB4" s="115"/>
      <c r="DC4" s="115"/>
      <c r="DD4" s="115"/>
      <c r="DE4" s="115"/>
      <c r="DF4" s="115"/>
      <c r="DG4" s="115"/>
      <c r="DH4" s="113" t="s">
        <v>37</v>
      </c>
      <c r="DI4" s="113" t="s">
        <v>38</v>
      </c>
      <c r="DJ4" s="113" t="s">
        <v>39</v>
      </c>
      <c r="DK4" s="113" t="s">
        <v>51</v>
      </c>
      <c r="DL4" s="113" t="s">
        <v>52</v>
      </c>
      <c r="DM4" s="113" t="s">
        <v>45</v>
      </c>
      <c r="DN4" s="113" t="s">
        <v>53</v>
      </c>
      <c r="DO4" s="113"/>
      <c r="DP4" s="113" t="s">
        <v>61</v>
      </c>
      <c r="DQ4" s="26"/>
      <c r="DR4" s="26"/>
      <c r="DS4" s="26"/>
      <c r="DT4" s="26"/>
      <c r="DU4" s="26"/>
    </row>
    <row r="5" spans="1:125" s="1" customFormat="1" ht="17.25" customHeight="1">
      <c r="B5" s="5" t="s">
        <v>40</v>
      </c>
      <c r="C5" s="5" t="s">
        <v>16</v>
      </c>
      <c r="D5" s="7" t="s">
        <v>54</v>
      </c>
      <c r="E5" s="34" t="s">
        <v>62</v>
      </c>
      <c r="F5" s="5" t="s">
        <v>23</v>
      </c>
      <c r="G5" s="5" t="s">
        <v>17</v>
      </c>
      <c r="H5" s="5" t="s">
        <v>24</v>
      </c>
      <c r="I5" s="7" t="s">
        <v>2</v>
      </c>
      <c r="J5" s="7" t="s">
        <v>3</v>
      </c>
      <c r="K5" s="119"/>
      <c r="L5" s="119"/>
      <c r="M5" s="70">
        <v>46234</v>
      </c>
      <c r="N5" s="119"/>
      <c r="O5" s="121"/>
      <c r="P5" s="8" t="s">
        <v>6</v>
      </c>
      <c r="Q5" s="8" t="s">
        <v>43</v>
      </c>
      <c r="R5" s="8" t="s">
        <v>4</v>
      </c>
      <c r="S5" s="8" t="s">
        <v>0</v>
      </c>
      <c r="T5" s="8" t="s">
        <v>5</v>
      </c>
      <c r="U5" s="8" t="s">
        <v>6</v>
      </c>
      <c r="V5" s="8" t="s">
        <v>43</v>
      </c>
      <c r="W5" s="8" t="s">
        <v>4</v>
      </c>
      <c r="X5" s="8" t="s">
        <v>0</v>
      </c>
      <c r="Y5" s="8" t="s">
        <v>5</v>
      </c>
      <c r="Z5" s="8" t="s">
        <v>6</v>
      </c>
      <c r="AA5" s="8" t="s">
        <v>43</v>
      </c>
      <c r="AB5" s="8" t="s">
        <v>4</v>
      </c>
      <c r="AC5" s="8" t="s">
        <v>0</v>
      </c>
      <c r="AD5" s="8" t="s">
        <v>5</v>
      </c>
      <c r="AE5" s="8" t="s">
        <v>6</v>
      </c>
      <c r="AF5" s="8" t="s">
        <v>43</v>
      </c>
      <c r="AG5" s="8" t="s">
        <v>4</v>
      </c>
      <c r="AH5" s="8" t="s">
        <v>0</v>
      </c>
      <c r="AI5" s="8" t="s">
        <v>5</v>
      </c>
      <c r="AJ5" s="8" t="s">
        <v>6</v>
      </c>
      <c r="AK5" s="8" t="s">
        <v>43</v>
      </c>
      <c r="AL5" s="8" t="s">
        <v>4</v>
      </c>
      <c r="AM5" s="8" t="s">
        <v>0</v>
      </c>
      <c r="AN5" s="8" t="s">
        <v>5</v>
      </c>
      <c r="AO5" s="121"/>
      <c r="AP5" s="8" t="s">
        <v>6</v>
      </c>
      <c r="AQ5" s="8" t="s">
        <v>43</v>
      </c>
      <c r="AR5" s="8" t="s">
        <v>4</v>
      </c>
      <c r="AS5" s="8" t="s">
        <v>0</v>
      </c>
      <c r="AT5" s="8" t="s">
        <v>5</v>
      </c>
      <c r="AU5" s="110"/>
      <c r="AV5" s="6" t="s">
        <v>6</v>
      </c>
      <c r="AW5" s="6" t="s">
        <v>44</v>
      </c>
      <c r="AX5" s="6" t="s">
        <v>4</v>
      </c>
      <c r="AY5" s="6" t="s">
        <v>0</v>
      </c>
      <c r="AZ5" s="6" t="s">
        <v>5</v>
      </c>
      <c r="BA5" s="6" t="s">
        <v>6</v>
      </c>
      <c r="BB5" s="6" t="s">
        <v>44</v>
      </c>
      <c r="BC5" s="6" t="s">
        <v>4</v>
      </c>
      <c r="BD5" s="6" t="s">
        <v>0</v>
      </c>
      <c r="BE5" s="6" t="s">
        <v>5</v>
      </c>
      <c r="BF5" s="112"/>
      <c r="BG5" s="6" t="s">
        <v>6</v>
      </c>
      <c r="BH5" s="6" t="s">
        <v>44</v>
      </c>
      <c r="BI5" s="6" t="s">
        <v>4</v>
      </c>
      <c r="BJ5" s="6" t="s">
        <v>0</v>
      </c>
      <c r="BK5" s="6" t="s">
        <v>5</v>
      </c>
      <c r="BL5" s="6" t="s">
        <v>6</v>
      </c>
      <c r="BM5" s="6" t="s">
        <v>44</v>
      </c>
      <c r="BN5" s="6" t="s">
        <v>4</v>
      </c>
      <c r="BO5" s="6" t="s">
        <v>0</v>
      </c>
      <c r="BP5" s="6" t="s">
        <v>5</v>
      </c>
      <c r="BQ5" s="6" t="s">
        <v>6</v>
      </c>
      <c r="BR5" s="6" t="s">
        <v>44</v>
      </c>
      <c r="BS5" s="6" t="s">
        <v>4</v>
      </c>
      <c r="BT5" s="6" t="s">
        <v>0</v>
      </c>
      <c r="BU5" s="6" t="s">
        <v>5</v>
      </c>
      <c r="BV5" s="6" t="s">
        <v>6</v>
      </c>
      <c r="BW5" s="6" t="s">
        <v>44</v>
      </c>
      <c r="BX5" s="6" t="s">
        <v>4</v>
      </c>
      <c r="BY5" s="6" t="s">
        <v>0</v>
      </c>
      <c r="BZ5" s="6" t="s">
        <v>5</v>
      </c>
      <c r="CA5" s="112"/>
      <c r="CB5" s="125"/>
      <c r="CC5" s="9" t="s">
        <v>6</v>
      </c>
      <c r="CD5" s="9" t="s">
        <v>44</v>
      </c>
      <c r="CE5" s="9" t="s">
        <v>4</v>
      </c>
      <c r="CF5" s="9" t="s">
        <v>0</v>
      </c>
      <c r="CG5" s="9" t="s">
        <v>5</v>
      </c>
      <c r="CH5" s="9" t="s">
        <v>6</v>
      </c>
      <c r="CI5" s="9" t="s">
        <v>44</v>
      </c>
      <c r="CJ5" s="9" t="s">
        <v>4</v>
      </c>
      <c r="CK5" s="9" t="s">
        <v>0</v>
      </c>
      <c r="CL5" s="9" t="s">
        <v>5</v>
      </c>
      <c r="CM5" s="9" t="s">
        <v>6</v>
      </c>
      <c r="CN5" s="9" t="s">
        <v>44</v>
      </c>
      <c r="CO5" s="9" t="s">
        <v>4</v>
      </c>
      <c r="CP5" s="9" t="s">
        <v>0</v>
      </c>
      <c r="CQ5" s="9" t="s">
        <v>5</v>
      </c>
      <c r="CR5" s="9" t="s">
        <v>6</v>
      </c>
      <c r="CS5" s="9" t="s">
        <v>44</v>
      </c>
      <c r="CT5" s="9" t="s">
        <v>4</v>
      </c>
      <c r="CU5" s="9" t="s">
        <v>0</v>
      </c>
      <c r="CV5" s="9" t="s">
        <v>5</v>
      </c>
      <c r="CW5" s="9" t="s">
        <v>6</v>
      </c>
      <c r="CX5" s="9" t="s">
        <v>44</v>
      </c>
      <c r="CY5" s="9" t="s">
        <v>4</v>
      </c>
      <c r="CZ5" s="9" t="s">
        <v>0</v>
      </c>
      <c r="DA5" s="9" t="s">
        <v>5</v>
      </c>
      <c r="DB5" s="9" t="s">
        <v>6</v>
      </c>
      <c r="DC5" s="9" t="s">
        <v>44</v>
      </c>
      <c r="DD5" s="9" t="s">
        <v>4</v>
      </c>
      <c r="DE5" s="9" t="s">
        <v>0</v>
      </c>
      <c r="DF5" s="9" t="s">
        <v>5</v>
      </c>
      <c r="DG5" s="115"/>
      <c r="DH5" s="113"/>
      <c r="DI5" s="113"/>
      <c r="DJ5" s="113"/>
      <c r="DK5" s="113"/>
      <c r="DL5" s="113"/>
      <c r="DM5" s="113"/>
      <c r="DN5" s="113"/>
      <c r="DO5" s="113"/>
      <c r="DP5" s="113"/>
      <c r="DQ5" s="26"/>
      <c r="DR5" s="26"/>
      <c r="DS5" s="26"/>
      <c r="DT5" s="26"/>
      <c r="DU5" s="26"/>
    </row>
    <row r="6" spans="1:125" s="1" customFormat="1" ht="17.25" customHeight="1">
      <c r="B6" s="66"/>
      <c r="C6" s="35"/>
      <c r="D6" s="68"/>
      <c r="E6" s="68"/>
      <c r="F6" s="64"/>
      <c r="G6" s="64" t="s">
        <v>18</v>
      </c>
      <c r="H6" s="63"/>
      <c r="I6" s="98"/>
      <c r="J6" s="98"/>
      <c r="K6" s="45">
        <f t="shared" ref="K6:K7" si="0">J6-I6</f>
        <v>0</v>
      </c>
      <c r="L6" s="45" t="s">
        <v>47</v>
      </c>
      <c r="M6" s="71"/>
      <c r="N6" s="45" t="e">
        <f>K6/M6</f>
        <v>#DIV/0!</v>
      </c>
      <c r="O6" s="48">
        <v>1</v>
      </c>
      <c r="P6" s="73"/>
      <c r="Q6" s="67" t="e">
        <f>P6/M6</f>
        <v>#DIV/0!</v>
      </c>
      <c r="R6" s="46">
        <v>53.9</v>
      </c>
      <c r="S6" s="62">
        <v>1</v>
      </c>
      <c r="T6" s="48" t="e">
        <f>Q6/R6/S6</f>
        <v>#DIV/0!</v>
      </c>
      <c r="U6" s="74"/>
      <c r="V6" s="67" t="e">
        <f>U6/M6</f>
        <v>#DIV/0!</v>
      </c>
      <c r="W6" s="75">
        <v>190</v>
      </c>
      <c r="X6" s="62">
        <v>1</v>
      </c>
      <c r="Y6" s="48" t="e">
        <f>V6/W6/X6</f>
        <v>#DIV/0!</v>
      </c>
      <c r="Z6" s="69"/>
      <c r="AA6" s="67" t="e">
        <f>Z6/M6</f>
        <v>#DIV/0!</v>
      </c>
      <c r="AB6" s="61">
        <v>42</v>
      </c>
      <c r="AC6" s="62">
        <v>1</v>
      </c>
      <c r="AD6" s="48" t="e">
        <f>AA6/AB6/AC6+0.3</f>
        <v>#DIV/0!</v>
      </c>
      <c r="AE6" s="74"/>
      <c r="AF6" s="67" t="e">
        <f>AE6/M6</f>
        <v>#DIV/0!</v>
      </c>
      <c r="AG6" s="61">
        <v>40</v>
      </c>
      <c r="AH6" s="62">
        <v>1</v>
      </c>
      <c r="AI6" s="48" t="e">
        <f>AF6/AG6/AH6</f>
        <v>#DIV/0!</v>
      </c>
      <c r="AJ6" s="69"/>
      <c r="AK6" s="67" t="e">
        <f>AJ6/M6</f>
        <v>#DIV/0!</v>
      </c>
      <c r="AL6" s="61">
        <v>130</v>
      </c>
      <c r="AM6" s="62">
        <v>1</v>
      </c>
      <c r="AN6" s="60" t="e">
        <f>AK6/AL6/AM6</f>
        <v>#DIV/0!</v>
      </c>
      <c r="AO6" s="47">
        <f>IF(G6="보통",2,IF(G6="조강",1,""))</f>
        <v>1</v>
      </c>
      <c r="AP6" s="73"/>
      <c r="AQ6" s="67" t="e">
        <f>AP6/M6</f>
        <v>#DIV/0!</v>
      </c>
      <c r="AR6" s="61">
        <v>225</v>
      </c>
      <c r="AS6" s="62">
        <v>1</v>
      </c>
      <c r="AT6" s="49" t="e">
        <f>AQ6/AR6/AS6</f>
        <v>#DIV/0!</v>
      </c>
      <c r="AU6" s="50" t="e">
        <f>CEILING(SUM(O6,T6,Y6,AD6,AI6,AN6,AO6,AT6),0.5)</f>
        <v>#DIV/0!</v>
      </c>
      <c r="AV6" s="74"/>
      <c r="AW6" s="67" t="e">
        <f>AV6/M6</f>
        <v>#DIV/0!</v>
      </c>
      <c r="AX6" s="51">
        <v>40</v>
      </c>
      <c r="AY6" s="62">
        <v>1</v>
      </c>
      <c r="AZ6" s="49" t="e">
        <f>AW6/AX6/AY6</f>
        <v>#DIV/0!</v>
      </c>
      <c r="BA6" s="74"/>
      <c r="BB6" s="67" t="e">
        <f>BA6/M6</f>
        <v>#DIV/0!</v>
      </c>
      <c r="BC6" s="61">
        <v>130</v>
      </c>
      <c r="BD6" s="62">
        <v>1</v>
      </c>
      <c r="BE6" s="60" t="e">
        <f>BB6/BC6/BD6</f>
        <v>#DIV/0!</v>
      </c>
      <c r="BF6" s="47">
        <f>IF(G6="보통",5,IF(G6="조강",2,""))</f>
        <v>2</v>
      </c>
      <c r="BG6" s="33"/>
      <c r="BH6" s="33"/>
      <c r="BI6" s="52"/>
      <c r="BJ6" s="53"/>
      <c r="BK6" s="54"/>
      <c r="BL6" s="74"/>
      <c r="BM6" s="67" t="e">
        <f>BL6/M6</f>
        <v>#DIV/0!</v>
      </c>
      <c r="BN6" s="51">
        <v>35</v>
      </c>
      <c r="BO6" s="62">
        <v>1</v>
      </c>
      <c r="BP6" s="60" t="e">
        <f>BM6/BN6/BO6</f>
        <v>#DIV/0!</v>
      </c>
      <c r="BQ6" s="74"/>
      <c r="BR6" s="67" t="e">
        <f>BQ6/M6</f>
        <v>#DIV/0!</v>
      </c>
      <c r="BS6" s="55">
        <v>3.4</v>
      </c>
      <c r="BT6" s="62">
        <v>1</v>
      </c>
      <c r="BU6" s="49" t="e">
        <f>BR6/BS6/BT6</f>
        <v>#DIV/0!</v>
      </c>
      <c r="BV6" s="74"/>
      <c r="BW6" s="67" t="e">
        <f>BV6/M6</f>
        <v>#DIV/0!</v>
      </c>
      <c r="BX6" s="61">
        <v>125</v>
      </c>
      <c r="BY6" s="62">
        <v>1</v>
      </c>
      <c r="BZ6" s="60" t="e">
        <f>BW6/BX6/BY6</f>
        <v>#DIV/0!</v>
      </c>
      <c r="CA6" s="47">
        <f>IF(G6="보통",7,IF(G6="조강",3,""))</f>
        <v>3</v>
      </c>
      <c r="CB6" s="56" t="e">
        <f>CEILING(SUM(AZ6,BE6,BF6,BK6,BP6,BU6,BZ6,CA6),0.5)</f>
        <v>#DIV/0!</v>
      </c>
      <c r="CC6" s="73"/>
      <c r="CD6" s="67" t="e">
        <f>CC6/M6</f>
        <v>#DIV/0!</v>
      </c>
      <c r="CE6" s="61">
        <v>165</v>
      </c>
      <c r="CF6" s="62">
        <v>1</v>
      </c>
      <c r="CG6" s="49" t="e">
        <f>CD6/CE6/CF6</f>
        <v>#DIV/0!</v>
      </c>
      <c r="CH6" s="73"/>
      <c r="CI6" s="67" t="e">
        <f>CH6/M6</f>
        <v>#DIV/0!</v>
      </c>
      <c r="CJ6" s="61">
        <v>150</v>
      </c>
      <c r="CK6" s="62">
        <v>1</v>
      </c>
      <c r="CL6" s="49" t="e">
        <f>CI6/CJ6/CK6</f>
        <v>#DIV/0!</v>
      </c>
      <c r="CM6" s="73"/>
      <c r="CN6" s="67" t="e">
        <f>CM6/M6</f>
        <v>#DIV/0!</v>
      </c>
      <c r="CO6" s="51">
        <v>320</v>
      </c>
      <c r="CP6" s="62">
        <v>1</v>
      </c>
      <c r="CQ6" s="49" t="e">
        <f>CN6/CO6/CP6</f>
        <v>#DIV/0!</v>
      </c>
      <c r="CR6" s="74"/>
      <c r="CS6" s="67" t="e">
        <f>CR6/M6</f>
        <v>#DIV/0!</v>
      </c>
      <c r="CT6" s="51">
        <v>8000</v>
      </c>
      <c r="CU6" s="62">
        <v>1</v>
      </c>
      <c r="CV6" s="49" t="e">
        <f>CS6/CT6/CU6</f>
        <v>#DIV/0!</v>
      </c>
      <c r="CW6" s="74"/>
      <c r="CX6" s="67" t="e">
        <f>CW6/M6</f>
        <v>#DIV/0!</v>
      </c>
      <c r="CY6" s="51">
        <v>300</v>
      </c>
      <c r="CZ6" s="62">
        <v>1</v>
      </c>
      <c r="DA6" s="49" t="e">
        <f>CX6/CY6/CZ6</f>
        <v>#DIV/0!</v>
      </c>
      <c r="DB6" s="57">
        <f>K6</f>
        <v>0</v>
      </c>
      <c r="DC6" s="67" t="e">
        <f>DB6/M6</f>
        <v>#DIV/0!</v>
      </c>
      <c r="DD6" s="58">
        <v>50</v>
      </c>
      <c r="DE6" s="62">
        <v>1</v>
      </c>
      <c r="DF6" s="49" t="e">
        <f>DC6/DD6/DE6</f>
        <v>#DIV/0!</v>
      </c>
      <c r="DG6" s="59" t="e">
        <f>CEILING(SUM(CG6,CL6,CQ6,CV6,DA6,DF6),0.5)</f>
        <v>#DIV/0!</v>
      </c>
      <c r="DH6" s="94" t="e">
        <f t="shared" ref="DH6" si="1">AU6</f>
        <v>#DIV/0!</v>
      </c>
      <c r="DI6" s="94" t="e">
        <f t="shared" ref="DI6" si="2">CB6</f>
        <v>#DIV/0!</v>
      </c>
      <c r="DJ6" s="94" t="e">
        <f>DG6</f>
        <v>#DIV/0!</v>
      </c>
      <c r="DK6" s="94" t="e">
        <f>SUM(DH6:DJ6)</f>
        <v>#DIV/0!</v>
      </c>
      <c r="DL6" s="28">
        <f t="shared" ref="DL6:DL7" si="3">M6</f>
        <v>0</v>
      </c>
      <c r="DM6" s="94" t="e">
        <f>DK6*DL6</f>
        <v>#DIV/0!</v>
      </c>
      <c r="DN6" s="117" t="e">
        <f t="shared" ref="DN6:DN7" si="4">DM6+1</f>
        <v>#DIV/0!</v>
      </c>
      <c r="DO6" s="117"/>
      <c r="DP6" s="44" t="e">
        <f t="shared" ref="DP6" si="5">DN6/19.2</f>
        <v>#DIV/0!</v>
      </c>
      <c r="DQ6" s="26"/>
      <c r="DR6" s="26"/>
      <c r="DS6" s="26"/>
      <c r="DT6" s="26"/>
      <c r="DU6" s="26"/>
    </row>
    <row r="7" spans="1:125" s="1" customFormat="1" ht="17.25" customHeight="1">
      <c r="B7" s="36"/>
      <c r="C7" s="37"/>
      <c r="D7" s="38"/>
      <c r="E7" s="38"/>
      <c r="F7" s="77"/>
      <c r="G7" s="77"/>
      <c r="H7" s="89"/>
      <c r="I7" s="39"/>
      <c r="J7" s="39"/>
      <c r="K7" s="88">
        <f t="shared" si="0"/>
        <v>0</v>
      </c>
      <c r="L7" s="76" t="s">
        <v>60</v>
      </c>
      <c r="M7" s="72"/>
      <c r="N7" s="88" t="e">
        <f>K7/M7</f>
        <v>#DIV/0!</v>
      </c>
      <c r="O7" s="87"/>
      <c r="P7" s="40"/>
      <c r="Q7" s="33"/>
      <c r="R7" s="86"/>
      <c r="S7" s="85"/>
      <c r="T7" s="87"/>
      <c r="U7" s="33"/>
      <c r="V7" s="33"/>
      <c r="W7" s="86"/>
      <c r="X7" s="85"/>
      <c r="Y7" s="87"/>
      <c r="Z7" s="41"/>
      <c r="AA7" s="33"/>
      <c r="AB7" s="84"/>
      <c r="AC7" s="85"/>
      <c r="AD7" s="87"/>
      <c r="AE7" s="33"/>
      <c r="AF7" s="33"/>
      <c r="AG7" s="84"/>
      <c r="AH7" s="85"/>
      <c r="AI7" s="87"/>
      <c r="AJ7" s="41"/>
      <c r="AK7" s="33"/>
      <c r="AL7" s="84"/>
      <c r="AM7" s="85"/>
      <c r="AN7" s="83"/>
      <c r="AO7" s="89"/>
      <c r="AP7" s="40"/>
      <c r="AQ7" s="33"/>
      <c r="AR7" s="84"/>
      <c r="AS7" s="85"/>
      <c r="AT7" s="83"/>
      <c r="AU7" s="82"/>
      <c r="AV7" s="33"/>
      <c r="AW7" s="33"/>
      <c r="AX7" s="81"/>
      <c r="AY7" s="85"/>
      <c r="AZ7" s="83"/>
      <c r="BA7" s="33"/>
      <c r="BB7" s="33"/>
      <c r="BC7" s="84"/>
      <c r="BD7" s="85"/>
      <c r="BE7" s="83"/>
      <c r="BF7" s="89"/>
      <c r="BG7" s="33"/>
      <c r="BH7" s="33"/>
      <c r="BI7" s="80"/>
      <c r="BJ7" s="85"/>
      <c r="BK7" s="87"/>
      <c r="BL7" s="33"/>
      <c r="BM7" s="33"/>
      <c r="BN7" s="81"/>
      <c r="BO7" s="85"/>
      <c r="BP7" s="83"/>
      <c r="BQ7" s="33"/>
      <c r="BR7" s="33"/>
      <c r="BS7" s="79"/>
      <c r="BT7" s="85"/>
      <c r="BU7" s="83"/>
      <c r="BV7" s="33"/>
      <c r="BW7" s="33"/>
      <c r="BX7" s="84"/>
      <c r="BY7" s="85"/>
      <c r="BZ7" s="83"/>
      <c r="CA7" s="89"/>
      <c r="CB7" s="82"/>
      <c r="CC7" s="40"/>
      <c r="CD7" s="33"/>
      <c r="CE7" s="84"/>
      <c r="CF7" s="85"/>
      <c r="CG7" s="83"/>
      <c r="CH7" s="40"/>
      <c r="CI7" s="33"/>
      <c r="CJ7" s="84"/>
      <c r="CK7" s="85"/>
      <c r="CL7" s="83"/>
      <c r="CM7" s="40"/>
      <c r="CN7" s="33"/>
      <c r="CO7" s="81"/>
      <c r="CP7" s="85"/>
      <c r="CQ7" s="83"/>
      <c r="CR7" s="33"/>
      <c r="CS7" s="33"/>
      <c r="CT7" s="81"/>
      <c r="CU7" s="85"/>
      <c r="CV7" s="83"/>
      <c r="CW7" s="33"/>
      <c r="CX7" s="33"/>
      <c r="CY7" s="81"/>
      <c r="CZ7" s="85"/>
      <c r="DA7" s="83"/>
      <c r="DB7" s="88"/>
      <c r="DC7" s="33"/>
      <c r="DD7" s="80"/>
      <c r="DE7" s="85"/>
      <c r="DF7" s="83"/>
      <c r="DG7" s="82"/>
      <c r="DH7" s="95"/>
      <c r="DI7" s="95"/>
      <c r="DJ7" s="95"/>
      <c r="DK7" s="95"/>
      <c r="DL7" s="42">
        <f t="shared" si="3"/>
        <v>0</v>
      </c>
      <c r="DM7" s="95">
        <f>DL7*1</f>
        <v>0</v>
      </c>
      <c r="DN7" s="135">
        <f t="shared" si="4"/>
        <v>1</v>
      </c>
      <c r="DO7" s="135"/>
      <c r="DP7" s="44">
        <f>DN7/19.2</f>
        <v>5.2083333333333336E-2</v>
      </c>
      <c r="DQ7" s="26"/>
      <c r="DR7" s="26"/>
      <c r="DS7" s="26"/>
      <c r="DT7" s="26"/>
      <c r="DU7" s="26"/>
    </row>
    <row r="8" spans="1:125" s="1" customFormat="1" ht="17.25" customHeight="1"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4"/>
      <c r="BF8" s="114"/>
      <c r="BG8" s="114"/>
      <c r="BH8" s="114"/>
      <c r="BI8" s="114"/>
      <c r="BJ8" s="114"/>
      <c r="BK8" s="114"/>
      <c r="BL8" s="114"/>
      <c r="BM8" s="114"/>
      <c r="BN8" s="114"/>
      <c r="BO8" s="114"/>
      <c r="BP8" s="114"/>
      <c r="BQ8" s="114"/>
      <c r="BR8" s="114"/>
      <c r="BS8" s="114"/>
      <c r="BT8" s="114"/>
      <c r="BU8" s="114"/>
      <c r="BV8" s="114"/>
      <c r="BW8" s="114"/>
      <c r="BX8" s="114"/>
      <c r="BY8" s="114"/>
      <c r="BZ8" s="114"/>
      <c r="CA8" s="114"/>
      <c r="CB8" s="114"/>
      <c r="CC8" s="114"/>
      <c r="CD8" s="114"/>
      <c r="CE8" s="114"/>
      <c r="CF8" s="114"/>
      <c r="CG8" s="114"/>
      <c r="CH8" s="114"/>
      <c r="CI8" s="114"/>
      <c r="CJ8" s="114"/>
      <c r="CK8" s="114"/>
      <c r="CL8" s="114"/>
      <c r="CM8" s="114"/>
      <c r="CN8" s="114"/>
      <c r="CO8" s="114"/>
      <c r="CP8" s="114"/>
      <c r="CQ8" s="114"/>
      <c r="CR8" s="114"/>
      <c r="CS8" s="114"/>
      <c r="CT8" s="114"/>
      <c r="CU8" s="114"/>
      <c r="CV8" s="114"/>
      <c r="CW8" s="114"/>
      <c r="CX8" s="114"/>
      <c r="CY8" s="114"/>
      <c r="CZ8" s="114"/>
      <c r="DA8" s="114"/>
      <c r="DB8" s="114"/>
      <c r="DC8" s="114"/>
      <c r="DD8" s="114"/>
      <c r="DE8" s="114"/>
      <c r="DF8" s="114"/>
      <c r="DG8" s="114"/>
      <c r="DH8" s="114"/>
      <c r="DI8" s="114"/>
      <c r="DJ8" s="114"/>
      <c r="DK8" s="114"/>
      <c r="DL8" s="114"/>
      <c r="DM8" s="114"/>
      <c r="DN8" s="114"/>
      <c r="DO8" s="114"/>
      <c r="DP8" s="114"/>
      <c r="DQ8" s="26"/>
      <c r="DR8" s="26"/>
      <c r="DS8" s="26"/>
      <c r="DT8" s="26"/>
      <c r="DU8" s="26"/>
    </row>
    <row r="9" spans="1:125" s="1" customFormat="1" ht="17.25" customHeight="1">
      <c r="B9" s="104">
        <v>1</v>
      </c>
      <c r="C9" s="101" t="s">
        <v>170</v>
      </c>
      <c r="D9" s="99" t="s">
        <v>68</v>
      </c>
      <c r="E9" s="99" t="s">
        <v>63</v>
      </c>
      <c r="F9" s="64" t="s">
        <v>82</v>
      </c>
      <c r="G9" s="64" t="s">
        <v>18</v>
      </c>
      <c r="H9" s="63"/>
      <c r="I9" s="98">
        <v>128.809</v>
      </c>
      <c r="J9" s="98">
        <v>166.89599999999999</v>
      </c>
      <c r="K9" s="45">
        <f t="shared" ref="K9" si="6">J9-I9</f>
        <v>38.086999999999989</v>
      </c>
      <c r="L9" s="45" t="s">
        <v>47</v>
      </c>
      <c r="M9" s="71">
        <v>6</v>
      </c>
      <c r="N9" s="45">
        <f>K9/M9</f>
        <v>6.3478333333333312</v>
      </c>
      <c r="O9" s="48">
        <v>1</v>
      </c>
      <c r="P9" s="100">
        <v>57.511369999999985</v>
      </c>
      <c r="Q9" s="67">
        <f t="shared" ref="Q9:Q57" si="7">P9/M9</f>
        <v>9.5852283333333315</v>
      </c>
      <c r="R9" s="46">
        <v>53.9</v>
      </c>
      <c r="S9" s="62">
        <v>1</v>
      </c>
      <c r="T9" s="48">
        <f t="shared" ref="T9:T57" si="8">Q9/R9/S9</f>
        <v>0.17783354978354976</v>
      </c>
      <c r="U9" s="100">
        <v>210.24023999999997</v>
      </c>
      <c r="V9" s="67">
        <f t="shared" ref="V9:V57" si="9">U9/M9</f>
        <v>35.040039999999998</v>
      </c>
      <c r="W9" s="75">
        <v>190</v>
      </c>
      <c r="X9" s="62">
        <v>1</v>
      </c>
      <c r="Y9" s="48">
        <f t="shared" ref="Y9:Y57" si="10">V9/W9/X9</f>
        <v>0.18442126315789473</v>
      </c>
      <c r="Z9" s="100">
        <v>51.036579999999987</v>
      </c>
      <c r="AA9" s="67">
        <f t="shared" ref="AA9:AA57" si="11">Z9/M9</f>
        <v>8.5060966666666644</v>
      </c>
      <c r="AB9" s="61">
        <v>42</v>
      </c>
      <c r="AC9" s="62">
        <v>1</v>
      </c>
      <c r="AD9" s="48">
        <f t="shared" ref="AD9:AD57" si="12">AA9/AB9/AC9+0.3</f>
        <v>0.50252611111111101</v>
      </c>
      <c r="AE9" s="100">
        <v>30.469599999999993</v>
      </c>
      <c r="AF9" s="67">
        <f t="shared" ref="AF9:AF57" si="13">AE9/M9</f>
        <v>5.0782666666666652</v>
      </c>
      <c r="AG9" s="61">
        <v>40</v>
      </c>
      <c r="AH9" s="62">
        <v>1</v>
      </c>
      <c r="AI9" s="48">
        <f t="shared" ref="AI9:AI57" si="14">AF9/AG9/AH9</f>
        <v>0.12695666666666663</v>
      </c>
      <c r="AJ9" s="100">
        <v>13.711319999999997</v>
      </c>
      <c r="AK9" s="67">
        <f t="shared" ref="AK9:AK57" si="15">AJ9/M9</f>
        <v>2.2852199999999994</v>
      </c>
      <c r="AL9" s="61">
        <v>130</v>
      </c>
      <c r="AM9" s="62">
        <v>1</v>
      </c>
      <c r="AN9" s="60">
        <f t="shared" ref="AN9:AN57" si="16">AK9/AL9/AM9</f>
        <v>1.757861538461538E-2</v>
      </c>
      <c r="AO9" s="47">
        <f t="shared" ref="AO9:AO57" si="17">IF(G9="보통",2,IF(G9="조강",1,""))</f>
        <v>1</v>
      </c>
      <c r="AP9" s="100">
        <v>43.41917999999999</v>
      </c>
      <c r="AQ9" s="67">
        <f t="shared" ref="AQ9:AQ57" si="18">AP9/M9</f>
        <v>7.2365299999999984</v>
      </c>
      <c r="AR9" s="61">
        <v>225</v>
      </c>
      <c r="AS9" s="62">
        <v>1</v>
      </c>
      <c r="AT9" s="49">
        <f t="shared" ref="AT9:AT57" si="19">AQ9/AR9/AS9</f>
        <v>3.216235555555555E-2</v>
      </c>
      <c r="AU9" s="50">
        <f t="shared" ref="AU9:AU57" si="20">CEILING(SUM(O9,T9,Y9,AD9,AI9,AN9,AO9,AT9),0.5)</f>
        <v>3.5</v>
      </c>
      <c r="AV9" s="100">
        <v>15.234799999999996</v>
      </c>
      <c r="AW9" s="67">
        <f t="shared" ref="AW9:AW57" si="21">AV9/M9</f>
        <v>2.5391333333333326</v>
      </c>
      <c r="AX9" s="51">
        <v>40</v>
      </c>
      <c r="AY9" s="62">
        <v>1</v>
      </c>
      <c r="AZ9" s="49">
        <f t="shared" ref="AZ9:AZ57" si="22">AW9/AX9/AY9</f>
        <v>6.3478333333333317E-2</v>
      </c>
      <c r="BA9" s="100">
        <v>16.758279999999996</v>
      </c>
      <c r="BB9" s="67">
        <f t="shared" ref="BB9:BB57" si="23">BA9/M9</f>
        <v>2.7930466666666658</v>
      </c>
      <c r="BC9" s="61">
        <v>130</v>
      </c>
      <c r="BD9" s="62">
        <v>1</v>
      </c>
      <c r="BE9" s="60">
        <f t="shared" ref="BE9:BE57" si="24">BB9/BC9/BD9</f>
        <v>2.1484974358974351E-2</v>
      </c>
      <c r="BF9" s="47">
        <f t="shared" ref="BF9:BF57" si="25">IF(G9="보통",5,IF(G9="조강",2,""))</f>
        <v>2</v>
      </c>
      <c r="BG9" s="33"/>
      <c r="BH9" s="33"/>
      <c r="BI9" s="52"/>
      <c r="BJ9" s="53"/>
      <c r="BK9" s="54"/>
      <c r="BL9" s="100">
        <v>57.435195999999983</v>
      </c>
      <c r="BM9" s="67">
        <f t="shared" ref="BM9:BM57" si="26">BL9/M9</f>
        <v>9.5725326666666639</v>
      </c>
      <c r="BN9" s="51">
        <v>35</v>
      </c>
      <c r="BO9" s="62">
        <v>1</v>
      </c>
      <c r="BP9" s="60">
        <f t="shared" ref="BP9:BP57" si="27">BM9/BN9/BO9</f>
        <v>0.27350093333333325</v>
      </c>
      <c r="BQ9" s="100">
        <v>9.7502719999999972</v>
      </c>
      <c r="BR9" s="67">
        <f t="shared" ref="BR9:BR57" si="28">BQ9/M9</f>
        <v>1.6250453333333328</v>
      </c>
      <c r="BS9" s="55">
        <v>3.4</v>
      </c>
      <c r="BT9" s="62">
        <v>1</v>
      </c>
      <c r="BU9" s="49">
        <f t="shared" ref="BU9:BU57" si="29">BR9/BS9/BT9</f>
        <v>0.4779545098039214</v>
      </c>
      <c r="BV9" s="100">
        <v>52.255363999999986</v>
      </c>
      <c r="BW9" s="67">
        <f t="shared" ref="BW9:BW57" si="30">BV9/M9</f>
        <v>8.709227333333331</v>
      </c>
      <c r="BX9" s="61">
        <v>125</v>
      </c>
      <c r="BY9" s="62">
        <v>1</v>
      </c>
      <c r="BZ9" s="60">
        <f t="shared" ref="BZ9:BZ57" si="31">BW9/BX9/BY9</f>
        <v>6.9673818666666651E-2</v>
      </c>
      <c r="CA9" s="47">
        <f t="shared" ref="CA9:CA57" si="32">IF(G9="보통",7,IF(G9="조강",3,""))</f>
        <v>3</v>
      </c>
      <c r="CB9" s="56">
        <f t="shared" ref="CB9:CB57" si="33">CEILING(SUM(AZ9,BE9,BF9,BK9,BP9,BU9,BZ9,CA9),0.5)</f>
        <v>6</v>
      </c>
      <c r="CC9" s="100">
        <v>18.814977999999993</v>
      </c>
      <c r="CD9" s="67">
        <f t="shared" ref="CD9:CD57" si="34">CC9/M9</f>
        <v>3.1358296666666656</v>
      </c>
      <c r="CE9" s="61">
        <v>165</v>
      </c>
      <c r="CF9" s="62">
        <v>1</v>
      </c>
      <c r="CG9" s="49">
        <f t="shared" ref="CG9:CG57" si="35">CD9/CE9/CF9</f>
        <v>1.9005028282828275E-2</v>
      </c>
      <c r="CH9" s="100">
        <v>25.518289999999993</v>
      </c>
      <c r="CI9" s="67">
        <f t="shared" ref="CI9:CI57" si="36">CH9/M9</f>
        <v>4.2530483333333322</v>
      </c>
      <c r="CJ9" s="61">
        <v>150</v>
      </c>
      <c r="CK9" s="62">
        <v>1</v>
      </c>
      <c r="CL9" s="49">
        <f t="shared" ref="CL9:CL57" si="37">CI9/CJ9/CK9</f>
        <v>2.8353655555555548E-2</v>
      </c>
      <c r="CM9" s="100">
        <v>155.39495999999997</v>
      </c>
      <c r="CN9" s="67">
        <f t="shared" ref="CN9:CN57" si="38">CM9/M9</f>
        <v>25.899159999999995</v>
      </c>
      <c r="CO9" s="51">
        <v>320</v>
      </c>
      <c r="CP9" s="62">
        <v>1</v>
      </c>
      <c r="CQ9" s="49">
        <f t="shared" ref="CQ9:CQ57" si="39">CN9/CO9/CP9</f>
        <v>8.0934874999999989E-2</v>
      </c>
      <c r="CR9" s="100">
        <v>466.18487999999991</v>
      </c>
      <c r="CS9" s="67">
        <f t="shared" ref="CS9:CS57" si="40">CR9/M9</f>
        <v>77.697479999999985</v>
      </c>
      <c r="CT9" s="51">
        <v>8000</v>
      </c>
      <c r="CU9" s="62">
        <v>1</v>
      </c>
      <c r="CV9" s="49">
        <f t="shared" ref="CV9:CV57" si="41">CS9/CT9/CU9</f>
        <v>9.7121849999999982E-3</v>
      </c>
      <c r="CW9" s="100">
        <v>310.78991999999994</v>
      </c>
      <c r="CX9" s="67">
        <f t="shared" ref="CX9:CX57" si="42">CW9/M9</f>
        <v>51.79831999999999</v>
      </c>
      <c r="CY9" s="51">
        <v>300</v>
      </c>
      <c r="CZ9" s="62">
        <v>1</v>
      </c>
      <c r="DA9" s="49">
        <f t="shared" ref="DA9:DA57" si="43">CX9/CY9/CZ9</f>
        <v>0.17266106666666664</v>
      </c>
      <c r="DB9" s="57">
        <f t="shared" ref="DB9:DB57" si="44">K9</f>
        <v>38.086999999999989</v>
      </c>
      <c r="DC9" s="67">
        <f t="shared" ref="DC9:DC57" si="45">DB9/M9</f>
        <v>6.3478333333333312</v>
      </c>
      <c r="DD9" s="58">
        <v>50</v>
      </c>
      <c r="DE9" s="62">
        <v>1</v>
      </c>
      <c r="DF9" s="49">
        <f t="shared" ref="DF9:DF57" si="46">DC9/DD9/DE9</f>
        <v>0.12695666666666663</v>
      </c>
      <c r="DG9" s="59">
        <f t="shared" ref="DG9:DG57" si="47">CEILING(SUM(CG9,CL9,CQ9,CV9,DA9,DF9),0.5)</f>
        <v>0.5</v>
      </c>
      <c r="DH9" s="94">
        <f t="shared" ref="DH9:DH57" si="48">AU9</f>
        <v>3.5</v>
      </c>
      <c r="DI9" s="94">
        <f t="shared" ref="DI9:DI57" si="49">CB9</f>
        <v>6</v>
      </c>
      <c r="DJ9" s="94">
        <f t="shared" ref="DJ9:DJ57" si="50">DG9</f>
        <v>0.5</v>
      </c>
      <c r="DK9" s="96">
        <f>ROUNDUP(SUM(DH9:DJ9),0)</f>
        <v>10</v>
      </c>
      <c r="DL9" s="28">
        <f t="shared" ref="DL9:DL57" si="51">M9</f>
        <v>6</v>
      </c>
      <c r="DM9" s="94">
        <f t="shared" ref="DM9:DM57" si="52">DK9*DL9</f>
        <v>60</v>
      </c>
      <c r="DN9" s="117">
        <f t="shared" ref="DN9:DN57" si="53">DM9+1</f>
        <v>61</v>
      </c>
      <c r="DO9" s="117"/>
      <c r="DP9" s="44">
        <f t="shared" ref="DP9:DP57" si="54">DN9/19.2</f>
        <v>3.1770833333333335</v>
      </c>
      <c r="DQ9" s="26"/>
      <c r="DR9" s="26"/>
      <c r="DS9" s="26"/>
      <c r="DT9" s="26"/>
      <c r="DU9" s="26"/>
    </row>
    <row r="10" spans="1:125" s="1" customFormat="1" ht="17.25" customHeight="1">
      <c r="B10" s="104">
        <v>2</v>
      </c>
      <c r="C10" s="101" t="s">
        <v>71</v>
      </c>
      <c r="D10" s="99" t="s">
        <v>72</v>
      </c>
      <c r="E10" s="99"/>
      <c r="F10" s="64" t="s">
        <v>82</v>
      </c>
      <c r="G10" s="64" t="s">
        <v>18</v>
      </c>
      <c r="H10" s="63">
        <v>62</v>
      </c>
      <c r="I10" s="98">
        <v>317.61099999999999</v>
      </c>
      <c r="J10" s="98">
        <v>354.07299999999998</v>
      </c>
      <c r="K10" s="45">
        <f t="shared" ref="K10:K57" si="55">J10-I10</f>
        <v>36.461999999999989</v>
      </c>
      <c r="L10" s="45" t="s">
        <v>47</v>
      </c>
      <c r="M10" s="71">
        <v>5</v>
      </c>
      <c r="N10" s="45">
        <f t="shared" ref="N10:N57" si="56">K10/M10</f>
        <v>7.292399999999998</v>
      </c>
      <c r="O10" s="48">
        <v>1</v>
      </c>
      <c r="P10" s="100">
        <v>55.057619999999986</v>
      </c>
      <c r="Q10" s="67">
        <f t="shared" si="7"/>
        <v>11.011523999999998</v>
      </c>
      <c r="R10" s="46">
        <v>53.9</v>
      </c>
      <c r="S10" s="62">
        <v>1</v>
      </c>
      <c r="T10" s="48">
        <f t="shared" si="8"/>
        <v>0.20429543599257882</v>
      </c>
      <c r="U10" s="100">
        <v>201.27023999999994</v>
      </c>
      <c r="V10" s="67">
        <f t="shared" si="9"/>
        <v>40.25404799999999</v>
      </c>
      <c r="W10" s="75">
        <v>190</v>
      </c>
      <c r="X10" s="62">
        <v>1</v>
      </c>
      <c r="Y10" s="48">
        <f t="shared" si="10"/>
        <v>0.21186341052631574</v>
      </c>
      <c r="Z10" s="100">
        <v>48.859079999999992</v>
      </c>
      <c r="AA10" s="67">
        <f t="shared" si="11"/>
        <v>9.7718159999999976</v>
      </c>
      <c r="AB10" s="61">
        <v>42</v>
      </c>
      <c r="AC10" s="62">
        <v>1</v>
      </c>
      <c r="AD10" s="48">
        <f t="shared" si="12"/>
        <v>0.53266228571428564</v>
      </c>
      <c r="AE10" s="100">
        <v>29.169599999999992</v>
      </c>
      <c r="AF10" s="67">
        <f t="shared" si="13"/>
        <v>5.8339199999999982</v>
      </c>
      <c r="AG10" s="61">
        <v>40</v>
      </c>
      <c r="AH10" s="62">
        <v>1</v>
      </c>
      <c r="AI10" s="48">
        <f t="shared" si="14"/>
        <v>0.14584799999999995</v>
      </c>
      <c r="AJ10" s="100">
        <v>13.126319999999998</v>
      </c>
      <c r="AK10" s="67">
        <f t="shared" si="15"/>
        <v>2.6252639999999996</v>
      </c>
      <c r="AL10" s="61">
        <v>130</v>
      </c>
      <c r="AM10" s="62">
        <v>1</v>
      </c>
      <c r="AN10" s="60">
        <f t="shared" si="16"/>
        <v>2.0194338461538459E-2</v>
      </c>
      <c r="AO10" s="47">
        <f t="shared" si="17"/>
        <v>1</v>
      </c>
      <c r="AP10" s="100">
        <v>41.566679999999991</v>
      </c>
      <c r="AQ10" s="67">
        <f t="shared" si="18"/>
        <v>8.3133359999999978</v>
      </c>
      <c r="AR10" s="61">
        <v>225</v>
      </c>
      <c r="AS10" s="62">
        <v>1</v>
      </c>
      <c r="AT10" s="49">
        <f t="shared" si="19"/>
        <v>3.6948159999999994E-2</v>
      </c>
      <c r="AU10" s="50">
        <f t="shared" si="20"/>
        <v>3.5</v>
      </c>
      <c r="AV10" s="100">
        <v>14.584799999999996</v>
      </c>
      <c r="AW10" s="67">
        <f t="shared" si="21"/>
        <v>2.9169599999999991</v>
      </c>
      <c r="AX10" s="51">
        <v>40</v>
      </c>
      <c r="AY10" s="62">
        <v>1</v>
      </c>
      <c r="AZ10" s="49">
        <f t="shared" si="22"/>
        <v>7.2923999999999975E-2</v>
      </c>
      <c r="BA10" s="100">
        <v>16.043279999999996</v>
      </c>
      <c r="BB10" s="67">
        <f t="shared" si="23"/>
        <v>3.2086559999999991</v>
      </c>
      <c r="BC10" s="61">
        <v>130</v>
      </c>
      <c r="BD10" s="62">
        <v>1</v>
      </c>
      <c r="BE10" s="60">
        <f t="shared" si="24"/>
        <v>2.4681969230769225E-2</v>
      </c>
      <c r="BF10" s="47">
        <f t="shared" si="25"/>
        <v>2</v>
      </c>
      <c r="BG10" s="33"/>
      <c r="BH10" s="33"/>
      <c r="BI10" s="52"/>
      <c r="BJ10" s="53"/>
      <c r="BK10" s="54"/>
      <c r="BL10" s="100">
        <v>54.984695999999985</v>
      </c>
      <c r="BM10" s="67">
        <f t="shared" si="26"/>
        <v>10.996939199999996</v>
      </c>
      <c r="BN10" s="51">
        <v>35</v>
      </c>
      <c r="BO10" s="62">
        <v>1</v>
      </c>
      <c r="BP10" s="60">
        <f t="shared" si="27"/>
        <v>0.31419826285714275</v>
      </c>
      <c r="BQ10" s="100">
        <v>9.3342719999999968</v>
      </c>
      <c r="BR10" s="67">
        <f t="shared" si="28"/>
        <v>1.8668543999999994</v>
      </c>
      <c r="BS10" s="55">
        <v>3.4</v>
      </c>
      <c r="BT10" s="62">
        <v>1</v>
      </c>
      <c r="BU10" s="49">
        <f t="shared" si="29"/>
        <v>0.54907482352941162</v>
      </c>
      <c r="BV10" s="100">
        <v>50.025863999999991</v>
      </c>
      <c r="BW10" s="67">
        <f t="shared" si="30"/>
        <v>10.005172799999999</v>
      </c>
      <c r="BX10" s="61">
        <v>125</v>
      </c>
      <c r="BY10" s="62">
        <v>1</v>
      </c>
      <c r="BZ10" s="60">
        <f t="shared" si="31"/>
        <v>8.0041382399999986E-2</v>
      </c>
      <c r="CA10" s="47">
        <f t="shared" si="32"/>
        <v>3</v>
      </c>
      <c r="CB10" s="56">
        <f t="shared" si="33"/>
        <v>6.5</v>
      </c>
      <c r="CC10" s="100">
        <v>18.012227999999993</v>
      </c>
      <c r="CD10" s="67">
        <f t="shared" si="34"/>
        <v>3.6024455999999985</v>
      </c>
      <c r="CE10" s="61">
        <v>165</v>
      </c>
      <c r="CF10" s="62">
        <v>1</v>
      </c>
      <c r="CG10" s="49">
        <f t="shared" si="35"/>
        <v>2.1833003636363629E-2</v>
      </c>
      <c r="CH10" s="100">
        <v>24.429539999999996</v>
      </c>
      <c r="CI10" s="67">
        <f t="shared" si="36"/>
        <v>4.8859079999999988</v>
      </c>
      <c r="CJ10" s="61">
        <v>150</v>
      </c>
      <c r="CK10" s="62">
        <v>1</v>
      </c>
      <c r="CL10" s="49">
        <f t="shared" si="37"/>
        <v>3.2572719999999993E-2</v>
      </c>
      <c r="CM10" s="100">
        <v>148.76495999999995</v>
      </c>
      <c r="CN10" s="67">
        <f t="shared" si="38"/>
        <v>29.752991999999988</v>
      </c>
      <c r="CO10" s="51">
        <v>320</v>
      </c>
      <c r="CP10" s="62">
        <v>1</v>
      </c>
      <c r="CQ10" s="49">
        <f t="shared" si="39"/>
        <v>9.2978099999999966E-2</v>
      </c>
      <c r="CR10" s="100">
        <v>446.29487999999981</v>
      </c>
      <c r="CS10" s="67">
        <f t="shared" si="40"/>
        <v>89.258975999999961</v>
      </c>
      <c r="CT10" s="51">
        <v>8000</v>
      </c>
      <c r="CU10" s="62">
        <v>1</v>
      </c>
      <c r="CV10" s="49">
        <f t="shared" si="41"/>
        <v>1.1157371999999995E-2</v>
      </c>
      <c r="CW10" s="100">
        <v>297.52991999999989</v>
      </c>
      <c r="CX10" s="67">
        <f t="shared" si="42"/>
        <v>59.505983999999977</v>
      </c>
      <c r="CY10" s="51">
        <v>300</v>
      </c>
      <c r="CZ10" s="62">
        <v>1</v>
      </c>
      <c r="DA10" s="49">
        <f t="shared" si="43"/>
        <v>0.19835327999999991</v>
      </c>
      <c r="DB10" s="57">
        <f t="shared" si="44"/>
        <v>36.461999999999989</v>
      </c>
      <c r="DC10" s="67">
        <f t="shared" si="45"/>
        <v>7.292399999999998</v>
      </c>
      <c r="DD10" s="58">
        <v>50</v>
      </c>
      <c r="DE10" s="62">
        <v>1</v>
      </c>
      <c r="DF10" s="49">
        <f t="shared" si="46"/>
        <v>0.14584799999999995</v>
      </c>
      <c r="DG10" s="59">
        <f t="shared" si="47"/>
        <v>1</v>
      </c>
      <c r="DH10" s="94">
        <f t="shared" si="48"/>
        <v>3.5</v>
      </c>
      <c r="DI10" s="94">
        <f t="shared" si="49"/>
        <v>6.5</v>
      </c>
      <c r="DJ10" s="94">
        <f t="shared" si="50"/>
        <v>1</v>
      </c>
      <c r="DK10" s="96">
        <f t="shared" ref="DK10:DK57" si="57">ROUNDUP(SUM(DH10:DJ10),0)</f>
        <v>11</v>
      </c>
      <c r="DL10" s="28">
        <f t="shared" si="51"/>
        <v>5</v>
      </c>
      <c r="DM10" s="94">
        <f t="shared" si="52"/>
        <v>55</v>
      </c>
      <c r="DN10" s="117">
        <f t="shared" si="53"/>
        <v>56</v>
      </c>
      <c r="DO10" s="117"/>
      <c r="DP10" s="44">
        <f t="shared" si="54"/>
        <v>2.916666666666667</v>
      </c>
      <c r="DQ10" s="26"/>
      <c r="DR10" s="26"/>
      <c r="DS10" s="26"/>
      <c r="DT10" s="26"/>
      <c r="DU10" s="26"/>
    </row>
    <row r="11" spans="1:125" s="1" customFormat="1" ht="17.25" customHeight="1">
      <c r="B11" s="103">
        <v>3</v>
      </c>
      <c r="C11" s="105" t="s">
        <v>171</v>
      </c>
      <c r="D11" s="99" t="s">
        <v>73</v>
      </c>
      <c r="E11" s="99" t="s">
        <v>63</v>
      </c>
      <c r="F11" s="64" t="s">
        <v>70</v>
      </c>
      <c r="G11" s="64" t="s">
        <v>18</v>
      </c>
      <c r="H11" s="63"/>
      <c r="I11" s="98">
        <v>441.58499999999998</v>
      </c>
      <c r="J11" s="98">
        <v>466.92700000000002</v>
      </c>
      <c r="K11" s="45">
        <f t="shared" si="55"/>
        <v>25.342000000000041</v>
      </c>
      <c r="L11" s="45" t="s">
        <v>47</v>
      </c>
      <c r="M11" s="71">
        <v>5</v>
      </c>
      <c r="N11" s="45">
        <f t="shared" si="56"/>
        <v>5.0684000000000085</v>
      </c>
      <c r="O11" s="48">
        <v>1</v>
      </c>
      <c r="P11" s="100">
        <v>38.26642000000006</v>
      </c>
      <c r="Q11" s="67">
        <f t="shared" si="7"/>
        <v>7.6532840000000117</v>
      </c>
      <c r="R11" s="46">
        <v>53.9</v>
      </c>
      <c r="S11" s="62">
        <v>1</v>
      </c>
      <c r="T11" s="48">
        <f t="shared" si="8"/>
        <v>0.14199042671614123</v>
      </c>
      <c r="U11" s="100">
        <v>139.88784000000024</v>
      </c>
      <c r="V11" s="67">
        <f t="shared" si="9"/>
        <v>27.977568000000048</v>
      </c>
      <c r="W11" s="75">
        <v>190</v>
      </c>
      <c r="X11" s="62">
        <v>1</v>
      </c>
      <c r="Y11" s="48">
        <f t="shared" si="10"/>
        <v>0.14725035789473709</v>
      </c>
      <c r="Z11" s="100">
        <v>33.958280000000059</v>
      </c>
      <c r="AA11" s="67">
        <f t="shared" si="11"/>
        <v>6.7916560000000121</v>
      </c>
      <c r="AB11" s="61">
        <v>42</v>
      </c>
      <c r="AC11" s="62">
        <v>1</v>
      </c>
      <c r="AD11" s="48">
        <f t="shared" si="12"/>
        <v>0.46170609523809553</v>
      </c>
      <c r="AE11" s="100">
        <v>20.273600000000034</v>
      </c>
      <c r="AF11" s="67">
        <f t="shared" si="13"/>
        <v>4.0547200000000068</v>
      </c>
      <c r="AG11" s="61">
        <v>40</v>
      </c>
      <c r="AH11" s="62">
        <v>1</v>
      </c>
      <c r="AI11" s="48">
        <f t="shared" si="14"/>
        <v>0.10136800000000017</v>
      </c>
      <c r="AJ11" s="100">
        <v>9.1231200000000161</v>
      </c>
      <c r="AK11" s="67">
        <f t="shared" si="15"/>
        <v>1.8246240000000031</v>
      </c>
      <c r="AL11" s="61">
        <v>130</v>
      </c>
      <c r="AM11" s="62">
        <v>1</v>
      </c>
      <c r="AN11" s="60">
        <f t="shared" si="16"/>
        <v>1.4035569230769256E-2</v>
      </c>
      <c r="AO11" s="47">
        <f t="shared" si="17"/>
        <v>1</v>
      </c>
      <c r="AP11" s="100">
        <v>28.889880000000051</v>
      </c>
      <c r="AQ11" s="67">
        <f t="shared" si="18"/>
        <v>5.7779760000000104</v>
      </c>
      <c r="AR11" s="61">
        <v>225</v>
      </c>
      <c r="AS11" s="62">
        <v>1</v>
      </c>
      <c r="AT11" s="49">
        <f t="shared" si="19"/>
        <v>2.5679893333333381E-2</v>
      </c>
      <c r="AU11" s="50">
        <f t="shared" si="20"/>
        <v>3</v>
      </c>
      <c r="AV11" s="100">
        <v>10.136800000000017</v>
      </c>
      <c r="AW11" s="67">
        <f t="shared" si="21"/>
        <v>2.0273600000000034</v>
      </c>
      <c r="AX11" s="51">
        <v>40</v>
      </c>
      <c r="AY11" s="62">
        <v>1</v>
      </c>
      <c r="AZ11" s="49">
        <f t="shared" si="22"/>
        <v>5.0684000000000083E-2</v>
      </c>
      <c r="BA11" s="100">
        <v>11.150480000000019</v>
      </c>
      <c r="BB11" s="67">
        <f t="shared" si="23"/>
        <v>2.2300960000000041</v>
      </c>
      <c r="BC11" s="61">
        <v>130</v>
      </c>
      <c r="BD11" s="62">
        <v>1</v>
      </c>
      <c r="BE11" s="60">
        <f t="shared" si="24"/>
        <v>1.7154584615384647E-2</v>
      </c>
      <c r="BF11" s="47">
        <f t="shared" si="25"/>
        <v>2</v>
      </c>
      <c r="BG11" s="33"/>
      <c r="BH11" s="33"/>
      <c r="BI11" s="52"/>
      <c r="BJ11" s="53"/>
      <c r="BK11" s="54"/>
      <c r="BL11" s="100">
        <v>38.215736000000064</v>
      </c>
      <c r="BM11" s="67">
        <f t="shared" si="26"/>
        <v>7.6431472000000129</v>
      </c>
      <c r="BN11" s="51">
        <v>35</v>
      </c>
      <c r="BO11" s="62">
        <v>1</v>
      </c>
      <c r="BP11" s="60">
        <f t="shared" si="27"/>
        <v>0.21837563428571466</v>
      </c>
      <c r="BQ11" s="100">
        <v>6.4875520000000106</v>
      </c>
      <c r="BR11" s="67">
        <f t="shared" si="28"/>
        <v>1.2975104000000022</v>
      </c>
      <c r="BS11" s="55">
        <v>3.4</v>
      </c>
      <c r="BT11" s="62">
        <v>1</v>
      </c>
      <c r="BU11" s="49">
        <f t="shared" si="29"/>
        <v>0.38162070588235358</v>
      </c>
      <c r="BV11" s="100">
        <v>34.769224000000058</v>
      </c>
      <c r="BW11" s="67">
        <f t="shared" si="30"/>
        <v>6.9538448000000113</v>
      </c>
      <c r="BX11" s="61">
        <v>125</v>
      </c>
      <c r="BY11" s="62">
        <v>1</v>
      </c>
      <c r="BZ11" s="60">
        <f t="shared" si="31"/>
        <v>5.5630758400000091E-2</v>
      </c>
      <c r="CA11" s="47">
        <f t="shared" si="32"/>
        <v>3</v>
      </c>
      <c r="CB11" s="56">
        <f t="shared" si="33"/>
        <v>6</v>
      </c>
      <c r="CC11" s="100">
        <v>12.51894800000002</v>
      </c>
      <c r="CD11" s="67">
        <f t="shared" si="34"/>
        <v>2.5037896000000037</v>
      </c>
      <c r="CE11" s="61">
        <v>165</v>
      </c>
      <c r="CF11" s="62">
        <v>1</v>
      </c>
      <c r="CG11" s="49">
        <f t="shared" si="35"/>
        <v>1.5174482424242446E-2</v>
      </c>
      <c r="CH11" s="100">
        <v>16.979140000000029</v>
      </c>
      <c r="CI11" s="67">
        <f t="shared" si="36"/>
        <v>3.3958280000000061</v>
      </c>
      <c r="CJ11" s="61">
        <v>150</v>
      </c>
      <c r="CK11" s="62">
        <v>1</v>
      </c>
      <c r="CL11" s="49">
        <f t="shared" si="37"/>
        <v>2.2638853333333375E-2</v>
      </c>
      <c r="CM11" s="100">
        <v>103.39536000000017</v>
      </c>
      <c r="CN11" s="67">
        <f t="shared" si="38"/>
        <v>20.679072000000033</v>
      </c>
      <c r="CO11" s="51">
        <v>320</v>
      </c>
      <c r="CP11" s="62">
        <v>1</v>
      </c>
      <c r="CQ11" s="49">
        <f t="shared" si="39"/>
        <v>6.4622100000000099E-2</v>
      </c>
      <c r="CR11" s="100">
        <v>310.18608000000052</v>
      </c>
      <c r="CS11" s="67">
        <f t="shared" si="40"/>
        <v>62.0372160000001</v>
      </c>
      <c r="CT11" s="51">
        <v>8000</v>
      </c>
      <c r="CU11" s="62">
        <v>1</v>
      </c>
      <c r="CV11" s="49">
        <f t="shared" si="41"/>
        <v>7.7546520000000129E-3</v>
      </c>
      <c r="CW11" s="100">
        <v>206.79072000000033</v>
      </c>
      <c r="CX11" s="67">
        <f t="shared" si="42"/>
        <v>41.358144000000067</v>
      </c>
      <c r="CY11" s="51">
        <v>300</v>
      </c>
      <c r="CZ11" s="62">
        <v>1</v>
      </c>
      <c r="DA11" s="49">
        <f t="shared" si="43"/>
        <v>0.13786048000000023</v>
      </c>
      <c r="DB11" s="57">
        <f t="shared" si="44"/>
        <v>25.342000000000041</v>
      </c>
      <c r="DC11" s="67">
        <f t="shared" si="45"/>
        <v>5.0684000000000085</v>
      </c>
      <c r="DD11" s="58">
        <v>50</v>
      </c>
      <c r="DE11" s="62">
        <v>1</v>
      </c>
      <c r="DF11" s="49">
        <f t="shared" si="46"/>
        <v>0.10136800000000017</v>
      </c>
      <c r="DG11" s="59">
        <f t="shared" si="47"/>
        <v>0.5</v>
      </c>
      <c r="DH11" s="94">
        <f t="shared" si="48"/>
        <v>3</v>
      </c>
      <c r="DI11" s="94">
        <f t="shared" si="49"/>
        <v>6</v>
      </c>
      <c r="DJ11" s="94">
        <f t="shared" si="50"/>
        <v>0.5</v>
      </c>
      <c r="DK11" s="96">
        <f t="shared" si="57"/>
        <v>10</v>
      </c>
      <c r="DL11" s="28">
        <f t="shared" si="51"/>
        <v>5</v>
      </c>
      <c r="DM11" s="94">
        <f t="shared" si="52"/>
        <v>50</v>
      </c>
      <c r="DN11" s="117">
        <f t="shared" si="53"/>
        <v>51</v>
      </c>
      <c r="DO11" s="117"/>
      <c r="DP11" s="44">
        <f t="shared" si="54"/>
        <v>2.65625</v>
      </c>
      <c r="DQ11" s="26"/>
      <c r="DR11" s="26"/>
      <c r="DS11" s="26"/>
      <c r="DT11" s="26"/>
      <c r="DU11" s="26"/>
    </row>
    <row r="12" spans="1:125" s="1" customFormat="1" ht="17.25" customHeight="1">
      <c r="B12" s="102">
        <v>4</v>
      </c>
      <c r="C12" s="106" t="s">
        <v>74</v>
      </c>
      <c r="D12" s="99" t="s">
        <v>75</v>
      </c>
      <c r="E12" s="99"/>
      <c r="F12" s="64" t="s">
        <v>82</v>
      </c>
      <c r="G12" s="64" t="s">
        <v>18</v>
      </c>
      <c r="H12" s="63">
        <v>80</v>
      </c>
      <c r="I12" s="98">
        <v>623.42100000000005</v>
      </c>
      <c r="J12" s="98">
        <v>667.05600000000004</v>
      </c>
      <c r="K12" s="45">
        <f t="shared" si="55"/>
        <v>43.634999999999991</v>
      </c>
      <c r="L12" s="45" t="s">
        <v>47</v>
      </c>
      <c r="M12" s="71">
        <v>8</v>
      </c>
      <c r="N12" s="45">
        <f t="shared" si="56"/>
        <v>5.4543749999999989</v>
      </c>
      <c r="O12" s="48">
        <v>1</v>
      </c>
      <c r="P12" s="100">
        <v>65.888849999999991</v>
      </c>
      <c r="Q12" s="67">
        <f t="shared" si="7"/>
        <v>8.2361062499999989</v>
      </c>
      <c r="R12" s="46">
        <v>53.9</v>
      </c>
      <c r="S12" s="62">
        <v>1</v>
      </c>
      <c r="T12" s="48">
        <f t="shared" si="8"/>
        <v>0.15280345547309832</v>
      </c>
      <c r="U12" s="100">
        <v>240.86519999999996</v>
      </c>
      <c r="V12" s="67">
        <f t="shared" si="9"/>
        <v>30.108149999999995</v>
      </c>
      <c r="W12" s="75">
        <v>190</v>
      </c>
      <c r="X12" s="62">
        <v>1</v>
      </c>
      <c r="Y12" s="48">
        <f t="shared" si="10"/>
        <v>0.15846394736842104</v>
      </c>
      <c r="Z12" s="100">
        <v>58.470899999999993</v>
      </c>
      <c r="AA12" s="67">
        <f t="shared" si="11"/>
        <v>7.3088624999999992</v>
      </c>
      <c r="AB12" s="61">
        <v>42</v>
      </c>
      <c r="AC12" s="62">
        <v>1</v>
      </c>
      <c r="AD12" s="48">
        <f t="shared" si="12"/>
        <v>0.47402053571428571</v>
      </c>
      <c r="AE12" s="100">
        <v>34.907999999999994</v>
      </c>
      <c r="AF12" s="67">
        <f t="shared" si="13"/>
        <v>4.3634999999999993</v>
      </c>
      <c r="AG12" s="61">
        <v>40</v>
      </c>
      <c r="AH12" s="62">
        <v>1</v>
      </c>
      <c r="AI12" s="48">
        <f t="shared" si="14"/>
        <v>0.10908749999999998</v>
      </c>
      <c r="AJ12" s="100">
        <v>15.708599999999999</v>
      </c>
      <c r="AK12" s="67">
        <f t="shared" si="15"/>
        <v>1.9635749999999998</v>
      </c>
      <c r="AL12" s="61">
        <v>130</v>
      </c>
      <c r="AM12" s="62">
        <v>1</v>
      </c>
      <c r="AN12" s="60">
        <f t="shared" si="16"/>
        <v>1.5104423076923076E-2</v>
      </c>
      <c r="AO12" s="47">
        <f t="shared" si="17"/>
        <v>1</v>
      </c>
      <c r="AP12" s="100">
        <v>49.743899999999996</v>
      </c>
      <c r="AQ12" s="67">
        <f t="shared" si="18"/>
        <v>6.2179874999999996</v>
      </c>
      <c r="AR12" s="61">
        <v>225</v>
      </c>
      <c r="AS12" s="62">
        <v>1</v>
      </c>
      <c r="AT12" s="49">
        <f t="shared" si="19"/>
        <v>2.7635499999999997E-2</v>
      </c>
      <c r="AU12" s="50">
        <f t="shared" si="20"/>
        <v>3</v>
      </c>
      <c r="AV12" s="100">
        <v>17.453999999999997</v>
      </c>
      <c r="AW12" s="67">
        <f t="shared" si="21"/>
        <v>2.1817499999999996</v>
      </c>
      <c r="AX12" s="51">
        <v>40</v>
      </c>
      <c r="AY12" s="62">
        <v>1</v>
      </c>
      <c r="AZ12" s="49">
        <f t="shared" si="22"/>
        <v>5.4543749999999988E-2</v>
      </c>
      <c r="BA12" s="100">
        <v>19.199399999999997</v>
      </c>
      <c r="BB12" s="67">
        <f t="shared" si="23"/>
        <v>2.3999249999999996</v>
      </c>
      <c r="BC12" s="61">
        <v>130</v>
      </c>
      <c r="BD12" s="62">
        <v>1</v>
      </c>
      <c r="BE12" s="60">
        <f t="shared" si="24"/>
        <v>1.8460961538461537E-2</v>
      </c>
      <c r="BF12" s="47">
        <f t="shared" si="25"/>
        <v>2</v>
      </c>
      <c r="BG12" s="33"/>
      <c r="BH12" s="33"/>
      <c r="BI12" s="52"/>
      <c r="BJ12" s="53"/>
      <c r="BK12" s="54"/>
      <c r="BL12" s="100">
        <v>65.801579999999987</v>
      </c>
      <c r="BM12" s="67">
        <f t="shared" si="26"/>
        <v>8.2251974999999984</v>
      </c>
      <c r="BN12" s="51">
        <v>35</v>
      </c>
      <c r="BO12" s="62">
        <v>1</v>
      </c>
      <c r="BP12" s="60">
        <f t="shared" si="27"/>
        <v>0.23500564285714282</v>
      </c>
      <c r="BQ12" s="100">
        <v>11.170559999999998</v>
      </c>
      <c r="BR12" s="67">
        <f t="shared" si="28"/>
        <v>1.3963199999999998</v>
      </c>
      <c r="BS12" s="55">
        <v>3.4</v>
      </c>
      <c r="BT12" s="62">
        <v>1</v>
      </c>
      <c r="BU12" s="49">
        <f t="shared" si="29"/>
        <v>0.41068235294117644</v>
      </c>
      <c r="BV12" s="100">
        <v>59.867219999999989</v>
      </c>
      <c r="BW12" s="67">
        <f t="shared" si="30"/>
        <v>7.4834024999999986</v>
      </c>
      <c r="BX12" s="61">
        <v>125</v>
      </c>
      <c r="BY12" s="62">
        <v>1</v>
      </c>
      <c r="BZ12" s="60">
        <f t="shared" si="31"/>
        <v>5.9867219999999992E-2</v>
      </c>
      <c r="CA12" s="47">
        <f t="shared" si="32"/>
        <v>3</v>
      </c>
      <c r="CB12" s="56">
        <f t="shared" si="33"/>
        <v>6</v>
      </c>
      <c r="CC12" s="100">
        <v>21.555689999999995</v>
      </c>
      <c r="CD12" s="67">
        <f t="shared" si="34"/>
        <v>2.6944612499999994</v>
      </c>
      <c r="CE12" s="61">
        <v>165</v>
      </c>
      <c r="CF12" s="62">
        <v>1</v>
      </c>
      <c r="CG12" s="49">
        <f t="shared" si="35"/>
        <v>1.6330068181818178E-2</v>
      </c>
      <c r="CH12" s="100">
        <v>29.235449999999997</v>
      </c>
      <c r="CI12" s="67">
        <f t="shared" si="36"/>
        <v>3.6544312499999996</v>
      </c>
      <c r="CJ12" s="61">
        <v>150</v>
      </c>
      <c r="CK12" s="62">
        <v>1</v>
      </c>
      <c r="CL12" s="49">
        <f t="shared" si="37"/>
        <v>2.4362874999999996E-2</v>
      </c>
      <c r="CM12" s="100">
        <v>178.03079999999997</v>
      </c>
      <c r="CN12" s="67">
        <f t="shared" si="38"/>
        <v>22.253849999999996</v>
      </c>
      <c r="CO12" s="51">
        <v>320</v>
      </c>
      <c r="CP12" s="62">
        <v>1</v>
      </c>
      <c r="CQ12" s="49">
        <f t="shared" si="39"/>
        <v>6.9543281249999991E-2</v>
      </c>
      <c r="CR12" s="100">
        <v>534.09239999999988</v>
      </c>
      <c r="CS12" s="67">
        <f t="shared" si="40"/>
        <v>66.761549999999986</v>
      </c>
      <c r="CT12" s="51">
        <v>8000</v>
      </c>
      <c r="CU12" s="62">
        <v>1</v>
      </c>
      <c r="CV12" s="49">
        <f t="shared" si="41"/>
        <v>8.3451937499999986E-3</v>
      </c>
      <c r="CW12" s="100">
        <v>356.06159999999994</v>
      </c>
      <c r="CX12" s="67">
        <f t="shared" si="42"/>
        <v>44.507699999999993</v>
      </c>
      <c r="CY12" s="51">
        <v>300</v>
      </c>
      <c r="CZ12" s="62">
        <v>1</v>
      </c>
      <c r="DA12" s="49">
        <f t="shared" si="43"/>
        <v>0.14835899999999996</v>
      </c>
      <c r="DB12" s="57">
        <f t="shared" si="44"/>
        <v>43.634999999999991</v>
      </c>
      <c r="DC12" s="67">
        <f t="shared" si="45"/>
        <v>5.4543749999999989</v>
      </c>
      <c r="DD12" s="58">
        <v>50</v>
      </c>
      <c r="DE12" s="62">
        <v>1</v>
      </c>
      <c r="DF12" s="49">
        <f t="shared" si="46"/>
        <v>0.10908749999999998</v>
      </c>
      <c r="DG12" s="59">
        <f t="shared" si="47"/>
        <v>0.5</v>
      </c>
      <c r="DH12" s="94">
        <f t="shared" si="48"/>
        <v>3</v>
      </c>
      <c r="DI12" s="94">
        <f t="shared" si="49"/>
        <v>6</v>
      </c>
      <c r="DJ12" s="94">
        <f t="shared" si="50"/>
        <v>0.5</v>
      </c>
      <c r="DK12" s="96">
        <f t="shared" si="57"/>
        <v>10</v>
      </c>
      <c r="DL12" s="28">
        <f t="shared" si="51"/>
        <v>8</v>
      </c>
      <c r="DM12" s="94">
        <f t="shared" si="52"/>
        <v>80</v>
      </c>
      <c r="DN12" s="117">
        <f t="shared" si="53"/>
        <v>81</v>
      </c>
      <c r="DO12" s="117"/>
      <c r="DP12" s="44">
        <f t="shared" si="54"/>
        <v>4.21875</v>
      </c>
      <c r="DQ12" s="26"/>
      <c r="DR12" s="26"/>
      <c r="DS12" s="26"/>
      <c r="DT12" s="26"/>
      <c r="DU12" s="26"/>
    </row>
    <row r="13" spans="1:125" s="1" customFormat="1" ht="17.25" customHeight="1">
      <c r="B13" s="102">
        <v>5</v>
      </c>
      <c r="C13" s="106" t="s">
        <v>76</v>
      </c>
      <c r="D13" s="99" t="s">
        <v>77</v>
      </c>
      <c r="E13" s="99"/>
      <c r="F13" s="64" t="s">
        <v>82</v>
      </c>
      <c r="G13" s="64" t="s">
        <v>18</v>
      </c>
      <c r="H13" s="63">
        <v>62</v>
      </c>
      <c r="I13" s="98">
        <v>818.99599999999998</v>
      </c>
      <c r="J13" s="98">
        <v>871.93100000000004</v>
      </c>
      <c r="K13" s="45">
        <f t="shared" si="55"/>
        <v>52.935000000000059</v>
      </c>
      <c r="L13" s="45" t="s">
        <v>47</v>
      </c>
      <c r="M13" s="71">
        <v>9</v>
      </c>
      <c r="N13" s="45">
        <f t="shared" si="56"/>
        <v>5.881666666666673</v>
      </c>
      <c r="O13" s="48">
        <v>1</v>
      </c>
      <c r="P13" s="100">
        <v>79.931850000000097</v>
      </c>
      <c r="Q13" s="67">
        <f t="shared" si="7"/>
        <v>8.8813166666666774</v>
      </c>
      <c r="R13" s="46">
        <v>53.9</v>
      </c>
      <c r="S13" s="62">
        <v>1</v>
      </c>
      <c r="T13" s="48">
        <f t="shared" si="8"/>
        <v>0.1647739641311072</v>
      </c>
      <c r="U13" s="100">
        <v>292.20120000000031</v>
      </c>
      <c r="V13" s="67">
        <f t="shared" si="9"/>
        <v>32.466800000000035</v>
      </c>
      <c r="W13" s="75">
        <v>190</v>
      </c>
      <c r="X13" s="62">
        <v>1</v>
      </c>
      <c r="Y13" s="48">
        <f t="shared" si="10"/>
        <v>0.17087789473684228</v>
      </c>
      <c r="Z13" s="100">
        <v>70.932900000000089</v>
      </c>
      <c r="AA13" s="67">
        <f t="shared" si="11"/>
        <v>7.8814333333333435</v>
      </c>
      <c r="AB13" s="61">
        <v>42</v>
      </c>
      <c r="AC13" s="62">
        <v>1</v>
      </c>
      <c r="AD13" s="48">
        <f t="shared" si="12"/>
        <v>0.48765317460317481</v>
      </c>
      <c r="AE13" s="100">
        <v>42.348000000000049</v>
      </c>
      <c r="AF13" s="67">
        <f t="shared" si="13"/>
        <v>4.7053333333333391</v>
      </c>
      <c r="AG13" s="61">
        <v>40</v>
      </c>
      <c r="AH13" s="62">
        <v>1</v>
      </c>
      <c r="AI13" s="48">
        <f t="shared" si="14"/>
        <v>0.11763333333333348</v>
      </c>
      <c r="AJ13" s="100">
        <v>19.056600000000024</v>
      </c>
      <c r="AK13" s="67">
        <f t="shared" si="15"/>
        <v>2.1174000000000026</v>
      </c>
      <c r="AL13" s="61">
        <v>130</v>
      </c>
      <c r="AM13" s="62">
        <v>1</v>
      </c>
      <c r="AN13" s="60">
        <f t="shared" si="16"/>
        <v>1.6287692307692329E-2</v>
      </c>
      <c r="AO13" s="47">
        <f t="shared" si="17"/>
        <v>1</v>
      </c>
      <c r="AP13" s="100">
        <v>60.345900000000071</v>
      </c>
      <c r="AQ13" s="67">
        <f t="shared" si="18"/>
        <v>6.7051000000000078</v>
      </c>
      <c r="AR13" s="61">
        <v>225</v>
      </c>
      <c r="AS13" s="62">
        <v>1</v>
      </c>
      <c r="AT13" s="49">
        <f t="shared" si="19"/>
        <v>2.980044444444448E-2</v>
      </c>
      <c r="AU13" s="50">
        <f t="shared" si="20"/>
        <v>3</v>
      </c>
      <c r="AV13" s="100">
        <v>21.174000000000024</v>
      </c>
      <c r="AW13" s="67">
        <f t="shared" si="21"/>
        <v>2.3526666666666696</v>
      </c>
      <c r="AX13" s="51">
        <v>40</v>
      </c>
      <c r="AY13" s="62">
        <v>1</v>
      </c>
      <c r="AZ13" s="49">
        <f t="shared" si="22"/>
        <v>5.8816666666666739E-2</v>
      </c>
      <c r="BA13" s="100">
        <v>23.291400000000028</v>
      </c>
      <c r="BB13" s="67">
        <f t="shared" si="23"/>
        <v>2.5879333333333365</v>
      </c>
      <c r="BC13" s="61">
        <v>130</v>
      </c>
      <c r="BD13" s="62">
        <v>1</v>
      </c>
      <c r="BE13" s="60">
        <f t="shared" si="24"/>
        <v>1.9907179487179513E-2</v>
      </c>
      <c r="BF13" s="47">
        <f t="shared" si="25"/>
        <v>2</v>
      </c>
      <c r="BG13" s="33"/>
      <c r="BH13" s="33"/>
      <c r="BI13" s="52"/>
      <c r="BJ13" s="53"/>
      <c r="BK13" s="54"/>
      <c r="BL13" s="100">
        <v>79.825980000000087</v>
      </c>
      <c r="BM13" s="67">
        <f t="shared" si="26"/>
        <v>8.8695533333333429</v>
      </c>
      <c r="BN13" s="51">
        <v>35</v>
      </c>
      <c r="BO13" s="62">
        <v>1</v>
      </c>
      <c r="BP13" s="60">
        <f t="shared" si="27"/>
        <v>0.25341580952380982</v>
      </c>
      <c r="BQ13" s="100">
        <v>13.551360000000015</v>
      </c>
      <c r="BR13" s="67">
        <f t="shared" si="28"/>
        <v>1.5057066666666683</v>
      </c>
      <c r="BS13" s="55">
        <v>3.4</v>
      </c>
      <c r="BT13" s="62">
        <v>1</v>
      </c>
      <c r="BU13" s="49">
        <f t="shared" si="29"/>
        <v>0.44285490196078481</v>
      </c>
      <c r="BV13" s="100">
        <v>72.62682000000008</v>
      </c>
      <c r="BW13" s="67">
        <f t="shared" si="30"/>
        <v>8.0696466666666762</v>
      </c>
      <c r="BX13" s="61">
        <v>125</v>
      </c>
      <c r="BY13" s="62">
        <v>1</v>
      </c>
      <c r="BZ13" s="60">
        <f t="shared" si="31"/>
        <v>6.4557173333333412E-2</v>
      </c>
      <c r="CA13" s="47">
        <f t="shared" si="32"/>
        <v>3</v>
      </c>
      <c r="CB13" s="56">
        <f t="shared" si="33"/>
        <v>6</v>
      </c>
      <c r="CC13" s="100">
        <v>26.149890000000028</v>
      </c>
      <c r="CD13" s="67">
        <f t="shared" si="34"/>
        <v>2.9055433333333363</v>
      </c>
      <c r="CE13" s="61">
        <v>165</v>
      </c>
      <c r="CF13" s="62">
        <v>1</v>
      </c>
      <c r="CG13" s="49">
        <f t="shared" si="35"/>
        <v>1.7609353535353554E-2</v>
      </c>
      <c r="CH13" s="100">
        <v>35.466450000000044</v>
      </c>
      <c r="CI13" s="67">
        <f t="shared" si="36"/>
        <v>3.9407166666666718</v>
      </c>
      <c r="CJ13" s="61">
        <v>150</v>
      </c>
      <c r="CK13" s="62">
        <v>1</v>
      </c>
      <c r="CL13" s="49">
        <f t="shared" si="37"/>
        <v>2.6271444444444479E-2</v>
      </c>
      <c r="CM13" s="100">
        <v>215.97480000000024</v>
      </c>
      <c r="CN13" s="67">
        <f t="shared" si="38"/>
        <v>23.997200000000028</v>
      </c>
      <c r="CO13" s="51">
        <v>320</v>
      </c>
      <c r="CP13" s="62">
        <v>1</v>
      </c>
      <c r="CQ13" s="49">
        <f t="shared" si="39"/>
        <v>7.4991250000000093E-2</v>
      </c>
      <c r="CR13" s="100">
        <v>647.92440000000079</v>
      </c>
      <c r="CS13" s="67">
        <f t="shared" si="40"/>
        <v>71.991600000000091</v>
      </c>
      <c r="CT13" s="51">
        <v>8000</v>
      </c>
      <c r="CU13" s="62">
        <v>1</v>
      </c>
      <c r="CV13" s="49">
        <f t="shared" si="41"/>
        <v>8.9989500000000108E-3</v>
      </c>
      <c r="CW13" s="100">
        <v>431.94960000000049</v>
      </c>
      <c r="CX13" s="67">
        <f t="shared" si="42"/>
        <v>47.994400000000056</v>
      </c>
      <c r="CY13" s="51">
        <v>300</v>
      </c>
      <c r="CZ13" s="62">
        <v>1</v>
      </c>
      <c r="DA13" s="49">
        <f t="shared" si="43"/>
        <v>0.15998133333333353</v>
      </c>
      <c r="DB13" s="57">
        <f t="shared" si="44"/>
        <v>52.935000000000059</v>
      </c>
      <c r="DC13" s="67">
        <f t="shared" si="45"/>
        <v>5.881666666666673</v>
      </c>
      <c r="DD13" s="58">
        <v>50</v>
      </c>
      <c r="DE13" s="62">
        <v>1</v>
      </c>
      <c r="DF13" s="49">
        <f t="shared" si="46"/>
        <v>0.11763333333333346</v>
      </c>
      <c r="DG13" s="59">
        <f t="shared" si="47"/>
        <v>0.5</v>
      </c>
      <c r="DH13" s="94">
        <f t="shared" si="48"/>
        <v>3</v>
      </c>
      <c r="DI13" s="94">
        <f t="shared" si="49"/>
        <v>6</v>
      </c>
      <c r="DJ13" s="94">
        <f t="shared" si="50"/>
        <v>0.5</v>
      </c>
      <c r="DK13" s="96">
        <f t="shared" si="57"/>
        <v>10</v>
      </c>
      <c r="DL13" s="28">
        <f t="shared" si="51"/>
        <v>9</v>
      </c>
      <c r="DM13" s="94">
        <f t="shared" si="52"/>
        <v>90</v>
      </c>
      <c r="DN13" s="117">
        <f t="shared" si="53"/>
        <v>91</v>
      </c>
      <c r="DO13" s="117"/>
      <c r="DP13" s="44">
        <f t="shared" si="54"/>
        <v>4.7395833333333339</v>
      </c>
      <c r="DQ13" s="26"/>
      <c r="DR13" s="26"/>
      <c r="DS13" s="26"/>
      <c r="DT13" s="26"/>
      <c r="DU13" s="26"/>
    </row>
    <row r="14" spans="1:125" s="1" customFormat="1" ht="17.25" customHeight="1">
      <c r="B14" s="36">
        <v>6</v>
      </c>
      <c r="C14" s="37" t="s">
        <v>78</v>
      </c>
      <c r="D14" s="38" t="s">
        <v>79</v>
      </c>
      <c r="E14" s="38" t="s">
        <v>63</v>
      </c>
      <c r="F14" s="77" t="s">
        <v>85</v>
      </c>
      <c r="G14" s="77" t="s">
        <v>18</v>
      </c>
      <c r="H14" s="89"/>
      <c r="I14" s="39">
        <v>1133.4449999999999</v>
      </c>
      <c r="J14" s="39">
        <v>1159.604</v>
      </c>
      <c r="K14" s="88">
        <f t="shared" si="55"/>
        <v>26.159000000000106</v>
      </c>
      <c r="L14" s="76" t="s">
        <v>179</v>
      </c>
      <c r="M14" s="72">
        <v>5</v>
      </c>
      <c r="N14" s="88">
        <f>K14/M14</f>
        <v>5.2318000000000211</v>
      </c>
      <c r="O14" s="48">
        <v>1</v>
      </c>
      <c r="P14" s="100">
        <v>39.500090000000156</v>
      </c>
      <c r="Q14" s="67">
        <f>P14/M14</f>
        <v>7.9000180000000313</v>
      </c>
      <c r="R14" s="46">
        <v>53.9</v>
      </c>
      <c r="S14" s="62">
        <v>1</v>
      </c>
      <c r="T14" s="48">
        <f>Q14/R14/S14</f>
        <v>0.14656805194805253</v>
      </c>
      <c r="U14" s="100">
        <v>144.39768000000058</v>
      </c>
      <c r="V14" s="67">
        <f>U14/M14</f>
        <v>28.879536000000115</v>
      </c>
      <c r="W14" s="75">
        <v>190</v>
      </c>
      <c r="X14" s="62">
        <v>1</v>
      </c>
      <c r="Y14" s="48">
        <f>V14/W14/X14</f>
        <v>0.15199755789473746</v>
      </c>
      <c r="Z14" s="100">
        <v>35.053060000000144</v>
      </c>
      <c r="AA14" s="67">
        <f>Z14/M14</f>
        <v>7.0106120000000285</v>
      </c>
      <c r="AB14" s="61">
        <v>42</v>
      </c>
      <c r="AC14" s="62">
        <v>1</v>
      </c>
      <c r="AD14" s="48">
        <f>AA14/AB14/AC14+0.3</f>
        <v>0.46691933333333402</v>
      </c>
      <c r="AE14" s="100">
        <v>20.927200000000084</v>
      </c>
      <c r="AF14" s="67">
        <f>AE14/M14</f>
        <v>4.1854400000000167</v>
      </c>
      <c r="AG14" s="61">
        <v>40</v>
      </c>
      <c r="AH14" s="62">
        <v>1</v>
      </c>
      <c r="AI14" s="48">
        <f>AF14/AG14/AH14</f>
        <v>0.10463600000000042</v>
      </c>
      <c r="AJ14" s="100">
        <v>9.4172400000000387</v>
      </c>
      <c r="AK14" s="67">
        <f>AJ14/M14</f>
        <v>1.8834480000000078</v>
      </c>
      <c r="AL14" s="61">
        <v>130</v>
      </c>
      <c r="AM14" s="62">
        <v>1</v>
      </c>
      <c r="AN14" s="60">
        <f>AK14/AL14/AM14</f>
        <v>1.4488061538461598E-2</v>
      </c>
      <c r="AO14" s="47">
        <f>IF(G14="보통",2,IF(G14="조강",1,""))</f>
        <v>1</v>
      </c>
      <c r="AP14" s="100">
        <v>29.821260000000123</v>
      </c>
      <c r="AQ14" s="67">
        <f>AP14/M14</f>
        <v>5.964252000000025</v>
      </c>
      <c r="AR14" s="61">
        <v>225</v>
      </c>
      <c r="AS14" s="62">
        <v>1</v>
      </c>
      <c r="AT14" s="49">
        <f>AQ14/AR14/AS14</f>
        <v>2.6507786666666779E-2</v>
      </c>
      <c r="AU14" s="50">
        <f>CEILING(SUM(O14,T14,Y14,AD14,AI14,AN14,AO14,AT14),0.5)</f>
        <v>3</v>
      </c>
      <c r="AV14" s="100">
        <v>10.463600000000042</v>
      </c>
      <c r="AW14" s="67">
        <f>AV14/M14</f>
        <v>2.0927200000000084</v>
      </c>
      <c r="AX14" s="51">
        <v>40</v>
      </c>
      <c r="AY14" s="62">
        <v>1</v>
      </c>
      <c r="AZ14" s="49">
        <f>AW14/AX14/AY14</f>
        <v>5.2318000000000212E-2</v>
      </c>
      <c r="BA14" s="100">
        <v>11.509960000000047</v>
      </c>
      <c r="BB14" s="67">
        <f>BA14/M14</f>
        <v>2.3019920000000096</v>
      </c>
      <c r="BC14" s="61">
        <v>130</v>
      </c>
      <c r="BD14" s="62">
        <v>1</v>
      </c>
      <c r="BE14" s="60">
        <f>BB14/BC14/BD14</f>
        <v>1.7707630769230844E-2</v>
      </c>
      <c r="BF14" s="47">
        <f>IF(G14="보통",5,IF(G14="조강",2,""))</f>
        <v>2</v>
      </c>
      <c r="BG14" s="33"/>
      <c r="BH14" s="33"/>
      <c r="BI14" s="52"/>
      <c r="BJ14" s="53"/>
      <c r="BK14" s="54"/>
      <c r="BL14" s="100">
        <v>39.447772000000157</v>
      </c>
      <c r="BM14" s="67">
        <f>BL14/M14</f>
        <v>7.8895544000000317</v>
      </c>
      <c r="BN14" s="51">
        <v>35</v>
      </c>
      <c r="BO14" s="62">
        <v>1</v>
      </c>
      <c r="BP14" s="60">
        <f>BM14/BN14/BO14</f>
        <v>0.22541584000000089</v>
      </c>
      <c r="BQ14" s="100">
        <v>6.6967040000000271</v>
      </c>
      <c r="BR14" s="67">
        <f>BQ14/M14</f>
        <v>1.3393408000000053</v>
      </c>
      <c r="BS14" s="55">
        <v>3.4</v>
      </c>
      <c r="BT14" s="62">
        <v>1</v>
      </c>
      <c r="BU14" s="49">
        <f>BR14/BS14/BT14</f>
        <v>0.39392376470588392</v>
      </c>
      <c r="BV14" s="100">
        <v>35.890148000000146</v>
      </c>
      <c r="BW14" s="67">
        <f>BV14/M14</f>
        <v>7.1780296000000288</v>
      </c>
      <c r="BX14" s="61">
        <v>125</v>
      </c>
      <c r="BY14" s="62">
        <v>1</v>
      </c>
      <c r="BZ14" s="60">
        <f>BW14/BX14/BY14</f>
        <v>5.7424236800000229E-2</v>
      </c>
      <c r="CA14" s="47">
        <f>IF(G14="보통",7,IF(G14="조강",3,""))</f>
        <v>3</v>
      </c>
      <c r="CB14" s="56">
        <f>CEILING(SUM(AZ14,BE14,BF14,BK14,BP14,BU14,BZ14,CA14),0.5)</f>
        <v>6</v>
      </c>
      <c r="CC14" s="100">
        <v>12.922546000000052</v>
      </c>
      <c r="CD14" s="67">
        <f>CC14/M14</f>
        <v>2.5845092000000105</v>
      </c>
      <c r="CE14" s="61">
        <v>165</v>
      </c>
      <c r="CF14" s="62">
        <v>1</v>
      </c>
      <c r="CG14" s="49">
        <f>CD14/CE14/CF14</f>
        <v>1.5663692121212186E-2</v>
      </c>
      <c r="CH14" s="100">
        <v>17.526530000000072</v>
      </c>
      <c r="CI14" s="67">
        <f>CH14/M14</f>
        <v>3.5053060000000142</v>
      </c>
      <c r="CJ14" s="61">
        <v>150</v>
      </c>
      <c r="CK14" s="62">
        <v>1</v>
      </c>
      <c r="CL14" s="49">
        <f>CI14/CJ14/CK14</f>
        <v>2.3368706666666763E-2</v>
      </c>
      <c r="CM14" s="100">
        <v>106.72872000000044</v>
      </c>
      <c r="CN14" s="67">
        <f>CM14/M14</f>
        <v>21.345744000000089</v>
      </c>
      <c r="CO14" s="51">
        <v>320</v>
      </c>
      <c r="CP14" s="62">
        <v>1</v>
      </c>
      <c r="CQ14" s="49">
        <f>CN14/CO14/CP14</f>
        <v>6.6705450000000277E-2</v>
      </c>
      <c r="CR14" s="100">
        <v>320.18616000000134</v>
      </c>
      <c r="CS14" s="67">
        <f>CR14/M14</f>
        <v>64.037232000000273</v>
      </c>
      <c r="CT14" s="51">
        <v>8000</v>
      </c>
      <c r="CU14" s="62">
        <v>1</v>
      </c>
      <c r="CV14" s="49">
        <f>CS14/CT14/CU14</f>
        <v>8.0046540000000346E-3</v>
      </c>
      <c r="CW14" s="100">
        <v>213.45744000000087</v>
      </c>
      <c r="CX14" s="67">
        <f>CW14/M14</f>
        <v>42.691488000000177</v>
      </c>
      <c r="CY14" s="51">
        <v>300</v>
      </c>
      <c r="CZ14" s="62">
        <v>1</v>
      </c>
      <c r="DA14" s="49">
        <f>CX14/CY14/CZ14</f>
        <v>0.14230496000000059</v>
      </c>
      <c r="DB14" s="57">
        <f>K14</f>
        <v>26.159000000000106</v>
      </c>
      <c r="DC14" s="67">
        <f>DB14/M14</f>
        <v>5.2318000000000211</v>
      </c>
      <c r="DD14" s="58">
        <v>50</v>
      </c>
      <c r="DE14" s="62">
        <v>1</v>
      </c>
      <c r="DF14" s="49">
        <f>DC14/DD14/DE14</f>
        <v>0.10463600000000042</v>
      </c>
      <c r="DG14" s="59">
        <f>CEILING(SUM(CG14,CL14,CQ14,CV14,DA14,DF14),0.5)</f>
        <v>0.5</v>
      </c>
      <c r="DH14" s="94">
        <f t="shared" si="48"/>
        <v>3</v>
      </c>
      <c r="DI14" s="94">
        <f t="shared" si="49"/>
        <v>6</v>
      </c>
      <c r="DJ14" s="94">
        <f>DG14</f>
        <v>0.5</v>
      </c>
      <c r="DK14" s="96">
        <f t="shared" si="57"/>
        <v>10</v>
      </c>
      <c r="DL14" s="28">
        <f t="shared" si="51"/>
        <v>5</v>
      </c>
      <c r="DM14" s="94">
        <f>DK14*DL14</f>
        <v>50</v>
      </c>
      <c r="DN14" s="117">
        <f t="shared" si="53"/>
        <v>51</v>
      </c>
      <c r="DO14" s="117"/>
      <c r="DP14" s="44">
        <f t="shared" si="54"/>
        <v>2.65625</v>
      </c>
      <c r="DQ14" s="26"/>
      <c r="DR14" s="26"/>
      <c r="DS14" s="26"/>
      <c r="DT14" s="26"/>
      <c r="DU14" s="26"/>
    </row>
    <row r="15" spans="1:125" s="1" customFormat="1" ht="17.25" customHeight="1">
      <c r="B15" s="92">
        <v>7</v>
      </c>
      <c r="C15" s="107" t="s">
        <v>80</v>
      </c>
      <c r="D15" s="99" t="s">
        <v>81</v>
      </c>
      <c r="E15" s="99"/>
      <c r="F15" s="64" t="s">
        <v>82</v>
      </c>
      <c r="G15" s="64" t="s">
        <v>18</v>
      </c>
      <c r="H15" s="63">
        <v>62</v>
      </c>
      <c r="I15" s="98">
        <v>2828.172</v>
      </c>
      <c r="J15" s="98">
        <v>2863.0770000000002</v>
      </c>
      <c r="K15" s="45">
        <f t="shared" si="55"/>
        <v>34.9050000000002</v>
      </c>
      <c r="L15" s="45" t="s">
        <v>47</v>
      </c>
      <c r="M15" s="71">
        <v>5</v>
      </c>
      <c r="N15" s="45">
        <f t="shared" si="56"/>
        <v>6.9810000000000398</v>
      </c>
      <c r="O15" s="48">
        <v>1</v>
      </c>
      <c r="P15" s="100">
        <v>52.706550000000306</v>
      </c>
      <c r="Q15" s="67">
        <f t="shared" si="7"/>
        <v>10.541310000000061</v>
      </c>
      <c r="R15" s="46">
        <v>53.9</v>
      </c>
      <c r="S15" s="62">
        <v>1</v>
      </c>
      <c r="T15" s="48">
        <f t="shared" si="8"/>
        <v>0.19557161410018667</v>
      </c>
      <c r="U15" s="100">
        <v>192.67560000000111</v>
      </c>
      <c r="V15" s="67">
        <f t="shared" si="9"/>
        <v>38.535120000000219</v>
      </c>
      <c r="W15" s="75">
        <v>190</v>
      </c>
      <c r="X15" s="62">
        <v>1</v>
      </c>
      <c r="Y15" s="48">
        <f t="shared" si="10"/>
        <v>0.20281642105263273</v>
      </c>
      <c r="Z15" s="100">
        <v>46.77270000000027</v>
      </c>
      <c r="AA15" s="67">
        <f t="shared" si="11"/>
        <v>9.3545400000000534</v>
      </c>
      <c r="AB15" s="61">
        <v>42</v>
      </c>
      <c r="AC15" s="62">
        <v>1</v>
      </c>
      <c r="AD15" s="48">
        <f t="shared" si="12"/>
        <v>0.52272714285714406</v>
      </c>
      <c r="AE15" s="100">
        <v>27.924000000000163</v>
      </c>
      <c r="AF15" s="67">
        <f t="shared" si="13"/>
        <v>5.5848000000000324</v>
      </c>
      <c r="AG15" s="61">
        <v>40</v>
      </c>
      <c r="AH15" s="62">
        <v>1</v>
      </c>
      <c r="AI15" s="48">
        <f t="shared" si="14"/>
        <v>0.1396200000000008</v>
      </c>
      <c r="AJ15" s="100">
        <v>12.565800000000074</v>
      </c>
      <c r="AK15" s="67">
        <f t="shared" si="15"/>
        <v>2.5131600000000147</v>
      </c>
      <c r="AL15" s="61">
        <v>130</v>
      </c>
      <c r="AM15" s="62">
        <v>1</v>
      </c>
      <c r="AN15" s="60">
        <f t="shared" si="16"/>
        <v>1.9332000000000113E-2</v>
      </c>
      <c r="AO15" s="47">
        <f t="shared" si="17"/>
        <v>1</v>
      </c>
      <c r="AP15" s="100">
        <v>39.791700000000233</v>
      </c>
      <c r="AQ15" s="67">
        <f t="shared" si="18"/>
        <v>7.9583400000000468</v>
      </c>
      <c r="AR15" s="61">
        <v>225</v>
      </c>
      <c r="AS15" s="62">
        <v>1</v>
      </c>
      <c r="AT15" s="49">
        <f t="shared" si="19"/>
        <v>3.5370400000000211E-2</v>
      </c>
      <c r="AU15" s="50">
        <f t="shared" si="20"/>
        <v>3.5</v>
      </c>
      <c r="AV15" s="100">
        <v>13.962000000000081</v>
      </c>
      <c r="AW15" s="67">
        <f t="shared" si="21"/>
        <v>2.7924000000000162</v>
      </c>
      <c r="AX15" s="51">
        <v>40</v>
      </c>
      <c r="AY15" s="62">
        <v>1</v>
      </c>
      <c r="AZ15" s="49">
        <f t="shared" si="22"/>
        <v>6.98100000000004E-2</v>
      </c>
      <c r="BA15" s="100">
        <v>15.358200000000091</v>
      </c>
      <c r="BB15" s="67">
        <f t="shared" si="23"/>
        <v>3.0716400000000181</v>
      </c>
      <c r="BC15" s="61">
        <v>130</v>
      </c>
      <c r="BD15" s="62">
        <v>1</v>
      </c>
      <c r="BE15" s="60">
        <f t="shared" si="24"/>
        <v>2.3628000000000138E-2</v>
      </c>
      <c r="BF15" s="47">
        <f t="shared" si="25"/>
        <v>2</v>
      </c>
      <c r="BG15" s="33"/>
      <c r="BH15" s="33"/>
      <c r="BI15" s="52"/>
      <c r="BJ15" s="53"/>
      <c r="BK15" s="54"/>
      <c r="BL15" s="100">
        <v>52.636740000000302</v>
      </c>
      <c r="BM15" s="67">
        <f t="shared" si="26"/>
        <v>10.52734800000006</v>
      </c>
      <c r="BN15" s="51">
        <v>35</v>
      </c>
      <c r="BO15" s="62">
        <v>1</v>
      </c>
      <c r="BP15" s="60">
        <f t="shared" si="27"/>
        <v>0.30078137142857314</v>
      </c>
      <c r="BQ15" s="100">
        <v>8.9356800000000511</v>
      </c>
      <c r="BR15" s="67">
        <f t="shared" si="28"/>
        <v>1.7871360000000103</v>
      </c>
      <c r="BS15" s="55">
        <v>3.4</v>
      </c>
      <c r="BT15" s="62">
        <v>1</v>
      </c>
      <c r="BU15" s="49">
        <f t="shared" si="29"/>
        <v>0.52562823529412073</v>
      </c>
      <c r="BV15" s="100">
        <v>47.889660000000276</v>
      </c>
      <c r="BW15" s="67">
        <f t="shared" si="30"/>
        <v>9.5779320000000556</v>
      </c>
      <c r="BX15" s="61">
        <v>125</v>
      </c>
      <c r="BY15" s="62">
        <v>1</v>
      </c>
      <c r="BZ15" s="60">
        <f t="shared" si="31"/>
        <v>7.6623456000000451E-2</v>
      </c>
      <c r="CA15" s="47">
        <f t="shared" si="32"/>
        <v>3</v>
      </c>
      <c r="CB15" s="56">
        <f t="shared" si="33"/>
        <v>6</v>
      </c>
      <c r="CC15" s="100">
        <v>17.243070000000099</v>
      </c>
      <c r="CD15" s="67">
        <f t="shared" si="34"/>
        <v>3.4486140000000196</v>
      </c>
      <c r="CE15" s="61">
        <v>165</v>
      </c>
      <c r="CF15" s="62">
        <v>1</v>
      </c>
      <c r="CG15" s="49">
        <f t="shared" si="35"/>
        <v>2.0900690909091028E-2</v>
      </c>
      <c r="CH15" s="100">
        <v>23.386350000000135</v>
      </c>
      <c r="CI15" s="67">
        <f t="shared" si="36"/>
        <v>4.6772700000000267</v>
      </c>
      <c r="CJ15" s="61">
        <v>150</v>
      </c>
      <c r="CK15" s="62">
        <v>1</v>
      </c>
      <c r="CL15" s="49">
        <f t="shared" si="37"/>
        <v>3.118180000000018E-2</v>
      </c>
      <c r="CM15" s="100">
        <v>142.41240000000082</v>
      </c>
      <c r="CN15" s="67">
        <f t="shared" si="38"/>
        <v>28.482480000000162</v>
      </c>
      <c r="CO15" s="51">
        <v>320</v>
      </c>
      <c r="CP15" s="62">
        <v>1</v>
      </c>
      <c r="CQ15" s="49">
        <f t="shared" si="39"/>
        <v>8.900775000000051E-2</v>
      </c>
      <c r="CR15" s="100">
        <v>427.23720000000242</v>
      </c>
      <c r="CS15" s="67">
        <f t="shared" si="40"/>
        <v>85.447440000000483</v>
      </c>
      <c r="CT15" s="51">
        <v>8000</v>
      </c>
      <c r="CU15" s="62">
        <v>1</v>
      </c>
      <c r="CV15" s="49">
        <f t="shared" si="41"/>
        <v>1.0680930000000061E-2</v>
      </c>
      <c r="CW15" s="100">
        <v>284.82480000000163</v>
      </c>
      <c r="CX15" s="67">
        <f t="shared" si="42"/>
        <v>56.964960000000325</v>
      </c>
      <c r="CY15" s="51">
        <v>300</v>
      </c>
      <c r="CZ15" s="62">
        <v>1</v>
      </c>
      <c r="DA15" s="49">
        <f t="shared" si="43"/>
        <v>0.18988320000000108</v>
      </c>
      <c r="DB15" s="57">
        <f t="shared" si="44"/>
        <v>34.9050000000002</v>
      </c>
      <c r="DC15" s="67">
        <f t="shared" si="45"/>
        <v>6.9810000000000398</v>
      </c>
      <c r="DD15" s="58">
        <v>50</v>
      </c>
      <c r="DE15" s="62">
        <v>1</v>
      </c>
      <c r="DF15" s="49">
        <f t="shared" si="46"/>
        <v>0.1396200000000008</v>
      </c>
      <c r="DG15" s="59">
        <f t="shared" si="47"/>
        <v>0.5</v>
      </c>
      <c r="DH15" s="94">
        <f t="shared" si="48"/>
        <v>3.5</v>
      </c>
      <c r="DI15" s="94">
        <f t="shared" si="49"/>
        <v>6</v>
      </c>
      <c r="DJ15" s="94">
        <f t="shared" si="50"/>
        <v>0.5</v>
      </c>
      <c r="DK15" s="96">
        <f t="shared" si="57"/>
        <v>10</v>
      </c>
      <c r="DL15" s="28">
        <f t="shared" si="51"/>
        <v>5</v>
      </c>
      <c r="DM15" s="94">
        <f t="shared" si="52"/>
        <v>50</v>
      </c>
      <c r="DN15" s="117">
        <f t="shared" si="53"/>
        <v>51</v>
      </c>
      <c r="DO15" s="117"/>
      <c r="DP15" s="44">
        <f t="shared" si="54"/>
        <v>2.65625</v>
      </c>
      <c r="DQ15" s="26"/>
      <c r="DR15" s="26"/>
      <c r="DS15" s="26"/>
      <c r="DT15" s="26"/>
      <c r="DU15" s="26"/>
    </row>
    <row r="16" spans="1:125" s="1" customFormat="1" ht="17.25" customHeight="1">
      <c r="B16" s="66">
        <v>8</v>
      </c>
      <c r="C16" s="35" t="s">
        <v>83</v>
      </c>
      <c r="D16" s="68" t="s">
        <v>84</v>
      </c>
      <c r="E16" s="68" t="s">
        <v>69</v>
      </c>
      <c r="F16" s="64" t="s">
        <v>82</v>
      </c>
      <c r="G16" s="64" t="s">
        <v>18</v>
      </c>
      <c r="H16" s="63"/>
      <c r="I16" s="98">
        <v>3141.192</v>
      </c>
      <c r="J16" s="98">
        <v>3183.7289999999998</v>
      </c>
      <c r="K16" s="45">
        <f t="shared" si="55"/>
        <v>42.536999999999807</v>
      </c>
      <c r="L16" s="45" t="s">
        <v>47</v>
      </c>
      <c r="M16" s="71">
        <v>6</v>
      </c>
      <c r="N16" s="45">
        <f t="shared" si="56"/>
        <v>7.0894999999999682</v>
      </c>
      <c r="O16" s="48">
        <v>1</v>
      </c>
      <c r="P16" s="100">
        <v>93.359909999999616</v>
      </c>
      <c r="Q16" s="67">
        <f t="shared" si="7"/>
        <v>15.559984999999935</v>
      </c>
      <c r="R16" s="46">
        <v>53.9</v>
      </c>
      <c r="S16" s="62">
        <v>1</v>
      </c>
      <c r="T16" s="48">
        <f t="shared" si="8"/>
        <v>0.28868246753246635</v>
      </c>
      <c r="U16" s="100">
        <v>309.64968999999871</v>
      </c>
      <c r="V16" s="67">
        <f t="shared" si="9"/>
        <v>51.60828166666645</v>
      </c>
      <c r="W16" s="75">
        <v>190</v>
      </c>
      <c r="X16" s="62">
        <v>1</v>
      </c>
      <c r="Y16" s="48">
        <f t="shared" si="10"/>
        <v>0.27162253508771816</v>
      </c>
      <c r="Z16" s="100">
        <v>56.999579999999739</v>
      </c>
      <c r="AA16" s="67">
        <f t="shared" si="11"/>
        <v>9.4999299999999565</v>
      </c>
      <c r="AB16" s="61">
        <v>42</v>
      </c>
      <c r="AC16" s="62">
        <v>1</v>
      </c>
      <c r="AD16" s="48">
        <f t="shared" si="12"/>
        <v>0.52618880952380853</v>
      </c>
      <c r="AE16" s="100">
        <v>34.029599999999853</v>
      </c>
      <c r="AF16" s="67">
        <f t="shared" si="13"/>
        <v>5.6715999999999758</v>
      </c>
      <c r="AG16" s="61">
        <v>40</v>
      </c>
      <c r="AH16" s="62">
        <v>1</v>
      </c>
      <c r="AI16" s="48">
        <f t="shared" si="14"/>
        <v>0.14178999999999939</v>
      </c>
      <c r="AJ16" s="100">
        <v>15.313319999999933</v>
      </c>
      <c r="AK16" s="67">
        <f t="shared" si="15"/>
        <v>2.5522199999999891</v>
      </c>
      <c r="AL16" s="61">
        <v>130</v>
      </c>
      <c r="AM16" s="62">
        <v>1</v>
      </c>
      <c r="AN16" s="60">
        <f t="shared" si="16"/>
        <v>1.9632461538461453E-2</v>
      </c>
      <c r="AO16" s="47">
        <f t="shared" si="17"/>
        <v>1</v>
      </c>
      <c r="AP16" s="100">
        <v>79.239499999999694</v>
      </c>
      <c r="AQ16" s="67">
        <f t="shared" si="18"/>
        <v>13.206583333333283</v>
      </c>
      <c r="AR16" s="61">
        <v>225</v>
      </c>
      <c r="AS16" s="62">
        <v>1</v>
      </c>
      <c r="AT16" s="49">
        <f t="shared" si="19"/>
        <v>5.86959259259257E-2</v>
      </c>
      <c r="AU16" s="50">
        <f t="shared" si="20"/>
        <v>3.5</v>
      </c>
      <c r="AV16" s="100">
        <v>17.014799999999926</v>
      </c>
      <c r="AW16" s="67">
        <f t="shared" si="21"/>
        <v>2.8357999999999879</v>
      </c>
      <c r="AX16" s="51">
        <v>40</v>
      </c>
      <c r="AY16" s="62">
        <v>1</v>
      </c>
      <c r="AZ16" s="49">
        <f t="shared" si="22"/>
        <v>7.0894999999999694E-2</v>
      </c>
      <c r="BA16" s="100">
        <v>18.716279999999916</v>
      </c>
      <c r="BB16" s="67">
        <f t="shared" si="23"/>
        <v>3.1193799999999858</v>
      </c>
      <c r="BC16" s="61">
        <v>130</v>
      </c>
      <c r="BD16" s="62">
        <v>1</v>
      </c>
      <c r="BE16" s="60">
        <f t="shared" si="24"/>
        <v>2.3995230769230661E-2</v>
      </c>
      <c r="BF16" s="47">
        <f t="shared" si="25"/>
        <v>2</v>
      </c>
      <c r="BG16" s="33"/>
      <c r="BH16" s="33"/>
      <c r="BI16" s="52"/>
      <c r="BJ16" s="53"/>
      <c r="BK16" s="54"/>
      <c r="BL16" s="100">
        <v>64.145795999999706</v>
      </c>
      <c r="BM16" s="67">
        <f t="shared" si="26"/>
        <v>10.690965999999952</v>
      </c>
      <c r="BN16" s="51">
        <v>35</v>
      </c>
      <c r="BO16" s="62">
        <v>1</v>
      </c>
      <c r="BP16" s="60">
        <f t="shared" si="27"/>
        <v>0.30545617142857007</v>
      </c>
      <c r="BQ16" s="100">
        <v>10.889471999999952</v>
      </c>
      <c r="BR16" s="67">
        <f t="shared" si="28"/>
        <v>1.8149119999999919</v>
      </c>
      <c r="BS16" s="55">
        <v>3.4</v>
      </c>
      <c r="BT16" s="62">
        <v>1</v>
      </c>
      <c r="BU16" s="49">
        <f t="shared" si="29"/>
        <v>0.53379764705882116</v>
      </c>
      <c r="BV16" s="100">
        <v>58.36076399999974</v>
      </c>
      <c r="BW16" s="67">
        <f t="shared" si="30"/>
        <v>9.7267939999999573</v>
      </c>
      <c r="BX16" s="61">
        <v>125</v>
      </c>
      <c r="BY16" s="62">
        <v>1</v>
      </c>
      <c r="BZ16" s="60">
        <f t="shared" si="31"/>
        <v>7.7814351999999656E-2</v>
      </c>
      <c r="CA16" s="47">
        <f t="shared" si="32"/>
        <v>3</v>
      </c>
      <c r="CB16" s="56">
        <f t="shared" si="33"/>
        <v>6.5</v>
      </c>
      <c r="CC16" s="100">
        <v>39.016642999999853</v>
      </c>
      <c r="CD16" s="67">
        <f t="shared" si="34"/>
        <v>6.5027738333333085</v>
      </c>
      <c r="CE16" s="61">
        <v>165</v>
      </c>
      <c r="CF16" s="62">
        <v>1</v>
      </c>
      <c r="CG16" s="49">
        <f t="shared" si="35"/>
        <v>3.9410750505050357E-2</v>
      </c>
      <c r="CH16" s="100">
        <v>54.635011999999797</v>
      </c>
      <c r="CI16" s="67">
        <f t="shared" si="36"/>
        <v>9.1058353333332995</v>
      </c>
      <c r="CJ16" s="61">
        <v>150</v>
      </c>
      <c r="CK16" s="62">
        <v>1</v>
      </c>
      <c r="CL16" s="49">
        <f t="shared" si="37"/>
        <v>6.0705568888888665E-2</v>
      </c>
      <c r="CM16" s="100">
        <v>327.28755999999879</v>
      </c>
      <c r="CN16" s="67">
        <f t="shared" si="38"/>
        <v>54.547926666666463</v>
      </c>
      <c r="CO16" s="51">
        <v>320</v>
      </c>
      <c r="CP16" s="62">
        <v>1</v>
      </c>
      <c r="CQ16" s="49">
        <f t="shared" si="39"/>
        <v>0.17046227083333271</v>
      </c>
      <c r="CR16" s="100">
        <v>981.86267999999632</v>
      </c>
      <c r="CS16" s="67">
        <f t="shared" si="40"/>
        <v>163.6437799999994</v>
      </c>
      <c r="CT16" s="51">
        <v>8000</v>
      </c>
      <c r="CU16" s="62">
        <v>1</v>
      </c>
      <c r="CV16" s="49">
        <f t="shared" si="41"/>
        <v>2.0455472499999926E-2</v>
      </c>
      <c r="CW16" s="100">
        <v>654.57511999999758</v>
      </c>
      <c r="CX16" s="67">
        <f t="shared" si="42"/>
        <v>109.09585333333293</v>
      </c>
      <c r="CY16" s="51">
        <v>300</v>
      </c>
      <c r="CZ16" s="62">
        <v>1</v>
      </c>
      <c r="DA16" s="49">
        <f t="shared" si="43"/>
        <v>0.36365284444444307</v>
      </c>
      <c r="DB16" s="57">
        <f t="shared" si="44"/>
        <v>42.536999999999807</v>
      </c>
      <c r="DC16" s="67">
        <f t="shared" si="45"/>
        <v>7.0894999999999682</v>
      </c>
      <c r="DD16" s="58">
        <v>50</v>
      </c>
      <c r="DE16" s="62">
        <v>1</v>
      </c>
      <c r="DF16" s="49">
        <f t="shared" si="46"/>
        <v>0.14178999999999936</v>
      </c>
      <c r="DG16" s="59">
        <f t="shared" si="47"/>
        <v>1</v>
      </c>
      <c r="DH16" s="94">
        <f t="shared" si="48"/>
        <v>3.5</v>
      </c>
      <c r="DI16" s="94">
        <f t="shared" si="49"/>
        <v>6.5</v>
      </c>
      <c r="DJ16" s="94">
        <f t="shared" si="50"/>
        <v>1</v>
      </c>
      <c r="DK16" s="96">
        <f t="shared" si="57"/>
        <v>11</v>
      </c>
      <c r="DL16" s="28">
        <f t="shared" si="51"/>
        <v>6</v>
      </c>
      <c r="DM16" s="94">
        <f t="shared" si="52"/>
        <v>66</v>
      </c>
      <c r="DN16" s="117">
        <f t="shared" si="53"/>
        <v>67</v>
      </c>
      <c r="DO16" s="117"/>
      <c r="DP16" s="44">
        <f t="shared" si="54"/>
        <v>3.4895833333333335</v>
      </c>
      <c r="DQ16" s="26"/>
      <c r="DR16" s="26"/>
      <c r="DS16" s="26"/>
      <c r="DT16" s="26"/>
      <c r="DU16" s="26"/>
    </row>
    <row r="17" spans="2:125" s="1" customFormat="1" ht="17.25" customHeight="1">
      <c r="B17" s="104">
        <v>9</v>
      </c>
      <c r="C17" s="101" t="s">
        <v>86</v>
      </c>
      <c r="D17" s="99" t="s">
        <v>87</v>
      </c>
      <c r="E17" s="68"/>
      <c r="F17" s="64" t="s">
        <v>88</v>
      </c>
      <c r="G17" s="64" t="s">
        <v>18</v>
      </c>
      <c r="H17" s="63">
        <v>80</v>
      </c>
      <c r="I17" s="98">
        <v>3471.7069999999999</v>
      </c>
      <c r="J17" s="98">
        <v>3504.547</v>
      </c>
      <c r="K17" s="45">
        <f t="shared" si="55"/>
        <v>32.840000000000146</v>
      </c>
      <c r="L17" s="45" t="s">
        <v>47</v>
      </c>
      <c r="M17" s="71">
        <v>3</v>
      </c>
      <c r="N17" s="45">
        <f t="shared" si="56"/>
        <v>10.946666666666715</v>
      </c>
      <c r="O17" s="48">
        <v>1</v>
      </c>
      <c r="P17" s="100">
        <v>49.58840000000022</v>
      </c>
      <c r="Q17" s="67">
        <f t="shared" si="7"/>
        <v>16.529466666666739</v>
      </c>
      <c r="R17" s="46">
        <v>53.9</v>
      </c>
      <c r="S17" s="62">
        <v>1</v>
      </c>
      <c r="T17" s="48">
        <f t="shared" si="8"/>
        <v>0.30666914038342746</v>
      </c>
      <c r="U17" s="100">
        <v>181.2768000000008</v>
      </c>
      <c r="V17" s="67">
        <f t="shared" si="9"/>
        <v>60.425600000000266</v>
      </c>
      <c r="W17" s="75">
        <v>190</v>
      </c>
      <c r="X17" s="62">
        <v>1</v>
      </c>
      <c r="Y17" s="48">
        <f t="shared" si="10"/>
        <v>0.31802947368421192</v>
      </c>
      <c r="Z17" s="100">
        <v>44.0056000000002</v>
      </c>
      <c r="AA17" s="67">
        <f t="shared" si="11"/>
        <v>14.6685333333334</v>
      </c>
      <c r="AB17" s="61">
        <v>42</v>
      </c>
      <c r="AC17" s="62">
        <v>1</v>
      </c>
      <c r="AD17" s="48">
        <f t="shared" si="12"/>
        <v>0.64925079365079519</v>
      </c>
      <c r="AE17" s="100">
        <v>26.272000000000119</v>
      </c>
      <c r="AF17" s="67">
        <f t="shared" si="13"/>
        <v>8.7573333333333725</v>
      </c>
      <c r="AG17" s="61">
        <v>40</v>
      </c>
      <c r="AH17" s="62">
        <v>1</v>
      </c>
      <c r="AI17" s="48">
        <f t="shared" si="14"/>
        <v>0.21893333333333431</v>
      </c>
      <c r="AJ17" s="100">
        <v>11.822400000000053</v>
      </c>
      <c r="AK17" s="67">
        <f t="shared" si="15"/>
        <v>3.9408000000000176</v>
      </c>
      <c r="AL17" s="61">
        <v>130</v>
      </c>
      <c r="AM17" s="62">
        <v>1</v>
      </c>
      <c r="AN17" s="60">
        <f t="shared" si="16"/>
        <v>3.0313846153846288E-2</v>
      </c>
      <c r="AO17" s="47">
        <f t="shared" si="17"/>
        <v>1</v>
      </c>
      <c r="AP17" s="100">
        <v>37.437600000000167</v>
      </c>
      <c r="AQ17" s="67">
        <f t="shared" si="18"/>
        <v>12.479200000000056</v>
      </c>
      <c r="AR17" s="61">
        <v>225</v>
      </c>
      <c r="AS17" s="62">
        <v>1</v>
      </c>
      <c r="AT17" s="49">
        <f t="shared" si="19"/>
        <v>5.5463111111111359E-2</v>
      </c>
      <c r="AU17" s="50">
        <f t="shared" si="20"/>
        <v>4</v>
      </c>
      <c r="AV17" s="100">
        <v>13.13600000000006</v>
      </c>
      <c r="AW17" s="67">
        <f t="shared" si="21"/>
        <v>4.3786666666666862</v>
      </c>
      <c r="AX17" s="51">
        <v>40</v>
      </c>
      <c r="AY17" s="62">
        <v>1</v>
      </c>
      <c r="AZ17" s="49">
        <f t="shared" si="22"/>
        <v>0.10946666666666716</v>
      </c>
      <c r="BA17" s="100">
        <v>14.449600000000066</v>
      </c>
      <c r="BB17" s="67">
        <f t="shared" si="23"/>
        <v>4.8165333333333553</v>
      </c>
      <c r="BC17" s="61">
        <v>130</v>
      </c>
      <c r="BD17" s="62">
        <v>1</v>
      </c>
      <c r="BE17" s="60">
        <f t="shared" si="24"/>
        <v>3.7050256410256582E-2</v>
      </c>
      <c r="BF17" s="47">
        <f t="shared" si="25"/>
        <v>2</v>
      </c>
      <c r="BG17" s="33"/>
      <c r="BH17" s="33"/>
      <c r="BI17" s="52"/>
      <c r="BJ17" s="53"/>
      <c r="BK17" s="54"/>
      <c r="BL17" s="100">
        <v>49.52272000000022</v>
      </c>
      <c r="BM17" s="67">
        <f t="shared" si="26"/>
        <v>16.507573333333408</v>
      </c>
      <c r="BN17" s="51">
        <v>35</v>
      </c>
      <c r="BO17" s="62">
        <v>1</v>
      </c>
      <c r="BP17" s="60">
        <f t="shared" si="27"/>
        <v>0.4716449523809545</v>
      </c>
      <c r="BQ17" s="100">
        <v>8.4070400000000376</v>
      </c>
      <c r="BR17" s="67">
        <f t="shared" si="28"/>
        <v>2.8023466666666792</v>
      </c>
      <c r="BS17" s="55">
        <v>3.4</v>
      </c>
      <c r="BT17" s="62">
        <v>1</v>
      </c>
      <c r="BU17" s="49">
        <f t="shared" si="29"/>
        <v>0.82421960784314097</v>
      </c>
      <c r="BV17" s="100">
        <v>45.056480000000207</v>
      </c>
      <c r="BW17" s="67">
        <f t="shared" si="30"/>
        <v>15.018826666666735</v>
      </c>
      <c r="BX17" s="61">
        <v>125</v>
      </c>
      <c r="BY17" s="62">
        <v>1</v>
      </c>
      <c r="BZ17" s="60">
        <f t="shared" si="31"/>
        <v>0.12015061333333388</v>
      </c>
      <c r="CA17" s="47">
        <f t="shared" si="32"/>
        <v>3</v>
      </c>
      <c r="CB17" s="56">
        <f t="shared" si="33"/>
        <v>7</v>
      </c>
      <c r="CC17" s="100">
        <v>16.222960000000072</v>
      </c>
      <c r="CD17" s="67">
        <f t="shared" si="34"/>
        <v>5.4076533333333572</v>
      </c>
      <c r="CE17" s="61">
        <v>165</v>
      </c>
      <c r="CF17" s="62">
        <v>1</v>
      </c>
      <c r="CG17" s="49">
        <f t="shared" si="35"/>
        <v>3.2773656565656707E-2</v>
      </c>
      <c r="CH17" s="100">
        <v>22.0028000000001</v>
      </c>
      <c r="CI17" s="67">
        <f t="shared" si="36"/>
        <v>7.3342666666667</v>
      </c>
      <c r="CJ17" s="61">
        <v>150</v>
      </c>
      <c r="CK17" s="62">
        <v>1</v>
      </c>
      <c r="CL17" s="49">
        <f t="shared" si="37"/>
        <v>4.8895111111111333E-2</v>
      </c>
      <c r="CM17" s="100">
        <v>133.9872000000006</v>
      </c>
      <c r="CN17" s="67">
        <f t="shared" si="38"/>
        <v>44.662400000000197</v>
      </c>
      <c r="CO17" s="51">
        <v>320</v>
      </c>
      <c r="CP17" s="62">
        <v>1</v>
      </c>
      <c r="CQ17" s="49">
        <f t="shared" si="39"/>
        <v>0.13957000000000061</v>
      </c>
      <c r="CR17" s="100">
        <v>401.96160000000179</v>
      </c>
      <c r="CS17" s="67">
        <f t="shared" si="40"/>
        <v>133.9872000000006</v>
      </c>
      <c r="CT17" s="51">
        <v>8000</v>
      </c>
      <c r="CU17" s="62">
        <v>1</v>
      </c>
      <c r="CV17" s="49">
        <f t="shared" si="41"/>
        <v>1.6748400000000076E-2</v>
      </c>
      <c r="CW17" s="100">
        <v>267.9744000000012</v>
      </c>
      <c r="CX17" s="67">
        <f t="shared" si="42"/>
        <v>89.324800000000394</v>
      </c>
      <c r="CY17" s="51">
        <v>300</v>
      </c>
      <c r="CZ17" s="62">
        <v>1</v>
      </c>
      <c r="DA17" s="49">
        <f t="shared" si="43"/>
        <v>0.29774933333333464</v>
      </c>
      <c r="DB17" s="57">
        <f t="shared" si="44"/>
        <v>32.840000000000146</v>
      </c>
      <c r="DC17" s="67">
        <f t="shared" si="45"/>
        <v>10.946666666666715</v>
      </c>
      <c r="DD17" s="58">
        <v>50</v>
      </c>
      <c r="DE17" s="62">
        <v>1</v>
      </c>
      <c r="DF17" s="49">
        <f t="shared" si="46"/>
        <v>0.21893333333333431</v>
      </c>
      <c r="DG17" s="59">
        <f t="shared" si="47"/>
        <v>1</v>
      </c>
      <c r="DH17" s="94">
        <f t="shared" si="48"/>
        <v>4</v>
      </c>
      <c r="DI17" s="94">
        <f t="shared" si="49"/>
        <v>7</v>
      </c>
      <c r="DJ17" s="94">
        <f t="shared" si="50"/>
        <v>1</v>
      </c>
      <c r="DK17" s="96">
        <f t="shared" si="57"/>
        <v>12</v>
      </c>
      <c r="DL17" s="28">
        <f t="shared" si="51"/>
        <v>3</v>
      </c>
      <c r="DM17" s="94">
        <f t="shared" si="52"/>
        <v>36</v>
      </c>
      <c r="DN17" s="117">
        <f t="shared" si="53"/>
        <v>37</v>
      </c>
      <c r="DO17" s="117"/>
      <c r="DP17" s="44">
        <f t="shared" si="54"/>
        <v>1.9270833333333335</v>
      </c>
      <c r="DQ17" s="26"/>
      <c r="DR17" s="26"/>
      <c r="DS17" s="26"/>
      <c r="DT17" s="26"/>
      <c r="DU17" s="26"/>
    </row>
    <row r="18" spans="2:125" s="1" customFormat="1" ht="17.25" customHeight="1">
      <c r="B18" s="36">
        <v>10</v>
      </c>
      <c r="C18" s="37" t="s">
        <v>90</v>
      </c>
      <c r="D18" s="38" t="s">
        <v>91</v>
      </c>
      <c r="E18" s="38"/>
      <c r="F18" s="77" t="s">
        <v>85</v>
      </c>
      <c r="G18" s="77" t="s">
        <v>92</v>
      </c>
      <c r="H18" s="89">
        <v>80</v>
      </c>
      <c r="I18" s="39">
        <v>3732.634</v>
      </c>
      <c r="J18" s="39">
        <v>3787.6660000000002</v>
      </c>
      <c r="K18" s="88">
        <f t="shared" ref="K18" si="58">J18-I18</f>
        <v>55.032000000000153</v>
      </c>
      <c r="L18" s="76" t="s">
        <v>179</v>
      </c>
      <c r="M18" s="72">
        <v>5</v>
      </c>
      <c r="N18" s="88">
        <f>K18/M18</f>
        <v>11.006400000000031</v>
      </c>
      <c r="O18" s="48">
        <v>1</v>
      </c>
      <c r="P18" s="100">
        <v>110.5936800000003</v>
      </c>
      <c r="Q18" s="67">
        <f>P18/M18</f>
        <v>22.118736000000062</v>
      </c>
      <c r="R18" s="46">
        <v>53.9</v>
      </c>
      <c r="S18" s="62">
        <v>1</v>
      </c>
      <c r="T18" s="48">
        <f>Q18/R18/S18</f>
        <v>0.41036615955473216</v>
      </c>
      <c r="U18" s="100">
        <v>374.42444000000103</v>
      </c>
      <c r="V18" s="67">
        <f>U18/M18</f>
        <v>74.884888000000203</v>
      </c>
      <c r="W18" s="75">
        <v>190</v>
      </c>
      <c r="X18" s="62">
        <v>1</v>
      </c>
      <c r="Y18" s="48">
        <f>V18/W18/X18</f>
        <v>0.3941309894736853</v>
      </c>
      <c r="Z18" s="100">
        <v>73.742880000000213</v>
      </c>
      <c r="AA18" s="67">
        <f>Z18/M18</f>
        <v>14.748576000000043</v>
      </c>
      <c r="AB18" s="61">
        <v>42</v>
      </c>
      <c r="AC18" s="62">
        <v>1</v>
      </c>
      <c r="AD18" s="48">
        <f>AA18/AB18/AC18+0.3</f>
        <v>0.65115657142857242</v>
      </c>
      <c r="AE18" s="100">
        <v>44.025600000000125</v>
      </c>
      <c r="AF18" s="67">
        <f>AE18/M18</f>
        <v>8.8051200000000254</v>
      </c>
      <c r="AG18" s="61">
        <v>40</v>
      </c>
      <c r="AH18" s="62">
        <v>1</v>
      </c>
      <c r="AI18" s="48">
        <f>AF18/AG18/AH18</f>
        <v>0.22012800000000063</v>
      </c>
      <c r="AJ18" s="100">
        <v>19.811520000000058</v>
      </c>
      <c r="AK18" s="67">
        <f>AJ18/M18</f>
        <v>3.9623040000000116</v>
      </c>
      <c r="AL18" s="61">
        <v>130</v>
      </c>
      <c r="AM18" s="62">
        <v>1</v>
      </c>
      <c r="AN18" s="60">
        <f>AK18/AL18/AM18</f>
        <v>3.0479261538461627E-2</v>
      </c>
      <c r="AO18" s="47">
        <f>IF(G18="보통",2,IF(G18="조강",1,""))</f>
        <v>1</v>
      </c>
      <c r="AP18" s="100">
        <v>91.759360000000257</v>
      </c>
      <c r="AQ18" s="67">
        <f>AP18/M18</f>
        <v>18.35187200000005</v>
      </c>
      <c r="AR18" s="61">
        <v>225</v>
      </c>
      <c r="AS18" s="62">
        <v>1</v>
      </c>
      <c r="AT18" s="49">
        <f>AQ18/AR18/AS18</f>
        <v>8.1563875555555776E-2</v>
      </c>
      <c r="AU18" s="50">
        <f>CEILING(SUM(O18,T18,Y18,AD18,AI18,AN18,AO18,AT18),0.5)</f>
        <v>4</v>
      </c>
      <c r="AV18" s="100">
        <v>22.012800000000063</v>
      </c>
      <c r="AW18" s="67">
        <f>AV18/M18</f>
        <v>4.4025600000000127</v>
      </c>
      <c r="AX18" s="51">
        <v>40</v>
      </c>
      <c r="AY18" s="62">
        <v>1</v>
      </c>
      <c r="AZ18" s="49">
        <f>AW18/AX18/AY18</f>
        <v>0.11006400000000031</v>
      </c>
      <c r="BA18" s="100">
        <v>24.21408000000007</v>
      </c>
      <c r="BB18" s="67">
        <f>BA18/M18</f>
        <v>4.8428160000000142</v>
      </c>
      <c r="BC18" s="61">
        <v>130</v>
      </c>
      <c r="BD18" s="62">
        <v>1</v>
      </c>
      <c r="BE18" s="60">
        <f>BB18/BC18/BD18</f>
        <v>3.7252430769230876E-2</v>
      </c>
      <c r="BF18" s="47">
        <f>IF(G18="보통",5,IF(G18="조강",2,""))</f>
        <v>2</v>
      </c>
      <c r="BG18" s="33"/>
      <c r="BH18" s="33"/>
      <c r="BI18" s="52"/>
      <c r="BJ18" s="53"/>
      <c r="BK18" s="54"/>
      <c r="BL18" s="100">
        <v>82.988256000000234</v>
      </c>
      <c r="BM18" s="67">
        <f>BL18/M18</f>
        <v>16.597651200000048</v>
      </c>
      <c r="BN18" s="51">
        <v>35</v>
      </c>
      <c r="BO18" s="62">
        <v>1</v>
      </c>
      <c r="BP18" s="60">
        <f>BM18/BN18/BO18</f>
        <v>0.47421860571428709</v>
      </c>
      <c r="BQ18" s="100">
        <v>14.088192000000038</v>
      </c>
      <c r="BR18" s="67">
        <f>BQ18/M18</f>
        <v>2.8176384000000079</v>
      </c>
      <c r="BS18" s="55">
        <v>3.4</v>
      </c>
      <c r="BT18" s="62">
        <v>1</v>
      </c>
      <c r="BU18" s="49">
        <f>BR18/BS18/BT18</f>
        <v>0.82871717647059062</v>
      </c>
      <c r="BV18" s="100">
        <v>75.503904000000219</v>
      </c>
      <c r="BW18" s="67">
        <f>BV18/M18</f>
        <v>15.100780800000043</v>
      </c>
      <c r="BX18" s="61">
        <v>125</v>
      </c>
      <c r="BY18" s="62">
        <v>1</v>
      </c>
      <c r="BZ18" s="60">
        <f>BW18/BX18/BY18</f>
        <v>0.12080624640000034</v>
      </c>
      <c r="CA18" s="47">
        <f>IF(G18="보통",7,IF(G18="조강",3,""))</f>
        <v>3</v>
      </c>
      <c r="CB18" s="56">
        <f>CEILING(SUM(AZ18,BE18,BF18,BK18,BP18,BU18,BZ18,CA18),0.5)</f>
        <v>7</v>
      </c>
      <c r="CC18" s="100">
        <v>44.179468000000121</v>
      </c>
      <c r="CD18" s="67">
        <f>CC18/M18</f>
        <v>8.8358936000000234</v>
      </c>
      <c r="CE18" s="61">
        <v>165</v>
      </c>
      <c r="CF18" s="62">
        <v>1</v>
      </c>
      <c r="CG18" s="49">
        <f>CD18/CE18/CF18</f>
        <v>5.3550870303030448E-2</v>
      </c>
      <c r="CH18" s="100">
        <v>61.540888000000173</v>
      </c>
      <c r="CI18" s="67">
        <f>CH18/M18</f>
        <v>12.308177600000034</v>
      </c>
      <c r="CJ18" s="61">
        <v>150</v>
      </c>
      <c r="CK18" s="62">
        <v>1</v>
      </c>
      <c r="CL18" s="49">
        <f>CI18/CJ18/CK18</f>
        <v>8.2054517333333563E-2</v>
      </c>
      <c r="CM18" s="100">
        <v>369.64496000000099</v>
      </c>
      <c r="CN18" s="67">
        <f>CM18/M18</f>
        <v>73.928992000000193</v>
      </c>
      <c r="CO18" s="51">
        <v>320</v>
      </c>
      <c r="CP18" s="62">
        <v>1</v>
      </c>
      <c r="CQ18" s="49">
        <f>CN18/CO18/CP18</f>
        <v>0.2310281000000006</v>
      </c>
      <c r="CR18" s="100">
        <v>1108.9348800000032</v>
      </c>
      <c r="CS18" s="67">
        <f>CR18/M18</f>
        <v>221.78697600000064</v>
      </c>
      <c r="CT18" s="51">
        <v>8000</v>
      </c>
      <c r="CU18" s="62">
        <v>1</v>
      </c>
      <c r="CV18" s="49">
        <f>CS18/CT18/CU18</f>
        <v>2.7723372000000079E-2</v>
      </c>
      <c r="CW18" s="100">
        <v>739.28992000000198</v>
      </c>
      <c r="CX18" s="67">
        <f>CW18/M18</f>
        <v>147.85798400000039</v>
      </c>
      <c r="CY18" s="51">
        <v>300</v>
      </c>
      <c r="CZ18" s="62">
        <v>1</v>
      </c>
      <c r="DA18" s="49">
        <f>CX18/CY18/CZ18</f>
        <v>0.49285994666666794</v>
      </c>
      <c r="DB18" s="57">
        <f>K18</f>
        <v>55.032000000000153</v>
      </c>
      <c r="DC18" s="67">
        <f>DB18/M18</f>
        <v>11.006400000000031</v>
      </c>
      <c r="DD18" s="58">
        <v>50</v>
      </c>
      <c r="DE18" s="62">
        <v>1</v>
      </c>
      <c r="DF18" s="49">
        <f>DC18/DD18/DE18</f>
        <v>0.22012800000000063</v>
      </c>
      <c r="DG18" s="59">
        <f>CEILING(SUM(CG18,CL18,CQ18,CV18,DA18,DF18),0.5)</f>
        <v>1.5</v>
      </c>
      <c r="DH18" s="94">
        <f t="shared" ref="DH18" si="59">AU18</f>
        <v>4</v>
      </c>
      <c r="DI18" s="94">
        <f t="shared" ref="DI18" si="60">CB18</f>
        <v>7</v>
      </c>
      <c r="DJ18" s="94">
        <f>DG18</f>
        <v>1.5</v>
      </c>
      <c r="DK18" s="96">
        <f t="shared" si="57"/>
        <v>13</v>
      </c>
      <c r="DL18" s="28">
        <f t="shared" ref="DL18" si="61">M18</f>
        <v>5</v>
      </c>
      <c r="DM18" s="94">
        <f>DK18*DL18</f>
        <v>65</v>
      </c>
      <c r="DN18" s="117">
        <f t="shared" ref="DN18" si="62">DM18+1</f>
        <v>66</v>
      </c>
      <c r="DO18" s="117"/>
      <c r="DP18" s="44">
        <f t="shared" ref="DP18" si="63">DN18/19.2</f>
        <v>3.4375</v>
      </c>
      <c r="DQ18" s="26"/>
      <c r="DR18" s="26"/>
      <c r="DS18" s="26"/>
      <c r="DT18" s="26"/>
      <c r="DU18" s="26"/>
    </row>
    <row r="19" spans="2:125" s="1" customFormat="1" ht="17.25" customHeight="1">
      <c r="B19" s="92">
        <v>11</v>
      </c>
      <c r="C19" s="107" t="s">
        <v>93</v>
      </c>
      <c r="D19" s="99" t="s">
        <v>94</v>
      </c>
      <c r="E19" s="68"/>
      <c r="F19" s="64" t="s">
        <v>82</v>
      </c>
      <c r="G19" s="64" t="s">
        <v>18</v>
      </c>
      <c r="H19" s="63">
        <v>255</v>
      </c>
      <c r="I19" s="98">
        <v>3936.8820000000001</v>
      </c>
      <c r="J19" s="98">
        <v>3970.6489999999999</v>
      </c>
      <c r="K19" s="45">
        <f t="shared" si="55"/>
        <v>33.766999999999825</v>
      </c>
      <c r="L19" s="45" t="s">
        <v>47</v>
      </c>
      <c r="M19" s="71">
        <v>5</v>
      </c>
      <c r="N19" s="45">
        <f t="shared" si="56"/>
        <v>6.7533999999999654</v>
      </c>
      <c r="O19" s="48">
        <v>1</v>
      </c>
      <c r="P19" s="100">
        <v>50.988169999999734</v>
      </c>
      <c r="Q19" s="67">
        <f t="shared" si="7"/>
        <v>10.197633999999947</v>
      </c>
      <c r="R19" s="46">
        <v>53.9</v>
      </c>
      <c r="S19" s="62">
        <v>1</v>
      </c>
      <c r="T19" s="48">
        <f t="shared" si="8"/>
        <v>0.18919543599257788</v>
      </c>
      <c r="U19" s="100">
        <v>186.39383999999905</v>
      </c>
      <c r="V19" s="67">
        <f t="shared" si="9"/>
        <v>37.278767999999808</v>
      </c>
      <c r="W19" s="75">
        <v>190</v>
      </c>
      <c r="X19" s="62">
        <v>1</v>
      </c>
      <c r="Y19" s="48">
        <f t="shared" si="10"/>
        <v>0.19620404210526216</v>
      </c>
      <c r="Z19" s="100">
        <v>45.247779999999771</v>
      </c>
      <c r="AA19" s="67">
        <f t="shared" si="11"/>
        <v>9.0495559999999546</v>
      </c>
      <c r="AB19" s="61">
        <v>42</v>
      </c>
      <c r="AC19" s="62">
        <v>1</v>
      </c>
      <c r="AD19" s="48">
        <f t="shared" si="12"/>
        <v>0.5154656190476179</v>
      </c>
      <c r="AE19" s="100">
        <v>27.013599999999862</v>
      </c>
      <c r="AF19" s="67">
        <f t="shared" si="13"/>
        <v>5.402719999999972</v>
      </c>
      <c r="AG19" s="61">
        <v>40</v>
      </c>
      <c r="AH19" s="62">
        <v>1</v>
      </c>
      <c r="AI19" s="48">
        <f t="shared" si="14"/>
        <v>0.1350679999999993</v>
      </c>
      <c r="AJ19" s="100">
        <v>12.156119999999939</v>
      </c>
      <c r="AK19" s="67">
        <f t="shared" si="15"/>
        <v>2.4312239999999878</v>
      </c>
      <c r="AL19" s="61">
        <v>130</v>
      </c>
      <c r="AM19" s="62">
        <v>1</v>
      </c>
      <c r="AN19" s="60">
        <f t="shared" si="16"/>
        <v>1.8701723076922982E-2</v>
      </c>
      <c r="AO19" s="47">
        <f t="shared" si="17"/>
        <v>1</v>
      </c>
      <c r="AP19" s="100">
        <v>38.494379999999808</v>
      </c>
      <c r="AQ19" s="67">
        <f t="shared" si="18"/>
        <v>7.6988759999999612</v>
      </c>
      <c r="AR19" s="61">
        <v>225</v>
      </c>
      <c r="AS19" s="62">
        <v>1</v>
      </c>
      <c r="AT19" s="49">
        <f t="shared" si="19"/>
        <v>3.4217226666666496E-2</v>
      </c>
      <c r="AU19" s="50">
        <f t="shared" si="20"/>
        <v>3.5</v>
      </c>
      <c r="AV19" s="100">
        <v>13.506799999999931</v>
      </c>
      <c r="AW19" s="67">
        <f t="shared" si="21"/>
        <v>2.701359999999986</v>
      </c>
      <c r="AX19" s="51">
        <v>40</v>
      </c>
      <c r="AY19" s="62">
        <v>1</v>
      </c>
      <c r="AZ19" s="49">
        <f t="shared" si="22"/>
        <v>6.753399999999965E-2</v>
      </c>
      <c r="BA19" s="100">
        <v>14.857479999999924</v>
      </c>
      <c r="BB19" s="67">
        <f t="shared" si="23"/>
        <v>2.971495999999985</v>
      </c>
      <c r="BC19" s="61">
        <v>130</v>
      </c>
      <c r="BD19" s="62">
        <v>1</v>
      </c>
      <c r="BE19" s="60">
        <f t="shared" si="24"/>
        <v>2.2857661538461423E-2</v>
      </c>
      <c r="BF19" s="47">
        <f t="shared" si="25"/>
        <v>2</v>
      </c>
      <c r="BG19" s="33"/>
      <c r="BH19" s="33"/>
      <c r="BI19" s="52"/>
      <c r="BJ19" s="53"/>
      <c r="BK19" s="54"/>
      <c r="BL19" s="100">
        <v>50.920635999999739</v>
      </c>
      <c r="BM19" s="67">
        <f t="shared" si="26"/>
        <v>10.184127199999947</v>
      </c>
      <c r="BN19" s="51">
        <v>35</v>
      </c>
      <c r="BO19" s="62">
        <v>1</v>
      </c>
      <c r="BP19" s="60">
        <f t="shared" si="27"/>
        <v>0.29097506285714136</v>
      </c>
      <c r="BQ19" s="100">
        <v>8.6443519999999552</v>
      </c>
      <c r="BR19" s="67">
        <f t="shared" si="28"/>
        <v>1.728870399999991</v>
      </c>
      <c r="BS19" s="55">
        <v>3.4</v>
      </c>
      <c r="BT19" s="62">
        <v>1</v>
      </c>
      <c r="BU19" s="49">
        <f t="shared" si="29"/>
        <v>0.50849129411764449</v>
      </c>
      <c r="BV19" s="100">
        <v>46.328323999999768</v>
      </c>
      <c r="BW19" s="67">
        <f t="shared" si="30"/>
        <v>9.2656647999999535</v>
      </c>
      <c r="BX19" s="61">
        <v>125</v>
      </c>
      <c r="BY19" s="62">
        <v>1</v>
      </c>
      <c r="BZ19" s="60">
        <f t="shared" si="31"/>
        <v>7.4125318399999626E-2</v>
      </c>
      <c r="CA19" s="47">
        <f t="shared" si="32"/>
        <v>3</v>
      </c>
      <c r="CB19" s="56">
        <f t="shared" si="33"/>
        <v>6</v>
      </c>
      <c r="CC19" s="100">
        <v>16.680897999999914</v>
      </c>
      <c r="CD19" s="67">
        <f t="shared" si="34"/>
        <v>3.3361795999999826</v>
      </c>
      <c r="CE19" s="61">
        <v>165</v>
      </c>
      <c r="CF19" s="62">
        <v>1</v>
      </c>
      <c r="CG19" s="49">
        <f t="shared" si="35"/>
        <v>2.0219270303030199E-2</v>
      </c>
      <c r="CH19" s="100">
        <v>22.623889999999886</v>
      </c>
      <c r="CI19" s="67">
        <f t="shared" si="36"/>
        <v>4.5247779999999773</v>
      </c>
      <c r="CJ19" s="61">
        <v>150</v>
      </c>
      <c r="CK19" s="62">
        <v>1</v>
      </c>
      <c r="CL19" s="49">
        <f t="shared" si="37"/>
        <v>3.0165186666666514E-2</v>
      </c>
      <c r="CM19" s="100">
        <v>137.7693599999993</v>
      </c>
      <c r="CN19" s="67">
        <f t="shared" si="38"/>
        <v>27.55387199999986</v>
      </c>
      <c r="CO19" s="51">
        <v>320</v>
      </c>
      <c r="CP19" s="62">
        <v>1</v>
      </c>
      <c r="CQ19" s="49">
        <f t="shared" si="39"/>
        <v>8.6105849999999567E-2</v>
      </c>
      <c r="CR19" s="100">
        <v>413.30807999999786</v>
      </c>
      <c r="CS19" s="67">
        <f t="shared" si="40"/>
        <v>82.661615999999569</v>
      </c>
      <c r="CT19" s="51">
        <v>8000</v>
      </c>
      <c r="CU19" s="62">
        <v>1</v>
      </c>
      <c r="CV19" s="49">
        <f t="shared" si="41"/>
        <v>1.0332701999999945E-2</v>
      </c>
      <c r="CW19" s="100">
        <v>275.53871999999859</v>
      </c>
      <c r="CX19" s="67">
        <f t="shared" si="42"/>
        <v>55.10774399999972</v>
      </c>
      <c r="CY19" s="51">
        <v>300</v>
      </c>
      <c r="CZ19" s="62">
        <v>1</v>
      </c>
      <c r="DA19" s="49">
        <f t="shared" si="43"/>
        <v>0.18369247999999908</v>
      </c>
      <c r="DB19" s="57">
        <f t="shared" si="44"/>
        <v>33.766999999999825</v>
      </c>
      <c r="DC19" s="67">
        <f t="shared" si="45"/>
        <v>6.7533999999999654</v>
      </c>
      <c r="DD19" s="58">
        <v>50</v>
      </c>
      <c r="DE19" s="62">
        <v>1</v>
      </c>
      <c r="DF19" s="49">
        <f t="shared" si="46"/>
        <v>0.1350679999999993</v>
      </c>
      <c r="DG19" s="59">
        <f t="shared" si="47"/>
        <v>0.5</v>
      </c>
      <c r="DH19" s="94">
        <f t="shared" si="48"/>
        <v>3.5</v>
      </c>
      <c r="DI19" s="94">
        <f t="shared" si="49"/>
        <v>6</v>
      </c>
      <c r="DJ19" s="94">
        <f t="shared" si="50"/>
        <v>0.5</v>
      </c>
      <c r="DK19" s="96">
        <f t="shared" si="57"/>
        <v>10</v>
      </c>
      <c r="DL19" s="28">
        <f t="shared" si="51"/>
        <v>5</v>
      </c>
      <c r="DM19" s="94">
        <f t="shared" si="52"/>
        <v>50</v>
      </c>
      <c r="DN19" s="117">
        <f t="shared" si="53"/>
        <v>51</v>
      </c>
      <c r="DO19" s="117"/>
      <c r="DP19" s="44">
        <f t="shared" si="54"/>
        <v>2.65625</v>
      </c>
      <c r="DQ19" s="26"/>
      <c r="DR19" s="26"/>
      <c r="DS19" s="26"/>
      <c r="DT19" s="26"/>
      <c r="DU19" s="26"/>
    </row>
    <row r="20" spans="2:125" s="1" customFormat="1" ht="17.25" customHeight="1">
      <c r="B20" s="36">
        <v>12</v>
      </c>
      <c r="C20" s="37" t="s">
        <v>97</v>
      </c>
      <c r="D20" s="38" t="s">
        <v>95</v>
      </c>
      <c r="E20" s="38"/>
      <c r="F20" s="77" t="s">
        <v>85</v>
      </c>
      <c r="G20" s="77" t="s">
        <v>18</v>
      </c>
      <c r="H20" s="89">
        <v>62</v>
      </c>
      <c r="I20" s="39">
        <v>4381.3490000000002</v>
      </c>
      <c r="J20" s="39">
        <v>4423.1189999999997</v>
      </c>
      <c r="K20" s="88">
        <f t="shared" si="55"/>
        <v>41.769999999999527</v>
      </c>
      <c r="L20" s="76" t="s">
        <v>179</v>
      </c>
      <c r="M20" s="72">
        <v>7</v>
      </c>
      <c r="N20" s="88">
        <f>K20/M20</f>
        <v>5.9671428571427896</v>
      </c>
      <c r="O20" s="48">
        <v>1</v>
      </c>
      <c r="P20" s="100">
        <v>63.072699999999287</v>
      </c>
      <c r="Q20" s="67">
        <f>P20/M20</f>
        <v>9.0103857142856132</v>
      </c>
      <c r="R20" s="46">
        <v>53.9</v>
      </c>
      <c r="S20" s="62">
        <v>1</v>
      </c>
      <c r="T20" s="48">
        <f>Q20/R20/S20</f>
        <v>0.16716856612774794</v>
      </c>
      <c r="U20" s="100">
        <v>230.57039999999739</v>
      </c>
      <c r="V20" s="67">
        <f>U20/M20</f>
        <v>32.938628571428197</v>
      </c>
      <c r="W20" s="75">
        <v>190</v>
      </c>
      <c r="X20" s="62">
        <v>1</v>
      </c>
      <c r="Y20" s="48">
        <f>V20/W20/X20</f>
        <v>0.17336120300751681</v>
      </c>
      <c r="Z20" s="100">
        <v>55.971799999999369</v>
      </c>
      <c r="AA20" s="67">
        <f>Z20/M20</f>
        <v>7.9959714285713384</v>
      </c>
      <c r="AB20" s="61">
        <v>42</v>
      </c>
      <c r="AC20" s="62">
        <v>1</v>
      </c>
      <c r="AD20" s="48">
        <f>AA20/AB20/AC20+0.3</f>
        <v>0.49038027210884139</v>
      </c>
      <c r="AE20" s="100">
        <v>33.41599999999962</v>
      </c>
      <c r="AF20" s="67">
        <f>AE20/M20</f>
        <v>4.7737142857142318</v>
      </c>
      <c r="AG20" s="61">
        <v>40</v>
      </c>
      <c r="AH20" s="62">
        <v>1</v>
      </c>
      <c r="AI20" s="48">
        <f>AF20/AG20/AH20</f>
        <v>0.11934285714285579</v>
      </c>
      <c r="AJ20" s="100">
        <v>15.037199999999832</v>
      </c>
      <c r="AK20" s="67">
        <f>AJ20/M20</f>
        <v>2.1481714285714046</v>
      </c>
      <c r="AL20" s="61">
        <v>130</v>
      </c>
      <c r="AM20" s="62">
        <v>1</v>
      </c>
      <c r="AN20" s="60">
        <f>AK20/AL20/AM20</f>
        <v>1.652439560439542E-2</v>
      </c>
      <c r="AO20" s="47">
        <f t="shared" si="17"/>
        <v>1</v>
      </c>
      <c r="AP20" s="100">
        <v>47.617799999999463</v>
      </c>
      <c r="AQ20" s="67">
        <f>AP20/M20</f>
        <v>6.8025428571427806</v>
      </c>
      <c r="AR20" s="61">
        <v>225</v>
      </c>
      <c r="AS20" s="62">
        <v>1</v>
      </c>
      <c r="AT20" s="49">
        <f>AQ20/AR20/AS20</f>
        <v>3.0233523809523471E-2</v>
      </c>
      <c r="AU20" s="50">
        <f>CEILING(SUM(O20,T20,Y20,AD20,AI20,AN20,AO20,AT20),0.5)</f>
        <v>3</v>
      </c>
      <c r="AV20" s="100">
        <v>16.70799999999981</v>
      </c>
      <c r="AW20" s="67">
        <f>AV20/M20</f>
        <v>2.3868571428571159</v>
      </c>
      <c r="AX20" s="51">
        <v>40</v>
      </c>
      <c r="AY20" s="62">
        <v>1</v>
      </c>
      <c r="AZ20" s="49">
        <f>AW20/AX20/AY20</f>
        <v>5.9671428571427897E-2</v>
      </c>
      <c r="BA20" s="100">
        <v>18.378799999999796</v>
      </c>
      <c r="BB20" s="67">
        <f>BA20/M20</f>
        <v>2.6255428571428281</v>
      </c>
      <c r="BC20" s="61">
        <v>130</v>
      </c>
      <c r="BD20" s="62">
        <v>1</v>
      </c>
      <c r="BE20" s="60">
        <f>BB20/BC20/BD20</f>
        <v>2.0196483516483291E-2</v>
      </c>
      <c r="BF20" s="47">
        <f>IF(G20="보통",5,IF(G20="조강",2,""))</f>
        <v>2</v>
      </c>
      <c r="BG20" s="33"/>
      <c r="BH20" s="33"/>
      <c r="BI20" s="52"/>
      <c r="BJ20" s="53"/>
      <c r="BK20" s="54"/>
      <c r="BL20" s="100">
        <v>62.989159999999288</v>
      </c>
      <c r="BM20" s="67">
        <f>BL20/M20</f>
        <v>8.9984514285713271</v>
      </c>
      <c r="BN20" s="51">
        <v>35</v>
      </c>
      <c r="BO20" s="62">
        <v>1</v>
      </c>
      <c r="BP20" s="60">
        <f>BM20/BN20/BO20</f>
        <v>0.25709861224489505</v>
      </c>
      <c r="BQ20" s="100">
        <v>10.69311999999988</v>
      </c>
      <c r="BR20" s="67">
        <f>BQ20/M20</f>
        <v>1.5275885714285542</v>
      </c>
      <c r="BS20" s="55">
        <v>3.4</v>
      </c>
      <c r="BT20" s="62">
        <v>1</v>
      </c>
      <c r="BU20" s="49">
        <f>BR20/BS20/BT20</f>
        <v>0.44929075630251597</v>
      </c>
      <c r="BV20" s="100">
        <v>57.308439999999358</v>
      </c>
      <c r="BW20" s="67">
        <f>BV20/M20</f>
        <v>8.1869199999999083</v>
      </c>
      <c r="BX20" s="61">
        <v>125</v>
      </c>
      <c r="BY20" s="62">
        <v>1</v>
      </c>
      <c r="BZ20" s="60">
        <f>BW20/BX20/BY20</f>
        <v>6.5495359999999267E-2</v>
      </c>
      <c r="CA20" s="47">
        <f>IF(G20="보통",7,IF(G20="조강",3,""))</f>
        <v>3</v>
      </c>
      <c r="CB20" s="56">
        <f>CEILING(SUM(AZ20,BE20,BF20,BK20,BP20,BU20,BZ20,CA20),0.5)</f>
        <v>6</v>
      </c>
      <c r="CC20" s="100">
        <v>20.634379999999766</v>
      </c>
      <c r="CD20" s="67">
        <f>CC20/M20</f>
        <v>2.9477685714285378</v>
      </c>
      <c r="CE20" s="61">
        <v>165</v>
      </c>
      <c r="CF20" s="62">
        <v>1</v>
      </c>
      <c r="CG20" s="49">
        <f>CD20/CE20/CF20</f>
        <v>1.7865264069263864E-2</v>
      </c>
      <c r="CH20" s="100">
        <v>27.985899999999685</v>
      </c>
      <c r="CI20" s="67">
        <f>CH20/M20</f>
        <v>3.9979857142856692</v>
      </c>
      <c r="CJ20" s="61">
        <v>150</v>
      </c>
      <c r="CK20" s="62">
        <v>1</v>
      </c>
      <c r="CL20" s="49">
        <f>CI20/CJ20/CK20</f>
        <v>2.6653238095237796E-2</v>
      </c>
      <c r="CM20" s="100">
        <v>170.42159999999808</v>
      </c>
      <c r="CN20" s="67">
        <f>CM20/M20</f>
        <v>24.345942857142582</v>
      </c>
      <c r="CO20" s="51">
        <v>320</v>
      </c>
      <c r="CP20" s="62">
        <v>1</v>
      </c>
      <c r="CQ20" s="49">
        <f>CN20/CO20/CP20</f>
        <v>7.6081071428570568E-2</v>
      </c>
      <c r="CR20" s="100">
        <v>511.26479999999424</v>
      </c>
      <c r="CS20" s="67">
        <f>CR20/M20</f>
        <v>73.037828571427752</v>
      </c>
      <c r="CT20" s="51">
        <v>8000</v>
      </c>
      <c r="CU20" s="62">
        <v>1</v>
      </c>
      <c r="CV20" s="49">
        <f>CS20/CT20/CU20</f>
        <v>9.1297285714284689E-3</v>
      </c>
      <c r="CW20" s="100">
        <v>340.84319999999616</v>
      </c>
      <c r="CX20" s="67">
        <f>CW20/M20</f>
        <v>48.691885714285164</v>
      </c>
      <c r="CY20" s="51">
        <v>300</v>
      </c>
      <c r="CZ20" s="62">
        <v>1</v>
      </c>
      <c r="DA20" s="49">
        <f>CX20/CY20/CZ20</f>
        <v>0.16230628571428388</v>
      </c>
      <c r="DB20" s="57">
        <f>K20</f>
        <v>41.769999999999527</v>
      </c>
      <c r="DC20" s="67">
        <f>DB20/M20</f>
        <v>5.9671428571427896</v>
      </c>
      <c r="DD20" s="58">
        <v>50</v>
      </c>
      <c r="DE20" s="62">
        <v>1</v>
      </c>
      <c r="DF20" s="49">
        <f>DC20/DD20/DE20</f>
        <v>0.11934285714285579</v>
      </c>
      <c r="DG20" s="59">
        <f>CEILING(SUM(CG20,CL20,CQ20,CV20,DA20,DF20),0.5)</f>
        <v>0.5</v>
      </c>
      <c r="DH20" s="94">
        <f t="shared" si="48"/>
        <v>3</v>
      </c>
      <c r="DI20" s="94">
        <f t="shared" si="49"/>
        <v>6</v>
      </c>
      <c r="DJ20" s="94">
        <f>DG20</f>
        <v>0.5</v>
      </c>
      <c r="DK20" s="96">
        <f t="shared" si="57"/>
        <v>10</v>
      </c>
      <c r="DL20" s="28">
        <f t="shared" si="51"/>
        <v>7</v>
      </c>
      <c r="DM20" s="94">
        <f>DK20*DL20</f>
        <v>70</v>
      </c>
      <c r="DN20" s="117">
        <f t="shared" si="53"/>
        <v>71</v>
      </c>
      <c r="DO20" s="117"/>
      <c r="DP20" s="44">
        <f t="shared" si="54"/>
        <v>3.697916666666667</v>
      </c>
      <c r="DQ20" s="26"/>
      <c r="DR20" s="26"/>
      <c r="DS20" s="26"/>
      <c r="DT20" s="26"/>
      <c r="DU20" s="26"/>
    </row>
    <row r="21" spans="2:125" s="1" customFormat="1" ht="17.25" customHeight="1">
      <c r="B21" s="36">
        <v>13</v>
      </c>
      <c r="C21" s="37" t="s">
        <v>98</v>
      </c>
      <c r="D21" s="38" t="s">
        <v>96</v>
      </c>
      <c r="E21" s="38"/>
      <c r="F21" s="77" t="s">
        <v>85</v>
      </c>
      <c r="G21" s="77" t="s">
        <v>18</v>
      </c>
      <c r="H21" s="89">
        <v>255</v>
      </c>
      <c r="I21" s="39">
        <v>4584.7160000000003</v>
      </c>
      <c r="J21" s="39">
        <v>4636.0469999999996</v>
      </c>
      <c r="K21" s="88">
        <f t="shared" si="55"/>
        <v>51.330999999999221</v>
      </c>
      <c r="L21" s="76" t="s">
        <v>179</v>
      </c>
      <c r="M21" s="72">
        <v>7</v>
      </c>
      <c r="N21" s="88">
        <f>K21/M21</f>
        <v>7.3329999999998892</v>
      </c>
      <c r="O21" s="48">
        <v>1</v>
      </c>
      <c r="P21" s="100">
        <v>114.46812999999827</v>
      </c>
      <c r="Q21" s="67">
        <f>P21/M21</f>
        <v>16.352589999999754</v>
      </c>
      <c r="R21" s="46">
        <v>53.9</v>
      </c>
      <c r="S21" s="62">
        <v>1</v>
      </c>
      <c r="T21" s="48">
        <f>Q21/R21/S21</f>
        <v>0.30338756957327928</v>
      </c>
      <c r="U21" s="100">
        <v>378.30946999999423</v>
      </c>
      <c r="V21" s="67">
        <f>U21/M21</f>
        <v>54.044209999999175</v>
      </c>
      <c r="W21" s="75">
        <v>190</v>
      </c>
      <c r="X21" s="62">
        <v>1</v>
      </c>
      <c r="Y21" s="48">
        <f>V21/W21/X21</f>
        <v>0.28444321052631144</v>
      </c>
      <c r="Z21" s="100">
        <v>68.783539999998965</v>
      </c>
      <c r="AA21" s="67">
        <f>Z21/M21</f>
        <v>9.8262199999998519</v>
      </c>
      <c r="AB21" s="61">
        <v>42</v>
      </c>
      <c r="AC21" s="62">
        <v>1</v>
      </c>
      <c r="AD21" s="48">
        <f>AA21/AB21/AC21+0.3</f>
        <v>0.53395761904761552</v>
      </c>
      <c r="AE21" s="100">
        <v>41.06479999999938</v>
      </c>
      <c r="AF21" s="67">
        <f>AE21/M21</f>
        <v>5.8663999999999117</v>
      </c>
      <c r="AG21" s="61">
        <v>40</v>
      </c>
      <c r="AH21" s="62">
        <v>1</v>
      </c>
      <c r="AI21" s="48">
        <f>AF21/AG21/AH21</f>
        <v>0.14665999999999779</v>
      </c>
      <c r="AJ21" s="100">
        <v>18.479159999999723</v>
      </c>
      <c r="AK21" s="67">
        <f>AJ21/M21</f>
        <v>2.6398799999999603</v>
      </c>
      <c r="AL21" s="61">
        <v>130</v>
      </c>
      <c r="AM21" s="62">
        <v>1</v>
      </c>
      <c r="AN21" s="60">
        <f>AK21/AL21/AM21</f>
        <v>2.0306769230768924E-2</v>
      </c>
      <c r="AO21" s="47">
        <f t="shared" si="17"/>
        <v>1</v>
      </c>
      <c r="AP21" s="100">
        <v>97.528899999998529</v>
      </c>
      <c r="AQ21" s="67">
        <f>AP21/M21</f>
        <v>13.932699999999789</v>
      </c>
      <c r="AR21" s="61">
        <v>225</v>
      </c>
      <c r="AS21" s="62">
        <v>1</v>
      </c>
      <c r="AT21" s="49">
        <f>AQ21/AR21/AS21</f>
        <v>6.1923111111110173E-2</v>
      </c>
      <c r="AU21" s="50">
        <f>CEILING(SUM(O21,T21,Y21,AD21,AI21,AN21,AO21,AT21),0.5)</f>
        <v>3.5</v>
      </c>
      <c r="AV21" s="100">
        <v>20.53239999999969</v>
      </c>
      <c r="AW21" s="67">
        <f>AV21/M21</f>
        <v>2.9331999999999558</v>
      </c>
      <c r="AX21" s="51">
        <v>40</v>
      </c>
      <c r="AY21" s="62">
        <v>1</v>
      </c>
      <c r="AZ21" s="49">
        <f>AW21/AX21/AY21</f>
        <v>7.3329999999998896E-2</v>
      </c>
      <c r="BA21" s="100">
        <v>22.58563999999966</v>
      </c>
      <c r="BB21" s="67">
        <f>BA21/M21</f>
        <v>3.2265199999999514</v>
      </c>
      <c r="BC21" s="61">
        <v>130</v>
      </c>
      <c r="BD21" s="62">
        <v>1</v>
      </c>
      <c r="BE21" s="60">
        <f>BB21/BC21/BD21</f>
        <v>2.4819384615384243E-2</v>
      </c>
      <c r="BF21" s="47">
        <f>IF(G21="보통",5,IF(G21="조강",2,""))</f>
        <v>2</v>
      </c>
      <c r="BG21" s="33"/>
      <c r="BH21" s="33"/>
      <c r="BI21" s="52"/>
      <c r="BJ21" s="53"/>
      <c r="BK21" s="54"/>
      <c r="BL21" s="100">
        <v>77.407147999998827</v>
      </c>
      <c r="BM21" s="67">
        <f>BL21/M21</f>
        <v>11.058163999999833</v>
      </c>
      <c r="BN21" s="51">
        <v>35</v>
      </c>
      <c r="BO21" s="62">
        <v>1</v>
      </c>
      <c r="BP21" s="60">
        <f>BM21/BN21/BO21</f>
        <v>0.31594754285713805</v>
      </c>
      <c r="BQ21" s="100">
        <v>13.140735999999801</v>
      </c>
      <c r="BR21" s="67">
        <f>BQ21/M21</f>
        <v>1.8772479999999716</v>
      </c>
      <c r="BS21" s="55">
        <v>3.4</v>
      </c>
      <c r="BT21" s="62">
        <v>1</v>
      </c>
      <c r="BU21" s="49">
        <f>BR21/BS21/BT21</f>
        <v>0.552131764705874</v>
      </c>
      <c r="BV21" s="100">
        <v>70.426131999998944</v>
      </c>
      <c r="BW21" s="67">
        <f>BV21/M21</f>
        <v>10.060875999999849</v>
      </c>
      <c r="BX21" s="61">
        <v>125</v>
      </c>
      <c r="BY21" s="62">
        <v>1</v>
      </c>
      <c r="BZ21" s="60">
        <f>BW21/BX21/BY21</f>
        <v>8.0487007999998791E-2</v>
      </c>
      <c r="CA21" s="47">
        <f>IF(G21="보통",7,IF(G21="조강",3,""))</f>
        <v>3</v>
      </c>
      <c r="CB21" s="56">
        <f>CEILING(SUM(AZ21,BE21,BF21,BK21,BP21,BU21,BZ21,CA21),0.5)</f>
        <v>6.5</v>
      </c>
      <c r="CC21" s="100">
        <v>48.199808999999263</v>
      </c>
      <c r="CD21" s="67">
        <f>CC21/M21</f>
        <v>6.8856869999998951</v>
      </c>
      <c r="CE21" s="61">
        <v>165</v>
      </c>
      <c r="CF21" s="62">
        <v>1</v>
      </c>
      <c r="CG21" s="49">
        <f>CD21/CE21/CF21</f>
        <v>4.1731436363635729E-2</v>
      </c>
      <c r="CH21" s="100">
        <v>67.55159599999898</v>
      </c>
      <c r="CI21" s="67">
        <f>CH21/M21</f>
        <v>9.6502279999998546</v>
      </c>
      <c r="CJ21" s="61">
        <v>150</v>
      </c>
      <c r="CK21" s="62">
        <v>1</v>
      </c>
      <c r="CL21" s="49">
        <f>CI21/CJ21/CK21</f>
        <v>6.4334853333332359E-2</v>
      </c>
      <c r="CM21" s="100">
        <v>404.48827999999384</v>
      </c>
      <c r="CN21" s="67">
        <f>CM21/M21</f>
        <v>57.784039999999116</v>
      </c>
      <c r="CO21" s="51">
        <v>320</v>
      </c>
      <c r="CP21" s="62">
        <v>1</v>
      </c>
      <c r="CQ21" s="49">
        <f>CN21/CO21/CP21</f>
        <v>0.18057512499999723</v>
      </c>
      <c r="CR21" s="100">
        <v>1213.4648399999815</v>
      </c>
      <c r="CS21" s="67">
        <f>CR21/M21</f>
        <v>173.35211999999734</v>
      </c>
      <c r="CT21" s="51">
        <v>8000</v>
      </c>
      <c r="CU21" s="62">
        <v>1</v>
      </c>
      <c r="CV21" s="49">
        <f>CS21/CT21/CU21</f>
        <v>2.1669014999999667E-2</v>
      </c>
      <c r="CW21" s="100">
        <v>808.97655999998767</v>
      </c>
      <c r="CX21" s="67">
        <f>CW21/M21</f>
        <v>115.56807999999823</v>
      </c>
      <c r="CY21" s="51">
        <v>300</v>
      </c>
      <c r="CZ21" s="62">
        <v>1</v>
      </c>
      <c r="DA21" s="49">
        <f>CX21/CY21/CZ21</f>
        <v>0.38522693333332741</v>
      </c>
      <c r="DB21" s="57">
        <f>K21</f>
        <v>51.330999999999221</v>
      </c>
      <c r="DC21" s="67">
        <f>DB21/M21</f>
        <v>7.3329999999998892</v>
      </c>
      <c r="DD21" s="58">
        <v>50</v>
      </c>
      <c r="DE21" s="62">
        <v>1</v>
      </c>
      <c r="DF21" s="49">
        <f>DC21/DD21/DE21</f>
        <v>0.14665999999999779</v>
      </c>
      <c r="DG21" s="59">
        <f>CEILING(SUM(CG21,CL21,CQ21,CV21,DA21,DF21),0.5)</f>
        <v>1</v>
      </c>
      <c r="DH21" s="94">
        <f t="shared" si="48"/>
        <v>3.5</v>
      </c>
      <c r="DI21" s="94">
        <f t="shared" si="49"/>
        <v>6.5</v>
      </c>
      <c r="DJ21" s="94">
        <f>DG21</f>
        <v>1</v>
      </c>
      <c r="DK21" s="96">
        <f t="shared" si="57"/>
        <v>11</v>
      </c>
      <c r="DL21" s="28">
        <f t="shared" si="51"/>
        <v>7</v>
      </c>
      <c r="DM21" s="94">
        <f>DK21*DL21</f>
        <v>77</v>
      </c>
      <c r="DN21" s="117">
        <f t="shared" si="53"/>
        <v>78</v>
      </c>
      <c r="DO21" s="117"/>
      <c r="DP21" s="44">
        <f t="shared" si="54"/>
        <v>4.0625</v>
      </c>
      <c r="DQ21" s="26"/>
      <c r="DR21" s="26"/>
      <c r="DS21" s="26"/>
      <c r="DT21" s="26"/>
      <c r="DU21" s="26"/>
    </row>
    <row r="22" spans="2:125" s="1" customFormat="1" ht="17.25" customHeight="1">
      <c r="B22" s="66">
        <v>14</v>
      </c>
      <c r="C22" s="35" t="s">
        <v>99</v>
      </c>
      <c r="D22" s="68" t="s">
        <v>100</v>
      </c>
      <c r="E22" s="68"/>
      <c r="F22" s="64" t="s">
        <v>82</v>
      </c>
      <c r="G22" s="64" t="s">
        <v>18</v>
      </c>
      <c r="H22" s="63">
        <v>80</v>
      </c>
      <c r="I22" s="98">
        <v>5325.1390000000001</v>
      </c>
      <c r="J22" s="98">
        <v>5383.2449999999999</v>
      </c>
      <c r="K22" s="45">
        <f t="shared" si="55"/>
        <v>58.105999999999767</v>
      </c>
      <c r="L22" s="45" t="s">
        <v>47</v>
      </c>
      <c r="M22" s="71">
        <v>9</v>
      </c>
      <c r="N22" s="45">
        <f t="shared" si="56"/>
        <v>6.4562222222221965</v>
      </c>
      <c r="O22" s="48">
        <v>1</v>
      </c>
      <c r="P22" s="100">
        <v>116.17717999999971</v>
      </c>
      <c r="Q22" s="67">
        <f t="shared" si="7"/>
        <v>12.908575555555522</v>
      </c>
      <c r="R22" s="46">
        <v>53.9</v>
      </c>
      <c r="S22" s="62">
        <v>1</v>
      </c>
      <c r="T22" s="48">
        <f t="shared" si="8"/>
        <v>0.23949119769119709</v>
      </c>
      <c r="U22" s="100">
        <v>393.81271999999888</v>
      </c>
      <c r="V22" s="67">
        <f t="shared" si="9"/>
        <v>43.756968888888764</v>
      </c>
      <c r="W22" s="75">
        <v>190</v>
      </c>
      <c r="X22" s="62">
        <v>1</v>
      </c>
      <c r="Y22" s="48">
        <f t="shared" si="10"/>
        <v>0.23029983625730929</v>
      </c>
      <c r="Z22" s="100">
        <v>77.862039999999695</v>
      </c>
      <c r="AA22" s="67">
        <f t="shared" si="11"/>
        <v>8.6513377777777443</v>
      </c>
      <c r="AB22" s="61">
        <v>42</v>
      </c>
      <c r="AC22" s="62">
        <v>1</v>
      </c>
      <c r="AD22" s="48">
        <f t="shared" si="12"/>
        <v>0.50598423280423199</v>
      </c>
      <c r="AE22" s="100">
        <v>46.484799999999815</v>
      </c>
      <c r="AF22" s="67">
        <f t="shared" si="13"/>
        <v>5.1649777777777572</v>
      </c>
      <c r="AG22" s="61">
        <v>40</v>
      </c>
      <c r="AH22" s="62">
        <v>1</v>
      </c>
      <c r="AI22" s="48">
        <f t="shared" si="14"/>
        <v>0.12912444444444393</v>
      </c>
      <c r="AJ22" s="100">
        <v>20.918159999999919</v>
      </c>
      <c r="AK22" s="67">
        <f t="shared" si="15"/>
        <v>2.3242399999999908</v>
      </c>
      <c r="AL22" s="61">
        <v>130</v>
      </c>
      <c r="AM22" s="62">
        <v>1</v>
      </c>
      <c r="AN22" s="60">
        <f t="shared" si="16"/>
        <v>1.787876923076916E-2</v>
      </c>
      <c r="AO22" s="47">
        <f t="shared" si="17"/>
        <v>1</v>
      </c>
      <c r="AP22" s="100">
        <v>96.257799999999818</v>
      </c>
      <c r="AQ22" s="67">
        <f t="shared" si="18"/>
        <v>10.69531111111109</v>
      </c>
      <c r="AR22" s="61">
        <v>225</v>
      </c>
      <c r="AS22" s="62">
        <v>1</v>
      </c>
      <c r="AT22" s="49">
        <f t="shared" si="19"/>
        <v>4.7534716049382621E-2</v>
      </c>
      <c r="AU22" s="50">
        <f t="shared" si="20"/>
        <v>3.5</v>
      </c>
      <c r="AV22" s="100">
        <v>23.242399999999908</v>
      </c>
      <c r="AW22" s="67">
        <f t="shared" si="21"/>
        <v>2.5824888888888786</v>
      </c>
      <c r="AX22" s="51">
        <v>40</v>
      </c>
      <c r="AY22" s="62">
        <v>1</v>
      </c>
      <c r="AZ22" s="49">
        <f t="shared" si="22"/>
        <v>6.4562222222221965E-2</v>
      </c>
      <c r="BA22" s="100">
        <v>25.5666399999999</v>
      </c>
      <c r="BB22" s="67">
        <f t="shared" si="23"/>
        <v>2.8407377777777665</v>
      </c>
      <c r="BC22" s="61">
        <v>130</v>
      </c>
      <c r="BD22" s="62">
        <v>1</v>
      </c>
      <c r="BE22" s="60">
        <f t="shared" si="24"/>
        <v>2.1851829059828971E-2</v>
      </c>
      <c r="BF22" s="47">
        <f t="shared" si="25"/>
        <v>2</v>
      </c>
      <c r="BG22" s="33"/>
      <c r="BH22" s="33"/>
      <c r="BI22" s="52"/>
      <c r="BJ22" s="53"/>
      <c r="BK22" s="54"/>
      <c r="BL22" s="100">
        <v>87.62384799999964</v>
      </c>
      <c r="BM22" s="67">
        <f t="shared" si="26"/>
        <v>9.7359831111110715</v>
      </c>
      <c r="BN22" s="51">
        <v>35</v>
      </c>
      <c r="BO22" s="62">
        <v>1</v>
      </c>
      <c r="BP22" s="60">
        <f t="shared" si="27"/>
        <v>0.27817094603174491</v>
      </c>
      <c r="BQ22" s="100">
        <v>14.875135999999941</v>
      </c>
      <c r="BR22" s="67">
        <f t="shared" si="28"/>
        <v>1.6527928888888823</v>
      </c>
      <c r="BS22" s="55">
        <v>3.4</v>
      </c>
      <c r="BT22" s="62">
        <v>1</v>
      </c>
      <c r="BU22" s="49">
        <f t="shared" si="29"/>
        <v>0.48611555555555364</v>
      </c>
      <c r="BV22" s="100">
        <v>79.72143199999968</v>
      </c>
      <c r="BW22" s="67">
        <f t="shared" si="30"/>
        <v>8.8579368888888528</v>
      </c>
      <c r="BX22" s="61">
        <v>125</v>
      </c>
      <c r="BY22" s="62">
        <v>1</v>
      </c>
      <c r="BZ22" s="60">
        <f t="shared" si="31"/>
        <v>7.0863495111110827E-2</v>
      </c>
      <c r="CA22" s="47">
        <f t="shared" si="32"/>
        <v>3</v>
      </c>
      <c r="CB22" s="56">
        <f t="shared" si="33"/>
        <v>6</v>
      </c>
      <c r="CC22" s="100">
        <v>46.280083999999924</v>
      </c>
      <c r="CD22" s="67">
        <f t="shared" si="34"/>
        <v>5.1422315555555471</v>
      </c>
      <c r="CE22" s="61">
        <v>165</v>
      </c>
      <c r="CF22" s="62">
        <v>1</v>
      </c>
      <c r="CG22" s="49">
        <f t="shared" si="35"/>
        <v>3.1165039730639679E-2</v>
      </c>
      <c r="CH22" s="100">
        <v>64.445435999999901</v>
      </c>
      <c r="CI22" s="67">
        <f t="shared" si="36"/>
        <v>7.1606039999999886</v>
      </c>
      <c r="CJ22" s="61">
        <v>150</v>
      </c>
      <c r="CK22" s="62">
        <v>1</v>
      </c>
      <c r="CL22" s="49">
        <f t="shared" si="37"/>
        <v>4.7737359999999923E-2</v>
      </c>
      <c r="CM22" s="100">
        <v>387.15727999999939</v>
      </c>
      <c r="CN22" s="67">
        <f t="shared" si="38"/>
        <v>43.017475555555485</v>
      </c>
      <c r="CO22" s="51">
        <v>320</v>
      </c>
      <c r="CP22" s="62">
        <v>1</v>
      </c>
      <c r="CQ22" s="49">
        <f t="shared" si="39"/>
        <v>0.1344296111111109</v>
      </c>
      <c r="CR22" s="100">
        <v>1161.4718399999983</v>
      </c>
      <c r="CS22" s="67">
        <f t="shared" si="40"/>
        <v>129.05242666666649</v>
      </c>
      <c r="CT22" s="51">
        <v>8000</v>
      </c>
      <c r="CU22" s="62">
        <v>1</v>
      </c>
      <c r="CV22" s="49">
        <f t="shared" si="41"/>
        <v>1.6131553333333312E-2</v>
      </c>
      <c r="CW22" s="100">
        <v>774.31455999999878</v>
      </c>
      <c r="CX22" s="67">
        <f t="shared" si="42"/>
        <v>86.034951111110971</v>
      </c>
      <c r="CY22" s="51">
        <v>300</v>
      </c>
      <c r="CZ22" s="62">
        <v>1</v>
      </c>
      <c r="DA22" s="49">
        <f t="shared" si="43"/>
        <v>0.28678317037036988</v>
      </c>
      <c r="DB22" s="57">
        <f t="shared" si="44"/>
        <v>58.105999999999767</v>
      </c>
      <c r="DC22" s="67">
        <f t="shared" si="45"/>
        <v>6.4562222222221965</v>
      </c>
      <c r="DD22" s="58">
        <v>50</v>
      </c>
      <c r="DE22" s="62">
        <v>1</v>
      </c>
      <c r="DF22" s="49">
        <f t="shared" si="46"/>
        <v>0.12912444444444393</v>
      </c>
      <c r="DG22" s="59">
        <f t="shared" si="47"/>
        <v>1</v>
      </c>
      <c r="DH22" s="94">
        <f t="shared" si="48"/>
        <v>3.5</v>
      </c>
      <c r="DI22" s="94">
        <f t="shared" si="49"/>
        <v>6</v>
      </c>
      <c r="DJ22" s="94">
        <f t="shared" si="50"/>
        <v>1</v>
      </c>
      <c r="DK22" s="96">
        <f t="shared" si="57"/>
        <v>11</v>
      </c>
      <c r="DL22" s="28">
        <f t="shared" si="51"/>
        <v>9</v>
      </c>
      <c r="DM22" s="94">
        <f t="shared" si="52"/>
        <v>99</v>
      </c>
      <c r="DN22" s="117">
        <f t="shared" si="53"/>
        <v>100</v>
      </c>
      <c r="DO22" s="117"/>
      <c r="DP22" s="44">
        <f t="shared" si="54"/>
        <v>5.2083333333333339</v>
      </c>
      <c r="DQ22" s="26"/>
      <c r="DR22" s="26"/>
      <c r="DS22" s="26"/>
      <c r="DT22" s="26"/>
      <c r="DU22" s="26"/>
    </row>
    <row r="23" spans="2:125" s="1" customFormat="1" ht="17.25" customHeight="1">
      <c r="B23" s="104">
        <v>15</v>
      </c>
      <c r="C23" s="101" t="s">
        <v>101</v>
      </c>
      <c r="D23" s="99" t="s">
        <v>102</v>
      </c>
      <c r="E23" s="99"/>
      <c r="F23" s="64"/>
      <c r="G23" s="64" t="s">
        <v>18</v>
      </c>
      <c r="H23" s="63">
        <v>255</v>
      </c>
      <c r="I23" s="98">
        <v>5533.3010000000004</v>
      </c>
      <c r="J23" s="98">
        <v>5573.3819999999996</v>
      </c>
      <c r="K23" s="45">
        <f t="shared" si="55"/>
        <v>40.080999999999221</v>
      </c>
      <c r="L23" s="45" t="s">
        <v>47</v>
      </c>
      <c r="M23" s="71">
        <v>5</v>
      </c>
      <c r="N23" s="45">
        <f t="shared" si="56"/>
        <v>8.016199999999845</v>
      </c>
      <c r="O23" s="48">
        <v>1</v>
      </c>
      <c r="P23" s="100">
        <v>60.522309999998825</v>
      </c>
      <c r="Q23" s="67">
        <f t="shared" si="7"/>
        <v>12.104461999999765</v>
      </c>
      <c r="R23" s="46">
        <v>53.9</v>
      </c>
      <c r="S23" s="62">
        <v>1</v>
      </c>
      <c r="T23" s="48">
        <f t="shared" si="8"/>
        <v>0.22457257884971735</v>
      </c>
      <c r="U23" s="100">
        <v>221.2471199999957</v>
      </c>
      <c r="V23" s="67">
        <f t="shared" si="9"/>
        <v>44.249423999999138</v>
      </c>
      <c r="W23" s="75">
        <v>190</v>
      </c>
      <c r="X23" s="62">
        <v>1</v>
      </c>
      <c r="Y23" s="48">
        <f t="shared" si="10"/>
        <v>0.23289170526315336</v>
      </c>
      <c r="Z23" s="100">
        <v>53.708539999998962</v>
      </c>
      <c r="AA23" s="67">
        <f t="shared" si="11"/>
        <v>10.741707999999793</v>
      </c>
      <c r="AB23" s="61">
        <v>42</v>
      </c>
      <c r="AC23" s="62">
        <v>1</v>
      </c>
      <c r="AD23" s="48">
        <f t="shared" si="12"/>
        <v>0.55575495238094752</v>
      </c>
      <c r="AE23" s="100">
        <v>32.06479999999938</v>
      </c>
      <c r="AF23" s="67">
        <f t="shared" si="13"/>
        <v>6.4129599999998756</v>
      </c>
      <c r="AG23" s="61">
        <v>40</v>
      </c>
      <c r="AH23" s="62">
        <v>1</v>
      </c>
      <c r="AI23" s="48">
        <f t="shared" si="14"/>
        <v>0.16032399999999689</v>
      </c>
      <c r="AJ23" s="100">
        <v>14.429159999999721</v>
      </c>
      <c r="AK23" s="67">
        <f t="shared" si="15"/>
        <v>2.8858319999999442</v>
      </c>
      <c r="AL23" s="61">
        <v>130</v>
      </c>
      <c r="AM23" s="62">
        <v>1</v>
      </c>
      <c r="AN23" s="60">
        <f t="shared" si="16"/>
        <v>2.2198707692307262E-2</v>
      </c>
      <c r="AO23" s="47">
        <f t="shared" si="17"/>
        <v>1</v>
      </c>
      <c r="AP23" s="100">
        <v>45.69233999999912</v>
      </c>
      <c r="AQ23" s="67">
        <f t="shared" si="18"/>
        <v>9.1384679999998237</v>
      </c>
      <c r="AR23" s="61">
        <v>225</v>
      </c>
      <c r="AS23" s="62">
        <v>1</v>
      </c>
      <c r="AT23" s="49">
        <f t="shared" si="19"/>
        <v>4.0615413333332552E-2</v>
      </c>
      <c r="AU23" s="50">
        <f t="shared" si="20"/>
        <v>3.5</v>
      </c>
      <c r="AV23" s="100">
        <v>16.03239999999969</v>
      </c>
      <c r="AW23" s="67">
        <f t="shared" si="21"/>
        <v>3.2064799999999378</v>
      </c>
      <c r="AX23" s="51">
        <v>40</v>
      </c>
      <c r="AY23" s="62">
        <v>1</v>
      </c>
      <c r="AZ23" s="49">
        <f t="shared" si="22"/>
        <v>8.0161999999998443E-2</v>
      </c>
      <c r="BA23" s="100">
        <v>17.635639999999661</v>
      </c>
      <c r="BB23" s="67">
        <f t="shared" si="23"/>
        <v>3.5271279999999323</v>
      </c>
      <c r="BC23" s="61">
        <v>130</v>
      </c>
      <c r="BD23" s="62">
        <v>1</v>
      </c>
      <c r="BE23" s="60">
        <f t="shared" si="24"/>
        <v>2.7131753846153326E-2</v>
      </c>
      <c r="BF23" s="47">
        <f t="shared" si="25"/>
        <v>2</v>
      </c>
      <c r="BG23" s="33"/>
      <c r="BH23" s="33"/>
      <c r="BI23" s="52"/>
      <c r="BJ23" s="53"/>
      <c r="BK23" s="54"/>
      <c r="BL23" s="100">
        <v>60.442147999998824</v>
      </c>
      <c r="BM23" s="67">
        <f t="shared" si="26"/>
        <v>12.088429599999765</v>
      </c>
      <c r="BN23" s="51">
        <v>35</v>
      </c>
      <c r="BO23" s="62">
        <v>1</v>
      </c>
      <c r="BP23" s="60">
        <f t="shared" si="27"/>
        <v>0.34538370285713615</v>
      </c>
      <c r="BQ23" s="100">
        <v>10.260735999999801</v>
      </c>
      <c r="BR23" s="67">
        <f t="shared" si="28"/>
        <v>2.0521471999999603</v>
      </c>
      <c r="BS23" s="55">
        <v>3.4</v>
      </c>
      <c r="BT23" s="62">
        <v>1</v>
      </c>
      <c r="BU23" s="49">
        <f t="shared" si="29"/>
        <v>0.60357270588234124</v>
      </c>
      <c r="BV23" s="100">
        <v>54.991131999998935</v>
      </c>
      <c r="BW23" s="67">
        <f t="shared" si="30"/>
        <v>10.998226399999787</v>
      </c>
      <c r="BX23" s="61">
        <v>125</v>
      </c>
      <c r="BY23" s="62">
        <v>1</v>
      </c>
      <c r="BZ23" s="60">
        <f t="shared" si="31"/>
        <v>8.7985811199998293E-2</v>
      </c>
      <c r="CA23" s="47">
        <f t="shared" si="32"/>
        <v>3</v>
      </c>
      <c r="CB23" s="56">
        <f t="shared" si="33"/>
        <v>6.5</v>
      </c>
      <c r="CC23" s="100">
        <v>19.800013999999614</v>
      </c>
      <c r="CD23" s="67">
        <f t="shared" si="34"/>
        <v>3.9600027999999226</v>
      </c>
      <c r="CE23" s="61">
        <v>165</v>
      </c>
      <c r="CF23" s="62">
        <v>1</v>
      </c>
      <c r="CG23" s="49">
        <f t="shared" si="35"/>
        <v>2.4000016969696499E-2</v>
      </c>
      <c r="CH23" s="100">
        <v>26.854269999999481</v>
      </c>
      <c r="CI23" s="67">
        <f t="shared" si="36"/>
        <v>5.3708539999998965</v>
      </c>
      <c r="CJ23" s="61">
        <v>150</v>
      </c>
      <c r="CK23" s="62">
        <v>1</v>
      </c>
      <c r="CL23" s="49">
        <f t="shared" si="37"/>
        <v>3.5805693333332646E-2</v>
      </c>
      <c r="CM23" s="100">
        <v>163.53047999999683</v>
      </c>
      <c r="CN23" s="67">
        <f t="shared" si="38"/>
        <v>32.706095999999363</v>
      </c>
      <c r="CO23" s="51">
        <v>320</v>
      </c>
      <c r="CP23" s="62">
        <v>1</v>
      </c>
      <c r="CQ23" s="49">
        <f t="shared" si="39"/>
        <v>0.10220654999999801</v>
      </c>
      <c r="CR23" s="100">
        <v>490.59143999999048</v>
      </c>
      <c r="CS23" s="67">
        <f t="shared" si="40"/>
        <v>98.118287999998103</v>
      </c>
      <c r="CT23" s="51">
        <v>8000</v>
      </c>
      <c r="CU23" s="62">
        <v>1</v>
      </c>
      <c r="CV23" s="49">
        <f t="shared" si="41"/>
        <v>1.2264785999999762E-2</v>
      </c>
      <c r="CW23" s="100">
        <v>327.06095999999366</v>
      </c>
      <c r="CX23" s="67">
        <f t="shared" si="42"/>
        <v>65.412191999998726</v>
      </c>
      <c r="CY23" s="51">
        <v>300</v>
      </c>
      <c r="CZ23" s="62">
        <v>1</v>
      </c>
      <c r="DA23" s="49">
        <f t="shared" si="43"/>
        <v>0.21804063999999576</v>
      </c>
      <c r="DB23" s="57">
        <f t="shared" si="44"/>
        <v>40.080999999999221</v>
      </c>
      <c r="DC23" s="67">
        <f t="shared" si="45"/>
        <v>8.016199999999845</v>
      </c>
      <c r="DD23" s="58">
        <v>50</v>
      </c>
      <c r="DE23" s="62">
        <v>1</v>
      </c>
      <c r="DF23" s="49">
        <f t="shared" si="46"/>
        <v>0.16032399999999691</v>
      </c>
      <c r="DG23" s="59">
        <f t="shared" si="47"/>
        <v>1</v>
      </c>
      <c r="DH23" s="94">
        <f t="shared" si="48"/>
        <v>3.5</v>
      </c>
      <c r="DI23" s="94">
        <f t="shared" si="49"/>
        <v>6.5</v>
      </c>
      <c r="DJ23" s="94">
        <f t="shared" si="50"/>
        <v>1</v>
      </c>
      <c r="DK23" s="96">
        <f t="shared" si="57"/>
        <v>11</v>
      </c>
      <c r="DL23" s="28">
        <f t="shared" si="51"/>
        <v>5</v>
      </c>
      <c r="DM23" s="94">
        <f t="shared" si="52"/>
        <v>55</v>
      </c>
      <c r="DN23" s="117">
        <f t="shared" si="53"/>
        <v>56</v>
      </c>
      <c r="DO23" s="117"/>
      <c r="DP23" s="44">
        <f t="shared" si="54"/>
        <v>2.916666666666667</v>
      </c>
      <c r="DQ23" s="26"/>
      <c r="DR23" s="26"/>
      <c r="DS23" s="26"/>
      <c r="DT23" s="26"/>
      <c r="DU23" s="26"/>
    </row>
    <row r="24" spans="2:125" s="1" customFormat="1" ht="17.25" customHeight="1">
      <c r="B24" s="103">
        <v>16</v>
      </c>
      <c r="C24" s="105" t="s">
        <v>172</v>
      </c>
      <c r="D24" s="99" t="s">
        <v>103</v>
      </c>
      <c r="E24" s="99" t="s">
        <v>63</v>
      </c>
      <c r="F24" s="64"/>
      <c r="G24" s="64" t="s">
        <v>18</v>
      </c>
      <c r="H24" s="63"/>
      <c r="I24" s="98">
        <v>6045.7460000000001</v>
      </c>
      <c r="J24" s="98">
        <v>6096.51</v>
      </c>
      <c r="K24" s="45">
        <f t="shared" si="55"/>
        <v>50.764000000000124</v>
      </c>
      <c r="L24" s="45" t="s">
        <v>47</v>
      </c>
      <c r="M24" s="71">
        <v>9</v>
      </c>
      <c r="N24" s="45">
        <f t="shared" si="56"/>
        <v>5.6404444444444586</v>
      </c>
      <c r="O24" s="48">
        <v>1</v>
      </c>
      <c r="P24" s="100">
        <v>76.653640000000181</v>
      </c>
      <c r="Q24" s="67">
        <f t="shared" si="7"/>
        <v>8.5170711111111306</v>
      </c>
      <c r="R24" s="46">
        <v>53.9</v>
      </c>
      <c r="S24" s="62">
        <v>1</v>
      </c>
      <c r="T24" s="48">
        <f t="shared" si="8"/>
        <v>0.15801616161616197</v>
      </c>
      <c r="U24" s="100">
        <v>280.21728000000064</v>
      </c>
      <c r="V24" s="67">
        <f t="shared" si="9"/>
        <v>31.135253333333406</v>
      </c>
      <c r="W24" s="75">
        <v>190</v>
      </c>
      <c r="X24" s="62">
        <v>1</v>
      </c>
      <c r="Y24" s="48">
        <f t="shared" si="10"/>
        <v>0.16386975438596529</v>
      </c>
      <c r="Z24" s="100">
        <v>68.023760000000166</v>
      </c>
      <c r="AA24" s="67">
        <f t="shared" si="11"/>
        <v>7.5581955555555744</v>
      </c>
      <c r="AB24" s="61">
        <v>42</v>
      </c>
      <c r="AC24" s="62">
        <v>1</v>
      </c>
      <c r="AD24" s="48">
        <f t="shared" si="12"/>
        <v>0.47995703703703751</v>
      </c>
      <c r="AE24" s="100">
        <v>40.611200000000103</v>
      </c>
      <c r="AF24" s="67">
        <f t="shared" si="13"/>
        <v>4.5123555555555672</v>
      </c>
      <c r="AG24" s="61">
        <v>40</v>
      </c>
      <c r="AH24" s="62">
        <v>1</v>
      </c>
      <c r="AI24" s="48">
        <f t="shared" si="14"/>
        <v>0.11280888888888918</v>
      </c>
      <c r="AJ24" s="100">
        <v>18.275040000000047</v>
      </c>
      <c r="AK24" s="67">
        <f t="shared" si="15"/>
        <v>2.0305600000000052</v>
      </c>
      <c r="AL24" s="61">
        <v>130</v>
      </c>
      <c r="AM24" s="62">
        <v>1</v>
      </c>
      <c r="AN24" s="60">
        <f t="shared" si="16"/>
        <v>1.5619692307692348E-2</v>
      </c>
      <c r="AO24" s="47">
        <f t="shared" si="17"/>
        <v>1</v>
      </c>
      <c r="AP24" s="100">
        <v>57.870960000000146</v>
      </c>
      <c r="AQ24" s="67">
        <f t="shared" si="18"/>
        <v>6.4301066666666831</v>
      </c>
      <c r="AR24" s="61">
        <v>225</v>
      </c>
      <c r="AS24" s="62">
        <v>1</v>
      </c>
      <c r="AT24" s="49">
        <f t="shared" si="19"/>
        <v>2.8578251851851925E-2</v>
      </c>
      <c r="AU24" s="50">
        <f t="shared" si="20"/>
        <v>3</v>
      </c>
      <c r="AV24" s="100">
        <v>20.305600000000052</v>
      </c>
      <c r="AW24" s="67">
        <f t="shared" si="21"/>
        <v>2.2561777777777836</v>
      </c>
      <c r="AX24" s="51">
        <v>40</v>
      </c>
      <c r="AY24" s="62">
        <v>1</v>
      </c>
      <c r="AZ24" s="49">
        <f t="shared" si="22"/>
        <v>5.640444444444459E-2</v>
      </c>
      <c r="BA24" s="100">
        <v>22.336160000000056</v>
      </c>
      <c r="BB24" s="67">
        <f t="shared" si="23"/>
        <v>2.481795555555562</v>
      </c>
      <c r="BC24" s="61">
        <v>130</v>
      </c>
      <c r="BD24" s="62">
        <v>1</v>
      </c>
      <c r="BE24" s="60">
        <f t="shared" si="24"/>
        <v>1.9090735042735091E-2</v>
      </c>
      <c r="BF24" s="47">
        <f t="shared" si="25"/>
        <v>2</v>
      </c>
      <c r="BG24" s="33"/>
      <c r="BH24" s="33"/>
      <c r="BI24" s="52"/>
      <c r="BJ24" s="53"/>
      <c r="BK24" s="54"/>
      <c r="BL24" s="100">
        <v>76.552112000000193</v>
      </c>
      <c r="BM24" s="67">
        <f t="shared" si="26"/>
        <v>8.5057902222222435</v>
      </c>
      <c r="BN24" s="51">
        <v>35</v>
      </c>
      <c r="BO24" s="62">
        <v>1</v>
      </c>
      <c r="BP24" s="60">
        <f t="shared" si="27"/>
        <v>0.24302257777777839</v>
      </c>
      <c r="BQ24" s="100">
        <v>12.995584000000031</v>
      </c>
      <c r="BR24" s="67">
        <f t="shared" si="28"/>
        <v>1.4439537777777813</v>
      </c>
      <c r="BS24" s="55">
        <v>3.4</v>
      </c>
      <c r="BT24" s="62">
        <v>1</v>
      </c>
      <c r="BU24" s="49">
        <f t="shared" si="29"/>
        <v>0.42469228758170041</v>
      </c>
      <c r="BV24" s="100">
        <v>69.648208000000182</v>
      </c>
      <c r="BW24" s="67">
        <f t="shared" si="30"/>
        <v>7.7386897777777977</v>
      </c>
      <c r="BX24" s="61">
        <v>125</v>
      </c>
      <c r="BY24" s="62">
        <v>1</v>
      </c>
      <c r="BZ24" s="60">
        <f t="shared" si="31"/>
        <v>6.1909518222222383E-2</v>
      </c>
      <c r="CA24" s="47">
        <f t="shared" si="32"/>
        <v>3</v>
      </c>
      <c r="CB24" s="56">
        <f t="shared" si="33"/>
        <v>6</v>
      </c>
      <c r="CC24" s="100">
        <v>25.07741600000006</v>
      </c>
      <c r="CD24" s="67">
        <f t="shared" si="34"/>
        <v>2.7863795555555622</v>
      </c>
      <c r="CE24" s="61">
        <v>165</v>
      </c>
      <c r="CF24" s="62">
        <v>1</v>
      </c>
      <c r="CG24" s="49">
        <f t="shared" si="35"/>
        <v>1.6887148821548861E-2</v>
      </c>
      <c r="CH24" s="100">
        <v>34.011880000000083</v>
      </c>
      <c r="CI24" s="67">
        <f t="shared" si="36"/>
        <v>3.7790977777777872</v>
      </c>
      <c r="CJ24" s="61">
        <v>150</v>
      </c>
      <c r="CK24" s="62">
        <v>1</v>
      </c>
      <c r="CL24" s="49">
        <f t="shared" si="37"/>
        <v>2.5193985185185248E-2</v>
      </c>
      <c r="CM24" s="100">
        <v>207.11712000000051</v>
      </c>
      <c r="CN24" s="67">
        <f t="shared" si="38"/>
        <v>23.01301333333339</v>
      </c>
      <c r="CO24" s="51">
        <v>320</v>
      </c>
      <c r="CP24" s="62">
        <v>1</v>
      </c>
      <c r="CQ24" s="49">
        <f t="shared" si="39"/>
        <v>7.191566666666685E-2</v>
      </c>
      <c r="CR24" s="100">
        <v>621.35136000000148</v>
      </c>
      <c r="CS24" s="67">
        <f t="shared" si="40"/>
        <v>69.03904000000017</v>
      </c>
      <c r="CT24" s="51">
        <v>8000</v>
      </c>
      <c r="CU24" s="62">
        <v>1</v>
      </c>
      <c r="CV24" s="49">
        <f t="shared" si="41"/>
        <v>8.629880000000022E-3</v>
      </c>
      <c r="CW24" s="100">
        <v>414.23424000000102</v>
      </c>
      <c r="CX24" s="67">
        <f t="shared" si="42"/>
        <v>46.02602666666678</v>
      </c>
      <c r="CY24" s="51">
        <v>300</v>
      </c>
      <c r="CZ24" s="62">
        <v>1</v>
      </c>
      <c r="DA24" s="49">
        <f t="shared" si="43"/>
        <v>0.15342008888888928</v>
      </c>
      <c r="DB24" s="57">
        <f t="shared" si="44"/>
        <v>50.764000000000124</v>
      </c>
      <c r="DC24" s="67">
        <f t="shared" si="45"/>
        <v>5.6404444444444586</v>
      </c>
      <c r="DD24" s="58">
        <v>50</v>
      </c>
      <c r="DE24" s="62">
        <v>1</v>
      </c>
      <c r="DF24" s="49">
        <f t="shared" si="46"/>
        <v>0.11280888888888917</v>
      </c>
      <c r="DG24" s="59">
        <f t="shared" si="47"/>
        <v>0.5</v>
      </c>
      <c r="DH24" s="94">
        <f t="shared" si="48"/>
        <v>3</v>
      </c>
      <c r="DI24" s="94">
        <f t="shared" si="49"/>
        <v>6</v>
      </c>
      <c r="DJ24" s="94">
        <f t="shared" si="50"/>
        <v>0.5</v>
      </c>
      <c r="DK24" s="96">
        <f t="shared" si="57"/>
        <v>10</v>
      </c>
      <c r="DL24" s="28">
        <f t="shared" si="51"/>
        <v>9</v>
      </c>
      <c r="DM24" s="94">
        <f t="shared" si="52"/>
        <v>90</v>
      </c>
      <c r="DN24" s="117">
        <f t="shared" si="53"/>
        <v>91</v>
      </c>
      <c r="DO24" s="117"/>
      <c r="DP24" s="44">
        <f t="shared" si="54"/>
        <v>4.7395833333333339</v>
      </c>
      <c r="DQ24" s="26"/>
      <c r="DR24" s="26"/>
      <c r="DS24" s="26"/>
      <c r="DT24" s="26"/>
      <c r="DU24" s="26"/>
    </row>
    <row r="25" spans="2:125" s="1" customFormat="1" ht="17.25" customHeight="1">
      <c r="B25" s="93">
        <v>17</v>
      </c>
      <c r="C25" s="91" t="s">
        <v>173</v>
      </c>
      <c r="D25" s="78" t="s">
        <v>104</v>
      </c>
      <c r="E25" s="90"/>
      <c r="F25" s="64"/>
      <c r="G25" s="64" t="s">
        <v>18</v>
      </c>
      <c r="H25" s="63">
        <v>255</v>
      </c>
      <c r="I25" s="98">
        <v>6205.6880000000001</v>
      </c>
      <c r="J25" s="98">
        <v>6227.5569999999998</v>
      </c>
      <c r="K25" s="45">
        <f t="shared" si="55"/>
        <v>21.868999999999687</v>
      </c>
      <c r="L25" s="45" t="s">
        <v>47</v>
      </c>
      <c r="M25" s="71">
        <v>3</v>
      </c>
      <c r="N25" s="45">
        <f t="shared" si="56"/>
        <v>7.2896666666665624</v>
      </c>
      <c r="O25" s="48">
        <v>1</v>
      </c>
      <c r="P25" s="100">
        <v>33.022189999999526</v>
      </c>
      <c r="Q25" s="67">
        <f t="shared" si="7"/>
        <v>11.007396666666509</v>
      </c>
      <c r="R25" s="46">
        <v>53.9</v>
      </c>
      <c r="S25" s="62">
        <v>1</v>
      </c>
      <c r="T25" s="48">
        <f t="shared" si="8"/>
        <v>0.20421886209028772</v>
      </c>
      <c r="U25" s="100">
        <v>120.71687999999827</v>
      </c>
      <c r="V25" s="67">
        <f t="shared" si="9"/>
        <v>40.238959999999423</v>
      </c>
      <c r="W25" s="75">
        <v>190</v>
      </c>
      <c r="X25" s="62">
        <v>1</v>
      </c>
      <c r="Y25" s="48">
        <f t="shared" si="10"/>
        <v>0.21178399999999697</v>
      </c>
      <c r="Z25" s="100">
        <v>29.304459999999583</v>
      </c>
      <c r="AA25" s="67">
        <f t="shared" si="11"/>
        <v>9.7681533333331938</v>
      </c>
      <c r="AB25" s="61">
        <v>42</v>
      </c>
      <c r="AC25" s="62">
        <v>1</v>
      </c>
      <c r="AD25" s="48">
        <f t="shared" si="12"/>
        <v>0.53257507936507609</v>
      </c>
      <c r="AE25" s="100">
        <v>17.495199999999752</v>
      </c>
      <c r="AF25" s="67">
        <f t="shared" si="13"/>
        <v>5.8317333333332506</v>
      </c>
      <c r="AG25" s="61">
        <v>40</v>
      </c>
      <c r="AH25" s="62">
        <v>1</v>
      </c>
      <c r="AI25" s="48">
        <f t="shared" si="14"/>
        <v>0.14579333333333128</v>
      </c>
      <c r="AJ25" s="100">
        <v>7.8728399999998881</v>
      </c>
      <c r="AK25" s="67">
        <f t="shared" si="15"/>
        <v>2.6242799999999629</v>
      </c>
      <c r="AL25" s="61">
        <v>130</v>
      </c>
      <c r="AM25" s="62">
        <v>1</v>
      </c>
      <c r="AN25" s="60">
        <f t="shared" si="16"/>
        <v>2.0186769230768946E-2</v>
      </c>
      <c r="AO25" s="47">
        <f t="shared" si="17"/>
        <v>1</v>
      </c>
      <c r="AP25" s="100">
        <v>24.930659999999644</v>
      </c>
      <c r="AQ25" s="67">
        <f t="shared" si="18"/>
        <v>8.310219999999882</v>
      </c>
      <c r="AR25" s="61">
        <v>225</v>
      </c>
      <c r="AS25" s="62">
        <v>1</v>
      </c>
      <c r="AT25" s="49">
        <f t="shared" si="19"/>
        <v>3.6934311111110583E-2</v>
      </c>
      <c r="AU25" s="50">
        <f t="shared" si="20"/>
        <v>3.5</v>
      </c>
      <c r="AV25" s="100">
        <v>8.7475999999998759</v>
      </c>
      <c r="AW25" s="67">
        <f t="shared" si="21"/>
        <v>2.9158666666666253</v>
      </c>
      <c r="AX25" s="51">
        <v>40</v>
      </c>
      <c r="AY25" s="62">
        <v>1</v>
      </c>
      <c r="AZ25" s="49">
        <f t="shared" si="22"/>
        <v>7.2896666666665638E-2</v>
      </c>
      <c r="BA25" s="100">
        <v>9.6223599999998637</v>
      </c>
      <c r="BB25" s="67">
        <f t="shared" si="23"/>
        <v>3.2074533333332877</v>
      </c>
      <c r="BC25" s="61">
        <v>130</v>
      </c>
      <c r="BD25" s="62">
        <v>1</v>
      </c>
      <c r="BE25" s="60">
        <f t="shared" si="24"/>
        <v>2.4672717948717598E-2</v>
      </c>
      <c r="BF25" s="47">
        <f t="shared" si="25"/>
        <v>2</v>
      </c>
      <c r="BG25" s="33"/>
      <c r="BH25" s="33"/>
      <c r="BI25" s="52"/>
      <c r="BJ25" s="53"/>
      <c r="BK25" s="54"/>
      <c r="BL25" s="100">
        <v>32.978451999999528</v>
      </c>
      <c r="BM25" s="67">
        <f t="shared" si="26"/>
        <v>10.992817333333177</v>
      </c>
      <c r="BN25" s="51">
        <v>35</v>
      </c>
      <c r="BO25" s="62">
        <v>1</v>
      </c>
      <c r="BP25" s="60">
        <f t="shared" si="27"/>
        <v>0.31408049523809078</v>
      </c>
      <c r="BQ25" s="100">
        <v>5.5984639999999199</v>
      </c>
      <c r="BR25" s="67">
        <f t="shared" si="28"/>
        <v>1.86615466666664</v>
      </c>
      <c r="BS25" s="55">
        <v>3.4</v>
      </c>
      <c r="BT25" s="62">
        <v>1</v>
      </c>
      <c r="BU25" s="49">
        <f t="shared" si="29"/>
        <v>0.5488690196078353</v>
      </c>
      <c r="BV25" s="100">
        <v>30.004267999999573</v>
      </c>
      <c r="BW25" s="67">
        <f t="shared" si="30"/>
        <v>10.001422666666524</v>
      </c>
      <c r="BX25" s="61">
        <v>125</v>
      </c>
      <c r="BY25" s="62">
        <v>1</v>
      </c>
      <c r="BZ25" s="60">
        <f t="shared" si="31"/>
        <v>8.0011381333332202E-2</v>
      </c>
      <c r="CA25" s="47">
        <f t="shared" si="32"/>
        <v>3</v>
      </c>
      <c r="CB25" s="56">
        <f t="shared" si="33"/>
        <v>6.5</v>
      </c>
      <c r="CC25" s="100">
        <v>10.803285999999845</v>
      </c>
      <c r="CD25" s="67">
        <f t="shared" si="34"/>
        <v>3.6010953333332818</v>
      </c>
      <c r="CE25" s="61">
        <v>165</v>
      </c>
      <c r="CF25" s="62">
        <v>1</v>
      </c>
      <c r="CG25" s="49">
        <f t="shared" si="35"/>
        <v>2.1824820202019889E-2</v>
      </c>
      <c r="CH25" s="100">
        <v>14.652229999999792</v>
      </c>
      <c r="CI25" s="67">
        <f t="shared" si="36"/>
        <v>4.8840766666665969</v>
      </c>
      <c r="CJ25" s="61">
        <v>150</v>
      </c>
      <c r="CK25" s="62">
        <v>1</v>
      </c>
      <c r="CL25" s="49">
        <f t="shared" si="37"/>
        <v>3.2560511111110649E-2</v>
      </c>
      <c r="CM25" s="100">
        <v>89.225519999998724</v>
      </c>
      <c r="CN25" s="67">
        <f t="shared" si="38"/>
        <v>29.741839999999574</v>
      </c>
      <c r="CO25" s="51">
        <v>320</v>
      </c>
      <c r="CP25" s="62">
        <v>1</v>
      </c>
      <c r="CQ25" s="49">
        <f t="shared" si="39"/>
        <v>9.2943249999998673E-2</v>
      </c>
      <c r="CR25" s="100">
        <v>267.67655999999619</v>
      </c>
      <c r="CS25" s="67">
        <f t="shared" si="40"/>
        <v>89.225519999998724</v>
      </c>
      <c r="CT25" s="51">
        <v>8000</v>
      </c>
      <c r="CU25" s="62">
        <v>1</v>
      </c>
      <c r="CV25" s="49">
        <f t="shared" si="41"/>
        <v>1.1153189999999841E-2</v>
      </c>
      <c r="CW25" s="100">
        <v>178.45103999999745</v>
      </c>
      <c r="CX25" s="67">
        <f t="shared" si="42"/>
        <v>59.483679999999147</v>
      </c>
      <c r="CY25" s="51">
        <v>300</v>
      </c>
      <c r="CZ25" s="62">
        <v>1</v>
      </c>
      <c r="DA25" s="49">
        <f t="shared" si="43"/>
        <v>0.19827893333333049</v>
      </c>
      <c r="DB25" s="57">
        <f t="shared" si="44"/>
        <v>21.868999999999687</v>
      </c>
      <c r="DC25" s="67">
        <f t="shared" si="45"/>
        <v>7.2896666666665624</v>
      </c>
      <c r="DD25" s="58">
        <v>50</v>
      </c>
      <c r="DE25" s="62">
        <v>1</v>
      </c>
      <c r="DF25" s="49">
        <f t="shared" si="46"/>
        <v>0.14579333333333125</v>
      </c>
      <c r="DG25" s="59">
        <f t="shared" si="47"/>
        <v>1</v>
      </c>
      <c r="DH25" s="94">
        <f t="shared" si="48"/>
        <v>3.5</v>
      </c>
      <c r="DI25" s="94">
        <f t="shared" si="49"/>
        <v>6.5</v>
      </c>
      <c r="DJ25" s="94">
        <f t="shared" si="50"/>
        <v>1</v>
      </c>
      <c r="DK25" s="96">
        <f t="shared" si="57"/>
        <v>11</v>
      </c>
      <c r="DL25" s="28">
        <f t="shared" si="51"/>
        <v>3</v>
      </c>
      <c r="DM25" s="94">
        <f t="shared" si="52"/>
        <v>33</v>
      </c>
      <c r="DN25" s="117">
        <f t="shared" si="53"/>
        <v>34</v>
      </c>
      <c r="DO25" s="117"/>
      <c r="DP25" s="44">
        <f t="shared" si="54"/>
        <v>1.7708333333333335</v>
      </c>
      <c r="DQ25" s="26"/>
      <c r="DR25" s="26"/>
      <c r="DS25" s="26"/>
      <c r="DT25" s="26"/>
      <c r="DU25" s="26"/>
    </row>
    <row r="26" spans="2:125" s="1" customFormat="1" ht="17.25" customHeight="1">
      <c r="B26" s="93">
        <v>18</v>
      </c>
      <c r="C26" s="91" t="s">
        <v>105</v>
      </c>
      <c r="D26" s="78" t="s">
        <v>106</v>
      </c>
      <c r="E26" s="90"/>
      <c r="F26" s="64"/>
      <c r="G26" s="64" t="s">
        <v>18</v>
      </c>
      <c r="H26" s="63">
        <v>255</v>
      </c>
      <c r="I26" s="98">
        <v>6334.6170000000002</v>
      </c>
      <c r="J26" s="98">
        <v>6381.56</v>
      </c>
      <c r="K26" s="45">
        <f t="shared" si="55"/>
        <v>46.943000000000211</v>
      </c>
      <c r="L26" s="45" t="s">
        <v>47</v>
      </c>
      <c r="M26" s="71">
        <v>4</v>
      </c>
      <c r="N26" s="45">
        <f t="shared" si="56"/>
        <v>11.735750000000053</v>
      </c>
      <c r="O26" s="48">
        <v>1</v>
      </c>
      <c r="P26" s="100">
        <v>104.68289000000047</v>
      </c>
      <c r="Q26" s="67">
        <f t="shared" si="7"/>
        <v>26.170722500000117</v>
      </c>
      <c r="R26" s="46">
        <v>53.9</v>
      </c>
      <c r="S26" s="62">
        <v>1</v>
      </c>
      <c r="T26" s="48">
        <f t="shared" si="8"/>
        <v>0.48554216141002077</v>
      </c>
      <c r="U26" s="100">
        <v>345.96991000000156</v>
      </c>
      <c r="V26" s="67">
        <f t="shared" si="9"/>
        <v>86.49247750000039</v>
      </c>
      <c r="W26" s="75">
        <v>190</v>
      </c>
      <c r="X26" s="62">
        <v>1</v>
      </c>
      <c r="Y26" s="48">
        <f t="shared" si="10"/>
        <v>0.45522356578947576</v>
      </c>
      <c r="Z26" s="100">
        <v>62.903620000000288</v>
      </c>
      <c r="AA26" s="67">
        <f t="shared" si="11"/>
        <v>15.725905000000072</v>
      </c>
      <c r="AB26" s="61">
        <v>42</v>
      </c>
      <c r="AC26" s="62">
        <v>1</v>
      </c>
      <c r="AD26" s="48">
        <f t="shared" si="12"/>
        <v>0.67442630952381122</v>
      </c>
      <c r="AE26" s="100">
        <v>37.554400000000172</v>
      </c>
      <c r="AF26" s="67">
        <f t="shared" si="13"/>
        <v>9.3886000000000429</v>
      </c>
      <c r="AG26" s="61">
        <v>40</v>
      </c>
      <c r="AH26" s="62">
        <v>1</v>
      </c>
      <c r="AI26" s="48">
        <f t="shared" si="14"/>
        <v>0.23471500000000106</v>
      </c>
      <c r="AJ26" s="100">
        <v>16.899480000000079</v>
      </c>
      <c r="AK26" s="67">
        <f t="shared" si="15"/>
        <v>4.2248700000000197</v>
      </c>
      <c r="AL26" s="61">
        <v>130</v>
      </c>
      <c r="AM26" s="62">
        <v>1</v>
      </c>
      <c r="AN26" s="60">
        <f t="shared" si="16"/>
        <v>3.2499000000000153E-2</v>
      </c>
      <c r="AO26" s="47">
        <f t="shared" si="17"/>
        <v>1</v>
      </c>
      <c r="AP26" s="100">
        <v>89.191700000000409</v>
      </c>
      <c r="AQ26" s="67">
        <f t="shared" si="18"/>
        <v>22.297925000000102</v>
      </c>
      <c r="AR26" s="61">
        <v>225</v>
      </c>
      <c r="AS26" s="62">
        <v>1</v>
      </c>
      <c r="AT26" s="49">
        <f t="shared" si="19"/>
        <v>9.910188888888935E-2</v>
      </c>
      <c r="AU26" s="50">
        <f t="shared" si="20"/>
        <v>4</v>
      </c>
      <c r="AV26" s="100">
        <v>18.777200000000086</v>
      </c>
      <c r="AW26" s="67">
        <f t="shared" si="21"/>
        <v>4.6943000000000215</v>
      </c>
      <c r="AX26" s="51">
        <v>40</v>
      </c>
      <c r="AY26" s="62">
        <v>1</v>
      </c>
      <c r="AZ26" s="49">
        <f t="shared" si="22"/>
        <v>0.11735750000000053</v>
      </c>
      <c r="BA26" s="100">
        <v>20.654920000000097</v>
      </c>
      <c r="BB26" s="67">
        <f t="shared" si="23"/>
        <v>5.1637300000000241</v>
      </c>
      <c r="BC26" s="61">
        <v>130</v>
      </c>
      <c r="BD26" s="62">
        <v>1</v>
      </c>
      <c r="BE26" s="60">
        <f t="shared" si="24"/>
        <v>3.9721000000000187E-2</v>
      </c>
      <c r="BF26" s="47">
        <f t="shared" si="25"/>
        <v>2</v>
      </c>
      <c r="BG26" s="33"/>
      <c r="BH26" s="33"/>
      <c r="BI26" s="52"/>
      <c r="BJ26" s="53"/>
      <c r="BK26" s="54"/>
      <c r="BL26" s="100">
        <v>70.790044000000321</v>
      </c>
      <c r="BM26" s="67">
        <f t="shared" si="26"/>
        <v>17.69751100000008</v>
      </c>
      <c r="BN26" s="51">
        <v>35</v>
      </c>
      <c r="BO26" s="62">
        <v>1</v>
      </c>
      <c r="BP26" s="60">
        <f t="shared" si="27"/>
        <v>0.50564317142857373</v>
      </c>
      <c r="BQ26" s="100">
        <v>12.017408000000055</v>
      </c>
      <c r="BR26" s="67">
        <f t="shared" si="28"/>
        <v>3.0043520000000137</v>
      </c>
      <c r="BS26" s="55">
        <v>3.4</v>
      </c>
      <c r="BT26" s="62">
        <v>1</v>
      </c>
      <c r="BU26" s="49">
        <f t="shared" si="29"/>
        <v>0.88363294117647462</v>
      </c>
      <c r="BV26" s="100">
        <v>64.405796000000294</v>
      </c>
      <c r="BW26" s="67">
        <f t="shared" si="30"/>
        <v>16.101449000000073</v>
      </c>
      <c r="BX26" s="61">
        <v>125</v>
      </c>
      <c r="BY26" s="62">
        <v>1</v>
      </c>
      <c r="BZ26" s="60">
        <f t="shared" si="31"/>
        <v>0.12881159200000059</v>
      </c>
      <c r="CA26" s="47">
        <f t="shared" si="32"/>
        <v>3</v>
      </c>
      <c r="CB26" s="56">
        <f t="shared" si="33"/>
        <v>7</v>
      </c>
      <c r="CC26" s="100">
        <v>44.079477000000196</v>
      </c>
      <c r="CD26" s="67">
        <f t="shared" si="34"/>
        <v>11.019869250000049</v>
      </c>
      <c r="CE26" s="61">
        <v>165</v>
      </c>
      <c r="CF26" s="62">
        <v>1</v>
      </c>
      <c r="CG26" s="49">
        <f t="shared" si="35"/>
        <v>6.6787086363636658E-2</v>
      </c>
      <c r="CH26" s="100">
        <v>61.77698800000028</v>
      </c>
      <c r="CI26" s="67">
        <f t="shared" si="36"/>
        <v>15.44424700000007</v>
      </c>
      <c r="CJ26" s="61">
        <v>150</v>
      </c>
      <c r="CK26" s="62">
        <v>1</v>
      </c>
      <c r="CL26" s="49">
        <f t="shared" si="37"/>
        <v>0.10296164666666713</v>
      </c>
      <c r="CM26" s="100">
        <v>369.91084000000166</v>
      </c>
      <c r="CN26" s="67">
        <f t="shared" si="38"/>
        <v>92.477710000000414</v>
      </c>
      <c r="CO26" s="51">
        <v>320</v>
      </c>
      <c r="CP26" s="62">
        <v>1</v>
      </c>
      <c r="CQ26" s="49">
        <f t="shared" si="39"/>
        <v>0.28899284375000128</v>
      </c>
      <c r="CR26" s="100">
        <v>1109.732520000005</v>
      </c>
      <c r="CS26" s="67">
        <f t="shared" si="40"/>
        <v>277.43313000000126</v>
      </c>
      <c r="CT26" s="51">
        <v>8000</v>
      </c>
      <c r="CU26" s="62">
        <v>1</v>
      </c>
      <c r="CV26" s="49">
        <f t="shared" si="41"/>
        <v>3.4679141250000156E-2</v>
      </c>
      <c r="CW26" s="100">
        <v>739.82168000000331</v>
      </c>
      <c r="CX26" s="67">
        <f t="shared" si="42"/>
        <v>184.95542000000083</v>
      </c>
      <c r="CY26" s="51">
        <v>300</v>
      </c>
      <c r="CZ26" s="62">
        <v>1</v>
      </c>
      <c r="DA26" s="49">
        <f t="shared" si="43"/>
        <v>0.61651806666666942</v>
      </c>
      <c r="DB26" s="57">
        <f t="shared" si="44"/>
        <v>46.943000000000211</v>
      </c>
      <c r="DC26" s="67">
        <f t="shared" si="45"/>
        <v>11.735750000000053</v>
      </c>
      <c r="DD26" s="58">
        <v>50</v>
      </c>
      <c r="DE26" s="62">
        <v>1</v>
      </c>
      <c r="DF26" s="49">
        <f t="shared" si="46"/>
        <v>0.23471500000000106</v>
      </c>
      <c r="DG26" s="59">
        <f t="shared" si="47"/>
        <v>1.5</v>
      </c>
      <c r="DH26" s="94">
        <f t="shared" si="48"/>
        <v>4</v>
      </c>
      <c r="DI26" s="94">
        <f t="shared" si="49"/>
        <v>7</v>
      </c>
      <c r="DJ26" s="94">
        <f t="shared" si="50"/>
        <v>1.5</v>
      </c>
      <c r="DK26" s="96">
        <f t="shared" si="57"/>
        <v>13</v>
      </c>
      <c r="DL26" s="28">
        <f t="shared" si="51"/>
        <v>4</v>
      </c>
      <c r="DM26" s="94">
        <f t="shared" si="52"/>
        <v>52</v>
      </c>
      <c r="DN26" s="117">
        <f t="shared" si="53"/>
        <v>53</v>
      </c>
      <c r="DO26" s="117"/>
      <c r="DP26" s="44">
        <f t="shared" si="54"/>
        <v>2.760416666666667</v>
      </c>
      <c r="DQ26" s="26"/>
      <c r="DR26" s="26"/>
      <c r="DS26" s="26"/>
      <c r="DT26" s="26"/>
      <c r="DU26" s="26"/>
    </row>
    <row r="27" spans="2:125" s="1" customFormat="1" ht="17.25" customHeight="1">
      <c r="B27" s="93">
        <v>19</v>
      </c>
      <c r="C27" s="91" t="s">
        <v>107</v>
      </c>
      <c r="D27" s="78" t="s">
        <v>108</v>
      </c>
      <c r="E27" s="90"/>
      <c r="F27" s="64"/>
      <c r="G27" s="64" t="s">
        <v>18</v>
      </c>
      <c r="H27" s="63">
        <v>255</v>
      </c>
      <c r="I27" s="98">
        <v>6575.9719999999998</v>
      </c>
      <c r="J27" s="98">
        <v>6620.1459999999997</v>
      </c>
      <c r="K27" s="45">
        <f t="shared" si="55"/>
        <v>44.173999999999978</v>
      </c>
      <c r="L27" s="45" t="s">
        <v>47</v>
      </c>
      <c r="M27" s="71">
        <v>8</v>
      </c>
      <c r="N27" s="45">
        <f t="shared" si="56"/>
        <v>5.5217499999999973</v>
      </c>
      <c r="O27" s="48">
        <v>1</v>
      </c>
      <c r="P27" s="100">
        <v>66.702739999999963</v>
      </c>
      <c r="Q27" s="67">
        <f t="shared" si="7"/>
        <v>8.3378424999999954</v>
      </c>
      <c r="R27" s="46">
        <v>53.9</v>
      </c>
      <c r="S27" s="62">
        <v>1</v>
      </c>
      <c r="T27" s="48">
        <f t="shared" si="8"/>
        <v>0.15469095547309825</v>
      </c>
      <c r="U27" s="100">
        <v>243.8404799999999</v>
      </c>
      <c r="V27" s="67">
        <f t="shared" si="9"/>
        <v>30.480059999999987</v>
      </c>
      <c r="W27" s="75">
        <v>190</v>
      </c>
      <c r="X27" s="62">
        <v>1</v>
      </c>
      <c r="Y27" s="48">
        <f t="shared" si="10"/>
        <v>0.16042136842105256</v>
      </c>
      <c r="Z27" s="100">
        <v>59.193159999999978</v>
      </c>
      <c r="AA27" s="67">
        <f t="shared" si="11"/>
        <v>7.3991449999999972</v>
      </c>
      <c r="AB27" s="61">
        <v>42</v>
      </c>
      <c r="AC27" s="62">
        <v>1</v>
      </c>
      <c r="AD27" s="48">
        <f t="shared" si="12"/>
        <v>0.47617011904761897</v>
      </c>
      <c r="AE27" s="100">
        <v>35.339199999999984</v>
      </c>
      <c r="AF27" s="67">
        <f t="shared" si="13"/>
        <v>4.417399999999998</v>
      </c>
      <c r="AG27" s="61">
        <v>40</v>
      </c>
      <c r="AH27" s="62">
        <v>1</v>
      </c>
      <c r="AI27" s="48">
        <f t="shared" si="14"/>
        <v>0.11043499999999995</v>
      </c>
      <c r="AJ27" s="100">
        <v>15.902639999999995</v>
      </c>
      <c r="AK27" s="67">
        <f t="shared" si="15"/>
        <v>1.9878299999999993</v>
      </c>
      <c r="AL27" s="61">
        <v>130</v>
      </c>
      <c r="AM27" s="62">
        <v>1</v>
      </c>
      <c r="AN27" s="60">
        <f t="shared" si="16"/>
        <v>1.5290999999999996E-2</v>
      </c>
      <c r="AO27" s="47">
        <f t="shared" si="17"/>
        <v>1</v>
      </c>
      <c r="AP27" s="100">
        <v>50.358359999999983</v>
      </c>
      <c r="AQ27" s="67">
        <f t="shared" si="18"/>
        <v>6.2947949999999979</v>
      </c>
      <c r="AR27" s="61">
        <v>225</v>
      </c>
      <c r="AS27" s="62">
        <v>1</v>
      </c>
      <c r="AT27" s="49">
        <f t="shared" si="19"/>
        <v>2.7976866666666659E-2</v>
      </c>
      <c r="AU27" s="50">
        <f t="shared" si="20"/>
        <v>3</v>
      </c>
      <c r="AV27" s="100">
        <v>17.669599999999992</v>
      </c>
      <c r="AW27" s="67">
        <f t="shared" si="21"/>
        <v>2.208699999999999</v>
      </c>
      <c r="AX27" s="51">
        <v>40</v>
      </c>
      <c r="AY27" s="62">
        <v>1</v>
      </c>
      <c r="AZ27" s="49">
        <f t="shared" si="22"/>
        <v>5.5217499999999975E-2</v>
      </c>
      <c r="BA27" s="100">
        <v>19.436559999999993</v>
      </c>
      <c r="BB27" s="67">
        <f t="shared" si="23"/>
        <v>2.4295699999999991</v>
      </c>
      <c r="BC27" s="61">
        <v>130</v>
      </c>
      <c r="BD27" s="62">
        <v>1</v>
      </c>
      <c r="BE27" s="60">
        <f t="shared" si="24"/>
        <v>1.8688999999999994E-2</v>
      </c>
      <c r="BF27" s="47">
        <f t="shared" si="25"/>
        <v>2</v>
      </c>
      <c r="BG27" s="33"/>
      <c r="BH27" s="33"/>
      <c r="BI27" s="52"/>
      <c r="BJ27" s="53"/>
      <c r="BK27" s="54"/>
      <c r="BL27" s="100">
        <v>66.614391999999967</v>
      </c>
      <c r="BM27" s="67">
        <f t="shared" si="26"/>
        <v>8.3267989999999958</v>
      </c>
      <c r="BN27" s="51">
        <v>35</v>
      </c>
      <c r="BO27" s="62">
        <v>1</v>
      </c>
      <c r="BP27" s="60">
        <f t="shared" si="27"/>
        <v>0.23790854285714275</v>
      </c>
      <c r="BQ27" s="100">
        <v>11.308543999999994</v>
      </c>
      <c r="BR27" s="67">
        <f t="shared" si="28"/>
        <v>1.4135679999999993</v>
      </c>
      <c r="BS27" s="55">
        <v>3.4</v>
      </c>
      <c r="BT27" s="62">
        <v>1</v>
      </c>
      <c r="BU27" s="49">
        <f t="shared" si="29"/>
        <v>0.41575529411764683</v>
      </c>
      <c r="BV27" s="100">
        <v>60.606727999999976</v>
      </c>
      <c r="BW27" s="67">
        <f t="shared" si="30"/>
        <v>7.5758409999999969</v>
      </c>
      <c r="BX27" s="61">
        <v>125</v>
      </c>
      <c r="BY27" s="62">
        <v>1</v>
      </c>
      <c r="BZ27" s="60">
        <f t="shared" si="31"/>
        <v>6.0606727999999978E-2</v>
      </c>
      <c r="CA27" s="47">
        <f t="shared" si="32"/>
        <v>3</v>
      </c>
      <c r="CB27" s="56">
        <f t="shared" si="33"/>
        <v>6</v>
      </c>
      <c r="CC27" s="100">
        <v>21.821955999999989</v>
      </c>
      <c r="CD27" s="67">
        <f t="shared" si="34"/>
        <v>2.7277444999999987</v>
      </c>
      <c r="CE27" s="61">
        <v>165</v>
      </c>
      <c r="CF27" s="62">
        <v>1</v>
      </c>
      <c r="CG27" s="49">
        <f t="shared" si="35"/>
        <v>1.6531784848484842E-2</v>
      </c>
      <c r="CH27" s="100">
        <v>29.596579999999989</v>
      </c>
      <c r="CI27" s="67">
        <f t="shared" si="36"/>
        <v>3.6995724999999986</v>
      </c>
      <c r="CJ27" s="61">
        <v>150</v>
      </c>
      <c r="CK27" s="62">
        <v>1</v>
      </c>
      <c r="CL27" s="49">
        <f t="shared" si="37"/>
        <v>2.4663816666666658E-2</v>
      </c>
      <c r="CM27" s="100">
        <v>180.22991999999991</v>
      </c>
      <c r="CN27" s="67">
        <f t="shared" si="38"/>
        <v>22.528739999999988</v>
      </c>
      <c r="CO27" s="51">
        <v>320</v>
      </c>
      <c r="CP27" s="62">
        <v>1</v>
      </c>
      <c r="CQ27" s="49">
        <f t="shared" si="39"/>
        <v>7.0402312499999967E-2</v>
      </c>
      <c r="CR27" s="100">
        <v>540.68975999999975</v>
      </c>
      <c r="CS27" s="67">
        <f t="shared" si="40"/>
        <v>67.586219999999969</v>
      </c>
      <c r="CT27" s="51">
        <v>8000</v>
      </c>
      <c r="CU27" s="62">
        <v>1</v>
      </c>
      <c r="CV27" s="49">
        <f t="shared" si="41"/>
        <v>8.4482774999999968E-3</v>
      </c>
      <c r="CW27" s="100">
        <v>360.45983999999982</v>
      </c>
      <c r="CX27" s="67">
        <f t="shared" si="42"/>
        <v>45.057479999999977</v>
      </c>
      <c r="CY27" s="51">
        <v>300</v>
      </c>
      <c r="CZ27" s="62">
        <v>1</v>
      </c>
      <c r="DA27" s="49">
        <f t="shared" si="43"/>
        <v>0.15019159999999993</v>
      </c>
      <c r="DB27" s="57">
        <f t="shared" si="44"/>
        <v>44.173999999999978</v>
      </c>
      <c r="DC27" s="67">
        <f t="shared" si="45"/>
        <v>5.5217499999999973</v>
      </c>
      <c r="DD27" s="58">
        <v>50</v>
      </c>
      <c r="DE27" s="62">
        <v>1</v>
      </c>
      <c r="DF27" s="49">
        <f t="shared" si="46"/>
        <v>0.11043499999999995</v>
      </c>
      <c r="DG27" s="59">
        <f t="shared" si="47"/>
        <v>0.5</v>
      </c>
      <c r="DH27" s="94">
        <f t="shared" si="48"/>
        <v>3</v>
      </c>
      <c r="DI27" s="94">
        <f t="shared" si="49"/>
        <v>6</v>
      </c>
      <c r="DJ27" s="94">
        <f t="shared" si="50"/>
        <v>0.5</v>
      </c>
      <c r="DK27" s="96">
        <f t="shared" si="57"/>
        <v>10</v>
      </c>
      <c r="DL27" s="28">
        <f t="shared" si="51"/>
        <v>8</v>
      </c>
      <c r="DM27" s="94">
        <f t="shared" si="52"/>
        <v>80</v>
      </c>
      <c r="DN27" s="117">
        <f t="shared" si="53"/>
        <v>81</v>
      </c>
      <c r="DO27" s="117"/>
      <c r="DP27" s="44">
        <f t="shared" si="54"/>
        <v>4.21875</v>
      </c>
      <c r="DQ27" s="26"/>
      <c r="DR27" s="26"/>
      <c r="DS27" s="26"/>
      <c r="DT27" s="26"/>
      <c r="DU27" s="26"/>
    </row>
    <row r="28" spans="2:125" s="1" customFormat="1" ht="17.25" customHeight="1">
      <c r="B28" s="104">
        <v>20</v>
      </c>
      <c r="C28" s="101" t="s">
        <v>109</v>
      </c>
      <c r="D28" s="99" t="s">
        <v>110</v>
      </c>
      <c r="E28" s="99" t="s">
        <v>63</v>
      </c>
      <c r="F28" s="64"/>
      <c r="G28" s="64" t="s">
        <v>18</v>
      </c>
      <c r="H28" s="63"/>
      <c r="I28" s="98">
        <v>6958.5829999999996</v>
      </c>
      <c r="J28" s="98">
        <v>6985.8209999999999</v>
      </c>
      <c r="K28" s="45">
        <f t="shared" si="55"/>
        <v>27.238000000000284</v>
      </c>
      <c r="L28" s="45" t="s">
        <v>47</v>
      </c>
      <c r="M28" s="71">
        <v>4</v>
      </c>
      <c r="N28" s="45">
        <f t="shared" si="56"/>
        <v>6.8095000000000709</v>
      </c>
      <c r="O28" s="48">
        <v>1</v>
      </c>
      <c r="P28" s="100">
        <v>41.129380000000431</v>
      </c>
      <c r="Q28" s="67">
        <f t="shared" si="7"/>
        <v>10.282345000000108</v>
      </c>
      <c r="R28" s="46">
        <v>53.9</v>
      </c>
      <c r="S28" s="62">
        <v>1</v>
      </c>
      <c r="T28" s="48">
        <f t="shared" si="8"/>
        <v>0.19076706864564208</v>
      </c>
      <c r="U28" s="100">
        <v>150.35376000000156</v>
      </c>
      <c r="V28" s="67">
        <f t="shared" si="9"/>
        <v>37.588440000000389</v>
      </c>
      <c r="W28" s="75">
        <v>190</v>
      </c>
      <c r="X28" s="62">
        <v>1</v>
      </c>
      <c r="Y28" s="48">
        <f t="shared" si="10"/>
        <v>0.19783389473684415</v>
      </c>
      <c r="Z28" s="100">
        <v>36.498920000000382</v>
      </c>
      <c r="AA28" s="67">
        <f t="shared" si="11"/>
        <v>9.1247300000000955</v>
      </c>
      <c r="AB28" s="61">
        <v>42</v>
      </c>
      <c r="AC28" s="62">
        <v>1</v>
      </c>
      <c r="AD28" s="48">
        <f t="shared" si="12"/>
        <v>0.5172554761904784</v>
      </c>
      <c r="AE28" s="100">
        <v>21.790400000000229</v>
      </c>
      <c r="AF28" s="67">
        <f t="shared" si="13"/>
        <v>5.4476000000000573</v>
      </c>
      <c r="AG28" s="61">
        <v>40</v>
      </c>
      <c r="AH28" s="62">
        <v>1</v>
      </c>
      <c r="AI28" s="48">
        <f t="shared" si="14"/>
        <v>0.13619000000000142</v>
      </c>
      <c r="AJ28" s="100">
        <v>9.8056800000001036</v>
      </c>
      <c r="AK28" s="67">
        <f t="shared" si="15"/>
        <v>2.4514200000000259</v>
      </c>
      <c r="AL28" s="61">
        <v>130</v>
      </c>
      <c r="AM28" s="62">
        <v>1</v>
      </c>
      <c r="AN28" s="60">
        <f t="shared" si="16"/>
        <v>1.8857076923077122E-2</v>
      </c>
      <c r="AO28" s="47">
        <f t="shared" si="17"/>
        <v>1</v>
      </c>
      <c r="AP28" s="100">
        <v>31.051320000000327</v>
      </c>
      <c r="AQ28" s="67">
        <f t="shared" si="18"/>
        <v>7.7628300000000818</v>
      </c>
      <c r="AR28" s="61">
        <v>225</v>
      </c>
      <c r="AS28" s="62">
        <v>1</v>
      </c>
      <c r="AT28" s="49">
        <f t="shared" si="19"/>
        <v>3.4501466666667029E-2</v>
      </c>
      <c r="AU28" s="50">
        <f t="shared" si="20"/>
        <v>3.5</v>
      </c>
      <c r="AV28" s="100">
        <v>10.895200000000115</v>
      </c>
      <c r="AW28" s="67">
        <f t="shared" si="21"/>
        <v>2.7238000000000286</v>
      </c>
      <c r="AX28" s="51">
        <v>40</v>
      </c>
      <c r="AY28" s="62">
        <v>1</v>
      </c>
      <c r="AZ28" s="49">
        <f t="shared" si="22"/>
        <v>6.8095000000000711E-2</v>
      </c>
      <c r="BA28" s="100">
        <v>11.984720000000127</v>
      </c>
      <c r="BB28" s="67">
        <f t="shared" si="23"/>
        <v>2.9961800000000318</v>
      </c>
      <c r="BC28" s="61">
        <v>130</v>
      </c>
      <c r="BD28" s="62">
        <v>1</v>
      </c>
      <c r="BE28" s="60">
        <f t="shared" si="24"/>
        <v>2.3047538461538706E-2</v>
      </c>
      <c r="BF28" s="47">
        <f t="shared" si="25"/>
        <v>2</v>
      </c>
      <c r="BG28" s="33"/>
      <c r="BH28" s="33"/>
      <c r="BI28" s="52"/>
      <c r="BJ28" s="53"/>
      <c r="BK28" s="54"/>
      <c r="BL28" s="100">
        <v>41.07490400000043</v>
      </c>
      <c r="BM28" s="67">
        <f t="shared" si="26"/>
        <v>10.268726000000107</v>
      </c>
      <c r="BN28" s="51">
        <v>35</v>
      </c>
      <c r="BO28" s="62">
        <v>1</v>
      </c>
      <c r="BP28" s="60">
        <f t="shared" si="27"/>
        <v>0.29339217142857449</v>
      </c>
      <c r="BQ28" s="100">
        <v>6.9729280000000724</v>
      </c>
      <c r="BR28" s="67">
        <f t="shared" si="28"/>
        <v>1.7432320000000181</v>
      </c>
      <c r="BS28" s="55">
        <v>3.4</v>
      </c>
      <c r="BT28" s="62">
        <v>1</v>
      </c>
      <c r="BU28" s="49">
        <f t="shared" si="29"/>
        <v>0.51271529411765238</v>
      </c>
      <c r="BV28" s="100">
        <v>37.370536000000392</v>
      </c>
      <c r="BW28" s="67">
        <f t="shared" si="30"/>
        <v>9.342634000000098</v>
      </c>
      <c r="BX28" s="61">
        <v>125</v>
      </c>
      <c r="BY28" s="62">
        <v>1</v>
      </c>
      <c r="BZ28" s="60">
        <f t="shared" si="31"/>
        <v>7.4741072000000783E-2</v>
      </c>
      <c r="CA28" s="47">
        <f t="shared" si="32"/>
        <v>3</v>
      </c>
      <c r="CB28" s="56">
        <f t="shared" si="33"/>
        <v>6</v>
      </c>
      <c r="CC28" s="100">
        <v>13.45557200000014</v>
      </c>
      <c r="CD28" s="67">
        <f t="shared" si="34"/>
        <v>3.3638930000000351</v>
      </c>
      <c r="CE28" s="61">
        <v>165</v>
      </c>
      <c r="CF28" s="62">
        <v>1</v>
      </c>
      <c r="CG28" s="49">
        <f t="shared" si="35"/>
        <v>2.0387230303030517E-2</v>
      </c>
      <c r="CH28" s="100">
        <v>18.249460000000191</v>
      </c>
      <c r="CI28" s="67">
        <f t="shared" si="36"/>
        <v>4.5623650000000477</v>
      </c>
      <c r="CJ28" s="61">
        <v>150</v>
      </c>
      <c r="CK28" s="62">
        <v>1</v>
      </c>
      <c r="CL28" s="49">
        <f t="shared" si="37"/>
        <v>3.0415766666666986E-2</v>
      </c>
      <c r="CM28" s="100">
        <v>111.13104000000116</v>
      </c>
      <c r="CN28" s="67">
        <f t="shared" si="38"/>
        <v>27.782760000000291</v>
      </c>
      <c r="CO28" s="51">
        <v>320</v>
      </c>
      <c r="CP28" s="62">
        <v>1</v>
      </c>
      <c r="CQ28" s="49">
        <f t="shared" si="39"/>
        <v>8.6821125000000915E-2</v>
      </c>
      <c r="CR28" s="100">
        <v>333.39312000000348</v>
      </c>
      <c r="CS28" s="67">
        <f t="shared" si="40"/>
        <v>83.348280000000869</v>
      </c>
      <c r="CT28" s="51">
        <v>8000</v>
      </c>
      <c r="CU28" s="62">
        <v>1</v>
      </c>
      <c r="CV28" s="49">
        <f t="shared" si="41"/>
        <v>1.0418535000000109E-2</v>
      </c>
      <c r="CW28" s="100">
        <v>222.26208000000233</v>
      </c>
      <c r="CX28" s="67">
        <f t="shared" si="42"/>
        <v>55.565520000000582</v>
      </c>
      <c r="CY28" s="51">
        <v>300</v>
      </c>
      <c r="CZ28" s="62">
        <v>1</v>
      </c>
      <c r="DA28" s="49">
        <f t="shared" si="43"/>
        <v>0.18521840000000195</v>
      </c>
      <c r="DB28" s="57">
        <f t="shared" si="44"/>
        <v>27.238000000000284</v>
      </c>
      <c r="DC28" s="67">
        <f t="shared" si="45"/>
        <v>6.8095000000000709</v>
      </c>
      <c r="DD28" s="58">
        <v>50</v>
      </c>
      <c r="DE28" s="62">
        <v>1</v>
      </c>
      <c r="DF28" s="49">
        <f t="shared" si="46"/>
        <v>0.13619000000000142</v>
      </c>
      <c r="DG28" s="59">
        <f t="shared" si="47"/>
        <v>0.5</v>
      </c>
      <c r="DH28" s="94">
        <f t="shared" si="48"/>
        <v>3.5</v>
      </c>
      <c r="DI28" s="94">
        <f t="shared" si="49"/>
        <v>6</v>
      </c>
      <c r="DJ28" s="94">
        <f t="shared" si="50"/>
        <v>0.5</v>
      </c>
      <c r="DK28" s="96">
        <f t="shared" si="57"/>
        <v>10</v>
      </c>
      <c r="DL28" s="28">
        <f t="shared" si="51"/>
        <v>4</v>
      </c>
      <c r="DM28" s="94">
        <f t="shared" si="52"/>
        <v>40</v>
      </c>
      <c r="DN28" s="117">
        <f t="shared" si="53"/>
        <v>41</v>
      </c>
      <c r="DO28" s="117"/>
      <c r="DP28" s="44">
        <f t="shared" si="54"/>
        <v>2.135416666666667</v>
      </c>
      <c r="DQ28" s="26"/>
      <c r="DR28" s="26"/>
      <c r="DS28" s="26"/>
      <c r="DT28" s="26"/>
      <c r="DU28" s="26"/>
    </row>
    <row r="29" spans="2:125" s="1" customFormat="1" ht="17.25" customHeight="1">
      <c r="B29" s="66">
        <v>21</v>
      </c>
      <c r="C29" s="35" t="s">
        <v>111</v>
      </c>
      <c r="D29" s="68" t="s">
        <v>112</v>
      </c>
      <c r="E29" s="68"/>
      <c r="F29" s="64" t="s">
        <v>88</v>
      </c>
      <c r="G29" s="64" t="s">
        <v>18</v>
      </c>
      <c r="H29" s="63">
        <v>80</v>
      </c>
      <c r="I29" s="98">
        <v>7195.0069999999996</v>
      </c>
      <c r="J29" s="98">
        <v>7265.0829999999996</v>
      </c>
      <c r="K29" s="45">
        <f t="shared" si="55"/>
        <v>70.076000000000022</v>
      </c>
      <c r="L29" s="45" t="s">
        <v>47</v>
      </c>
      <c r="M29" s="71">
        <v>10</v>
      </c>
      <c r="N29" s="45">
        <f t="shared" si="56"/>
        <v>7.0076000000000018</v>
      </c>
      <c r="O29" s="48">
        <v>1</v>
      </c>
      <c r="P29" s="100">
        <v>135.0309199999997</v>
      </c>
      <c r="Q29" s="67">
        <f t="shared" si="7"/>
        <v>13.50309199999997</v>
      </c>
      <c r="R29" s="46">
        <v>53.9</v>
      </c>
      <c r="S29" s="62">
        <v>1</v>
      </c>
      <c r="T29" s="48">
        <f t="shared" si="8"/>
        <v>0.250521187384044</v>
      </c>
      <c r="U29" s="100">
        <v>461.88881999999927</v>
      </c>
      <c r="V29" s="67">
        <f t="shared" si="9"/>
        <v>46.188881999999928</v>
      </c>
      <c r="W29" s="75">
        <v>190</v>
      </c>
      <c r="X29" s="62">
        <v>1</v>
      </c>
      <c r="Y29" s="48">
        <f t="shared" si="10"/>
        <v>0.24309937894736805</v>
      </c>
      <c r="Z29" s="100">
        <v>93.901840000000036</v>
      </c>
      <c r="AA29" s="67">
        <f t="shared" si="11"/>
        <v>9.3901840000000032</v>
      </c>
      <c r="AB29" s="61">
        <v>42</v>
      </c>
      <c r="AC29" s="62">
        <v>1</v>
      </c>
      <c r="AD29" s="48">
        <f t="shared" si="12"/>
        <v>0.52357580952380955</v>
      </c>
      <c r="AE29" s="100">
        <v>56.060800000000022</v>
      </c>
      <c r="AF29" s="67">
        <f t="shared" si="13"/>
        <v>5.6060800000000022</v>
      </c>
      <c r="AG29" s="61">
        <v>40</v>
      </c>
      <c r="AH29" s="62">
        <v>1</v>
      </c>
      <c r="AI29" s="48">
        <f t="shared" si="14"/>
        <v>0.14015200000000005</v>
      </c>
      <c r="AJ29" s="100">
        <v>25.227360000000012</v>
      </c>
      <c r="AK29" s="67">
        <f t="shared" si="15"/>
        <v>2.522736000000001</v>
      </c>
      <c r="AL29" s="61">
        <v>130</v>
      </c>
      <c r="AM29" s="62">
        <v>1</v>
      </c>
      <c r="AN29" s="60">
        <f t="shared" si="16"/>
        <v>1.9405661538461547E-2</v>
      </c>
      <c r="AO29" s="47">
        <f t="shared" si="17"/>
        <v>1</v>
      </c>
      <c r="AP29" s="100">
        <v>110.72591999999968</v>
      </c>
      <c r="AQ29" s="67">
        <f t="shared" si="18"/>
        <v>11.072591999999968</v>
      </c>
      <c r="AR29" s="61">
        <v>225</v>
      </c>
      <c r="AS29" s="62">
        <v>1</v>
      </c>
      <c r="AT29" s="49">
        <f t="shared" si="19"/>
        <v>4.9211519999999856E-2</v>
      </c>
      <c r="AU29" s="50">
        <f t="shared" si="20"/>
        <v>3.5</v>
      </c>
      <c r="AV29" s="100">
        <v>28.030400000000011</v>
      </c>
      <c r="AW29" s="67">
        <f t="shared" si="21"/>
        <v>2.8030400000000011</v>
      </c>
      <c r="AX29" s="51">
        <v>40</v>
      </c>
      <c r="AY29" s="62">
        <v>1</v>
      </c>
      <c r="AZ29" s="49">
        <f t="shared" si="22"/>
        <v>7.0076000000000027E-2</v>
      </c>
      <c r="BA29" s="100">
        <v>30.833440000000014</v>
      </c>
      <c r="BB29" s="67">
        <f t="shared" si="23"/>
        <v>3.0833440000000012</v>
      </c>
      <c r="BC29" s="61">
        <v>130</v>
      </c>
      <c r="BD29" s="62">
        <v>1</v>
      </c>
      <c r="BE29" s="60">
        <f t="shared" si="24"/>
        <v>2.3718030769230777E-2</v>
      </c>
      <c r="BF29" s="47">
        <f t="shared" si="25"/>
        <v>2</v>
      </c>
      <c r="BG29" s="33"/>
      <c r="BH29" s="33"/>
      <c r="BI29" s="52"/>
      <c r="BJ29" s="53"/>
      <c r="BK29" s="54"/>
      <c r="BL29" s="100">
        <v>105.67460800000003</v>
      </c>
      <c r="BM29" s="67">
        <f t="shared" si="26"/>
        <v>10.567460800000003</v>
      </c>
      <c r="BN29" s="51">
        <v>35</v>
      </c>
      <c r="BO29" s="62">
        <v>1</v>
      </c>
      <c r="BP29" s="60">
        <f t="shared" si="27"/>
        <v>0.30192745142857152</v>
      </c>
      <c r="BQ29" s="100">
        <v>17.939456000000007</v>
      </c>
      <c r="BR29" s="67">
        <f t="shared" si="28"/>
        <v>1.7939456000000007</v>
      </c>
      <c r="BS29" s="55">
        <v>3.4</v>
      </c>
      <c r="BT29" s="62">
        <v>1</v>
      </c>
      <c r="BU29" s="49">
        <f t="shared" si="29"/>
        <v>0.52763105882352968</v>
      </c>
      <c r="BV29" s="100">
        <v>96.144272000000029</v>
      </c>
      <c r="BW29" s="67">
        <f t="shared" si="30"/>
        <v>9.6144272000000033</v>
      </c>
      <c r="BX29" s="61">
        <v>125</v>
      </c>
      <c r="BY29" s="62">
        <v>1</v>
      </c>
      <c r="BZ29" s="60">
        <f t="shared" si="31"/>
        <v>7.6915417600000022E-2</v>
      </c>
      <c r="CA29" s="47">
        <f t="shared" si="32"/>
        <v>3</v>
      </c>
      <c r="CB29" s="56">
        <f t="shared" si="33"/>
        <v>6.5</v>
      </c>
      <c r="CC29" s="100">
        <v>52.674753999999794</v>
      </c>
      <c r="CD29" s="67">
        <f t="shared" si="34"/>
        <v>5.267475399999979</v>
      </c>
      <c r="CE29" s="61">
        <v>165</v>
      </c>
      <c r="CF29" s="62">
        <v>1</v>
      </c>
      <c r="CG29" s="49">
        <f t="shared" si="35"/>
        <v>3.1924093333333209E-2</v>
      </c>
      <c r="CH29" s="100">
        <v>73.164307999999707</v>
      </c>
      <c r="CI29" s="67">
        <f t="shared" si="36"/>
        <v>7.3164307999999707</v>
      </c>
      <c r="CJ29" s="61">
        <v>150</v>
      </c>
      <c r="CK29" s="62">
        <v>1</v>
      </c>
      <c r="CL29" s="49">
        <f t="shared" si="37"/>
        <v>4.8776205333333135E-2</v>
      </c>
      <c r="CM29" s="100">
        <v>440.10647999999821</v>
      </c>
      <c r="CN29" s="67">
        <f t="shared" si="38"/>
        <v>44.010647999999819</v>
      </c>
      <c r="CO29" s="51">
        <v>320</v>
      </c>
      <c r="CP29" s="62">
        <v>1</v>
      </c>
      <c r="CQ29" s="49">
        <f t="shared" si="39"/>
        <v>0.13753327499999943</v>
      </c>
      <c r="CR29" s="100">
        <v>1320.3194399999948</v>
      </c>
      <c r="CS29" s="67">
        <f t="shared" si="40"/>
        <v>132.03194399999947</v>
      </c>
      <c r="CT29" s="51">
        <v>8000</v>
      </c>
      <c r="CU29" s="62">
        <v>1</v>
      </c>
      <c r="CV29" s="49">
        <f t="shared" si="41"/>
        <v>1.6503992999999932E-2</v>
      </c>
      <c r="CW29" s="100">
        <v>880.21295999999643</v>
      </c>
      <c r="CX29" s="67">
        <f t="shared" si="42"/>
        <v>88.021295999999637</v>
      </c>
      <c r="CY29" s="51">
        <v>300</v>
      </c>
      <c r="CZ29" s="62">
        <v>1</v>
      </c>
      <c r="DA29" s="49">
        <f t="shared" si="43"/>
        <v>0.29340431999999877</v>
      </c>
      <c r="DB29" s="57">
        <f t="shared" si="44"/>
        <v>70.076000000000022</v>
      </c>
      <c r="DC29" s="67">
        <f t="shared" si="45"/>
        <v>7.0076000000000018</v>
      </c>
      <c r="DD29" s="58">
        <v>50</v>
      </c>
      <c r="DE29" s="62">
        <v>1</v>
      </c>
      <c r="DF29" s="49">
        <f t="shared" si="46"/>
        <v>0.14015200000000003</v>
      </c>
      <c r="DG29" s="59">
        <f t="shared" si="47"/>
        <v>1</v>
      </c>
      <c r="DH29" s="94">
        <f t="shared" si="48"/>
        <v>3.5</v>
      </c>
      <c r="DI29" s="94">
        <f t="shared" si="49"/>
        <v>6.5</v>
      </c>
      <c r="DJ29" s="94">
        <f t="shared" si="50"/>
        <v>1</v>
      </c>
      <c r="DK29" s="96">
        <f t="shared" si="57"/>
        <v>11</v>
      </c>
      <c r="DL29" s="28">
        <f t="shared" si="51"/>
        <v>10</v>
      </c>
      <c r="DM29" s="94">
        <f t="shared" si="52"/>
        <v>110</v>
      </c>
      <c r="DN29" s="117">
        <f t="shared" si="53"/>
        <v>111</v>
      </c>
      <c r="DO29" s="117"/>
      <c r="DP29" s="44">
        <f t="shared" si="54"/>
        <v>5.78125</v>
      </c>
      <c r="DQ29" s="26"/>
      <c r="DR29" s="26"/>
      <c r="DS29" s="26"/>
      <c r="DT29" s="26"/>
      <c r="DU29" s="26"/>
    </row>
    <row r="30" spans="2:125" s="1" customFormat="1" ht="17.25" customHeight="1">
      <c r="B30" s="109">
        <v>22</v>
      </c>
      <c r="C30" s="108" t="s">
        <v>113</v>
      </c>
      <c r="D30" s="99" t="s">
        <v>114</v>
      </c>
      <c r="E30" s="99" t="s">
        <v>63</v>
      </c>
      <c r="F30" s="64" t="s">
        <v>127</v>
      </c>
      <c r="G30" s="64" t="s">
        <v>18</v>
      </c>
      <c r="H30" s="63"/>
      <c r="I30" s="98">
        <v>7604.6610000000001</v>
      </c>
      <c r="J30" s="98">
        <v>7660.7340000000004</v>
      </c>
      <c r="K30" s="45">
        <f t="shared" si="55"/>
        <v>56.07300000000032</v>
      </c>
      <c r="L30" s="45" t="s">
        <v>47</v>
      </c>
      <c r="M30" s="71">
        <v>8</v>
      </c>
      <c r="N30" s="45">
        <f t="shared" si="56"/>
        <v>7.00912500000004</v>
      </c>
      <c r="O30" s="48">
        <v>1</v>
      </c>
      <c r="P30" s="100">
        <v>84.670230000000487</v>
      </c>
      <c r="Q30" s="67">
        <f t="shared" si="7"/>
        <v>10.583778750000061</v>
      </c>
      <c r="R30" s="46">
        <v>53.9</v>
      </c>
      <c r="S30" s="62">
        <v>1</v>
      </c>
      <c r="T30" s="48">
        <f t="shared" si="8"/>
        <v>0.1963595315398898</v>
      </c>
      <c r="U30" s="100">
        <v>309.52296000000177</v>
      </c>
      <c r="V30" s="67">
        <f t="shared" si="9"/>
        <v>38.690370000000222</v>
      </c>
      <c r="W30" s="75">
        <v>190</v>
      </c>
      <c r="X30" s="62">
        <v>1</v>
      </c>
      <c r="Y30" s="48">
        <f t="shared" si="10"/>
        <v>0.20363352631579065</v>
      </c>
      <c r="Z30" s="100">
        <v>75.137820000000431</v>
      </c>
      <c r="AA30" s="67">
        <f t="shared" si="11"/>
        <v>9.3922275000000539</v>
      </c>
      <c r="AB30" s="61">
        <v>42</v>
      </c>
      <c r="AC30" s="62">
        <v>1</v>
      </c>
      <c r="AD30" s="48">
        <f t="shared" si="12"/>
        <v>0.52362446428571552</v>
      </c>
      <c r="AE30" s="100">
        <v>44.858400000000259</v>
      </c>
      <c r="AF30" s="67">
        <f t="shared" si="13"/>
        <v>5.6073000000000324</v>
      </c>
      <c r="AG30" s="61">
        <v>40</v>
      </c>
      <c r="AH30" s="62">
        <v>1</v>
      </c>
      <c r="AI30" s="48">
        <f t="shared" si="14"/>
        <v>0.14018250000000082</v>
      </c>
      <c r="AJ30" s="100">
        <v>20.186280000000117</v>
      </c>
      <c r="AK30" s="67">
        <f t="shared" si="15"/>
        <v>2.5232850000000147</v>
      </c>
      <c r="AL30" s="61">
        <v>130</v>
      </c>
      <c r="AM30" s="62">
        <v>1</v>
      </c>
      <c r="AN30" s="60">
        <f t="shared" si="16"/>
        <v>1.9409884615384728E-2</v>
      </c>
      <c r="AO30" s="47">
        <f t="shared" si="17"/>
        <v>1</v>
      </c>
      <c r="AP30" s="100">
        <v>63.92322000000037</v>
      </c>
      <c r="AQ30" s="67">
        <f t="shared" si="18"/>
        <v>7.9904025000000463</v>
      </c>
      <c r="AR30" s="61">
        <v>225</v>
      </c>
      <c r="AS30" s="62">
        <v>1</v>
      </c>
      <c r="AT30" s="49">
        <f t="shared" si="19"/>
        <v>3.5512900000000208E-2</v>
      </c>
      <c r="AU30" s="50">
        <f t="shared" si="20"/>
        <v>3.5</v>
      </c>
      <c r="AV30" s="100">
        <v>22.429200000000129</v>
      </c>
      <c r="AW30" s="67">
        <f t="shared" si="21"/>
        <v>2.8036500000000162</v>
      </c>
      <c r="AX30" s="51">
        <v>40</v>
      </c>
      <c r="AY30" s="62">
        <v>1</v>
      </c>
      <c r="AZ30" s="49">
        <f t="shared" si="22"/>
        <v>7.009125000000041E-2</v>
      </c>
      <c r="BA30" s="100">
        <v>24.672120000000145</v>
      </c>
      <c r="BB30" s="67">
        <f t="shared" si="23"/>
        <v>3.0840150000000182</v>
      </c>
      <c r="BC30" s="61">
        <v>130</v>
      </c>
      <c r="BD30" s="62">
        <v>1</v>
      </c>
      <c r="BE30" s="60">
        <f t="shared" si="24"/>
        <v>2.3723192307692448E-2</v>
      </c>
      <c r="BF30" s="47">
        <f t="shared" si="25"/>
        <v>2</v>
      </c>
      <c r="BG30" s="33"/>
      <c r="BH30" s="33"/>
      <c r="BI30" s="52"/>
      <c r="BJ30" s="53"/>
      <c r="BK30" s="54"/>
      <c r="BL30" s="100">
        <v>84.558084000000477</v>
      </c>
      <c r="BM30" s="67">
        <f t="shared" si="26"/>
        <v>10.56976050000006</v>
      </c>
      <c r="BN30" s="51">
        <v>35</v>
      </c>
      <c r="BO30" s="62">
        <v>1</v>
      </c>
      <c r="BP30" s="60">
        <f t="shared" si="27"/>
        <v>0.30199315714285885</v>
      </c>
      <c r="BQ30" s="100">
        <v>14.354688000000083</v>
      </c>
      <c r="BR30" s="67">
        <f t="shared" si="28"/>
        <v>1.7943360000000104</v>
      </c>
      <c r="BS30" s="55">
        <v>3.4</v>
      </c>
      <c r="BT30" s="62">
        <v>1</v>
      </c>
      <c r="BU30" s="49">
        <f t="shared" si="29"/>
        <v>0.52774588235294428</v>
      </c>
      <c r="BV30" s="100">
        <v>76.932156000000447</v>
      </c>
      <c r="BW30" s="67">
        <f t="shared" si="30"/>
        <v>9.6165195000000558</v>
      </c>
      <c r="BX30" s="61">
        <v>125</v>
      </c>
      <c r="BY30" s="62">
        <v>1</v>
      </c>
      <c r="BZ30" s="60">
        <f t="shared" si="31"/>
        <v>7.6932156000000446E-2</v>
      </c>
      <c r="CA30" s="47">
        <f t="shared" si="32"/>
        <v>3</v>
      </c>
      <c r="CB30" s="56">
        <f t="shared" si="33"/>
        <v>6.5</v>
      </c>
      <c r="CC30" s="100">
        <v>27.700062000000159</v>
      </c>
      <c r="CD30" s="67">
        <f t="shared" si="34"/>
        <v>3.4625077500000199</v>
      </c>
      <c r="CE30" s="61">
        <v>165</v>
      </c>
      <c r="CF30" s="62">
        <v>1</v>
      </c>
      <c r="CG30" s="49">
        <f t="shared" si="35"/>
        <v>2.0984895454545575E-2</v>
      </c>
      <c r="CH30" s="100">
        <v>37.568910000000216</v>
      </c>
      <c r="CI30" s="67">
        <f t="shared" si="36"/>
        <v>4.696113750000027</v>
      </c>
      <c r="CJ30" s="61">
        <v>150</v>
      </c>
      <c r="CK30" s="62">
        <v>1</v>
      </c>
      <c r="CL30" s="49">
        <f t="shared" si="37"/>
        <v>3.130742500000018E-2</v>
      </c>
      <c r="CM30" s="100">
        <v>228.77784000000131</v>
      </c>
      <c r="CN30" s="67">
        <f t="shared" si="38"/>
        <v>28.597230000000163</v>
      </c>
      <c r="CO30" s="51">
        <v>320</v>
      </c>
      <c r="CP30" s="62">
        <v>1</v>
      </c>
      <c r="CQ30" s="49">
        <f t="shared" si="39"/>
        <v>8.9366343750000507E-2</v>
      </c>
      <c r="CR30" s="100">
        <v>686.33352000000389</v>
      </c>
      <c r="CS30" s="67">
        <f t="shared" si="40"/>
        <v>85.791690000000486</v>
      </c>
      <c r="CT30" s="51">
        <v>8000</v>
      </c>
      <c r="CU30" s="62">
        <v>1</v>
      </c>
      <c r="CV30" s="49">
        <f t="shared" si="41"/>
        <v>1.0723961250000061E-2</v>
      </c>
      <c r="CW30" s="100">
        <v>457.55568000000261</v>
      </c>
      <c r="CX30" s="67">
        <f t="shared" si="42"/>
        <v>57.194460000000326</v>
      </c>
      <c r="CY30" s="51">
        <v>300</v>
      </c>
      <c r="CZ30" s="62">
        <v>1</v>
      </c>
      <c r="DA30" s="49">
        <f t="shared" si="43"/>
        <v>0.1906482000000011</v>
      </c>
      <c r="DB30" s="57">
        <f t="shared" si="44"/>
        <v>56.07300000000032</v>
      </c>
      <c r="DC30" s="67">
        <f t="shared" si="45"/>
        <v>7.00912500000004</v>
      </c>
      <c r="DD30" s="58">
        <v>50</v>
      </c>
      <c r="DE30" s="62">
        <v>1</v>
      </c>
      <c r="DF30" s="49">
        <f t="shared" si="46"/>
        <v>0.14018250000000079</v>
      </c>
      <c r="DG30" s="59">
        <f t="shared" si="47"/>
        <v>0.5</v>
      </c>
      <c r="DH30" s="94">
        <f t="shared" si="48"/>
        <v>3.5</v>
      </c>
      <c r="DI30" s="94">
        <f t="shared" si="49"/>
        <v>6.5</v>
      </c>
      <c r="DJ30" s="94">
        <f t="shared" si="50"/>
        <v>0.5</v>
      </c>
      <c r="DK30" s="96">
        <f t="shared" si="57"/>
        <v>11</v>
      </c>
      <c r="DL30" s="28">
        <f t="shared" si="51"/>
        <v>8</v>
      </c>
      <c r="DM30" s="94">
        <f t="shared" si="52"/>
        <v>88</v>
      </c>
      <c r="DN30" s="117">
        <f t="shared" si="53"/>
        <v>89</v>
      </c>
      <c r="DO30" s="117"/>
      <c r="DP30" s="44">
        <f t="shared" si="54"/>
        <v>4.635416666666667</v>
      </c>
      <c r="DQ30" s="26"/>
      <c r="DR30" s="26"/>
      <c r="DS30" s="26"/>
      <c r="DT30" s="26"/>
      <c r="DU30" s="26"/>
    </row>
    <row r="31" spans="2:125" s="1" customFormat="1" ht="17.25" customHeight="1">
      <c r="B31" s="109">
        <v>23</v>
      </c>
      <c r="C31" s="108" t="s">
        <v>115</v>
      </c>
      <c r="D31" s="99" t="s">
        <v>116</v>
      </c>
      <c r="E31" s="99"/>
      <c r="F31" s="64" t="s">
        <v>70</v>
      </c>
      <c r="G31" s="64" t="s">
        <v>18</v>
      </c>
      <c r="H31" s="63">
        <v>62</v>
      </c>
      <c r="I31" s="98">
        <v>8059.1689999999999</v>
      </c>
      <c r="J31" s="98">
        <v>8110.5940000000001</v>
      </c>
      <c r="K31" s="45">
        <f t="shared" si="55"/>
        <v>51.425000000000182</v>
      </c>
      <c r="L31" s="45" t="s">
        <v>47</v>
      </c>
      <c r="M31" s="71">
        <v>7</v>
      </c>
      <c r="N31" s="45">
        <f t="shared" si="56"/>
        <v>7.3464285714285973</v>
      </c>
      <c r="O31" s="48">
        <v>1</v>
      </c>
      <c r="P31" s="100">
        <v>77.651750000000277</v>
      </c>
      <c r="Q31" s="67">
        <f t="shared" si="7"/>
        <v>11.093107142857182</v>
      </c>
      <c r="R31" s="46">
        <v>53.9</v>
      </c>
      <c r="S31" s="62">
        <v>1</v>
      </c>
      <c r="T31" s="48">
        <f t="shared" si="8"/>
        <v>0.20580903790087537</v>
      </c>
      <c r="U31" s="100">
        <v>283.86600000000101</v>
      </c>
      <c r="V31" s="67">
        <f t="shared" si="9"/>
        <v>40.552285714285858</v>
      </c>
      <c r="W31" s="75">
        <v>190</v>
      </c>
      <c r="X31" s="62">
        <v>1</v>
      </c>
      <c r="Y31" s="48">
        <f t="shared" si="10"/>
        <v>0.21343308270676767</v>
      </c>
      <c r="Z31" s="100">
        <v>68.90950000000025</v>
      </c>
      <c r="AA31" s="67">
        <f t="shared" si="11"/>
        <v>9.8442142857143207</v>
      </c>
      <c r="AB31" s="61">
        <v>42</v>
      </c>
      <c r="AC31" s="62">
        <v>1</v>
      </c>
      <c r="AD31" s="48">
        <f t="shared" si="12"/>
        <v>0.53438605442176956</v>
      </c>
      <c r="AE31" s="100">
        <v>41.14000000000015</v>
      </c>
      <c r="AF31" s="67">
        <f t="shared" si="13"/>
        <v>5.8771428571428785</v>
      </c>
      <c r="AG31" s="61">
        <v>40</v>
      </c>
      <c r="AH31" s="62">
        <v>1</v>
      </c>
      <c r="AI31" s="48">
        <f t="shared" si="14"/>
        <v>0.14692857142857196</v>
      </c>
      <c r="AJ31" s="100">
        <v>18.513000000000069</v>
      </c>
      <c r="AK31" s="67">
        <f t="shared" si="15"/>
        <v>2.6447142857142958</v>
      </c>
      <c r="AL31" s="61">
        <v>130</v>
      </c>
      <c r="AM31" s="62">
        <v>1</v>
      </c>
      <c r="AN31" s="60">
        <f t="shared" si="16"/>
        <v>2.034395604395612E-2</v>
      </c>
      <c r="AO31" s="47">
        <f t="shared" si="17"/>
        <v>1</v>
      </c>
      <c r="AP31" s="100">
        <v>58.624500000000211</v>
      </c>
      <c r="AQ31" s="67">
        <f t="shared" si="18"/>
        <v>8.374928571428601</v>
      </c>
      <c r="AR31" s="61">
        <v>225</v>
      </c>
      <c r="AS31" s="62">
        <v>1</v>
      </c>
      <c r="AT31" s="49">
        <f t="shared" si="19"/>
        <v>3.7221904761904893E-2</v>
      </c>
      <c r="AU31" s="50">
        <f t="shared" si="20"/>
        <v>3.5</v>
      </c>
      <c r="AV31" s="100">
        <v>20.570000000000075</v>
      </c>
      <c r="AW31" s="67">
        <f t="shared" si="21"/>
        <v>2.9385714285714393</v>
      </c>
      <c r="AX31" s="51">
        <v>40</v>
      </c>
      <c r="AY31" s="62">
        <v>1</v>
      </c>
      <c r="AZ31" s="49">
        <f t="shared" si="22"/>
        <v>7.3464285714285982E-2</v>
      </c>
      <c r="BA31" s="100">
        <v>22.627000000000084</v>
      </c>
      <c r="BB31" s="67">
        <f t="shared" si="23"/>
        <v>3.2324285714285836</v>
      </c>
      <c r="BC31" s="61">
        <v>130</v>
      </c>
      <c r="BD31" s="62">
        <v>1</v>
      </c>
      <c r="BE31" s="60">
        <f t="shared" si="24"/>
        <v>2.4864835164835258E-2</v>
      </c>
      <c r="BF31" s="47">
        <f t="shared" si="25"/>
        <v>2</v>
      </c>
      <c r="BG31" s="33"/>
      <c r="BH31" s="33"/>
      <c r="BI31" s="52"/>
      <c r="BJ31" s="53"/>
      <c r="BK31" s="54"/>
      <c r="BL31" s="100">
        <v>77.548900000000273</v>
      </c>
      <c r="BM31" s="67">
        <f t="shared" si="26"/>
        <v>11.078414285714326</v>
      </c>
      <c r="BN31" s="51">
        <v>35</v>
      </c>
      <c r="BO31" s="62">
        <v>1</v>
      </c>
      <c r="BP31" s="60">
        <f t="shared" si="27"/>
        <v>0.31652612244898071</v>
      </c>
      <c r="BQ31" s="100">
        <v>13.164800000000048</v>
      </c>
      <c r="BR31" s="67">
        <f t="shared" si="28"/>
        <v>1.8806857142857212</v>
      </c>
      <c r="BS31" s="55">
        <v>3.4</v>
      </c>
      <c r="BT31" s="62">
        <v>1</v>
      </c>
      <c r="BU31" s="49">
        <f t="shared" si="29"/>
        <v>0.55314285714285916</v>
      </c>
      <c r="BV31" s="100">
        <v>70.555100000000252</v>
      </c>
      <c r="BW31" s="67">
        <f t="shared" si="30"/>
        <v>10.079300000000035</v>
      </c>
      <c r="BX31" s="61">
        <v>125</v>
      </c>
      <c r="BY31" s="62">
        <v>1</v>
      </c>
      <c r="BZ31" s="60">
        <f t="shared" si="31"/>
        <v>8.0634400000000286E-2</v>
      </c>
      <c r="CA31" s="47">
        <f t="shared" si="32"/>
        <v>3</v>
      </c>
      <c r="CB31" s="56">
        <f t="shared" si="33"/>
        <v>6.5</v>
      </c>
      <c r="CC31" s="100">
        <v>25.403950000000091</v>
      </c>
      <c r="CD31" s="67">
        <f t="shared" si="34"/>
        <v>3.6291357142857272</v>
      </c>
      <c r="CE31" s="61">
        <v>165</v>
      </c>
      <c r="CF31" s="62">
        <v>1</v>
      </c>
      <c r="CG31" s="49">
        <f t="shared" si="35"/>
        <v>2.1994761904761982E-2</v>
      </c>
      <c r="CH31" s="100">
        <v>34.454750000000125</v>
      </c>
      <c r="CI31" s="67">
        <f t="shared" si="36"/>
        <v>4.9221071428571603</v>
      </c>
      <c r="CJ31" s="61">
        <v>150</v>
      </c>
      <c r="CK31" s="62">
        <v>1</v>
      </c>
      <c r="CL31" s="49">
        <f t="shared" si="37"/>
        <v>3.2814047619047736E-2</v>
      </c>
      <c r="CM31" s="100">
        <v>209.81400000000073</v>
      </c>
      <c r="CN31" s="67">
        <f t="shared" si="38"/>
        <v>29.973428571428677</v>
      </c>
      <c r="CO31" s="51">
        <v>320</v>
      </c>
      <c r="CP31" s="62">
        <v>1</v>
      </c>
      <c r="CQ31" s="49">
        <f t="shared" si="39"/>
        <v>9.366696428571461E-2</v>
      </c>
      <c r="CR31" s="100">
        <v>629.44200000000217</v>
      </c>
      <c r="CS31" s="67">
        <f t="shared" si="40"/>
        <v>89.920285714286024</v>
      </c>
      <c r="CT31" s="51">
        <v>8000</v>
      </c>
      <c r="CU31" s="62">
        <v>1</v>
      </c>
      <c r="CV31" s="49">
        <f t="shared" si="41"/>
        <v>1.1240035714285753E-2</v>
      </c>
      <c r="CW31" s="100">
        <v>419.62800000000146</v>
      </c>
      <c r="CX31" s="67">
        <f t="shared" si="42"/>
        <v>59.946857142857354</v>
      </c>
      <c r="CY31" s="51">
        <v>300</v>
      </c>
      <c r="CZ31" s="62">
        <v>1</v>
      </c>
      <c r="DA31" s="49">
        <f t="shared" si="43"/>
        <v>0.19982285714285786</v>
      </c>
      <c r="DB31" s="57">
        <f t="shared" si="44"/>
        <v>51.425000000000182</v>
      </c>
      <c r="DC31" s="67">
        <f t="shared" si="45"/>
        <v>7.3464285714285973</v>
      </c>
      <c r="DD31" s="58">
        <v>50</v>
      </c>
      <c r="DE31" s="62">
        <v>1</v>
      </c>
      <c r="DF31" s="49">
        <f t="shared" si="46"/>
        <v>0.14692857142857194</v>
      </c>
      <c r="DG31" s="59">
        <f t="shared" si="47"/>
        <v>1</v>
      </c>
      <c r="DH31" s="94">
        <f t="shared" si="48"/>
        <v>3.5</v>
      </c>
      <c r="DI31" s="94">
        <f t="shared" si="49"/>
        <v>6.5</v>
      </c>
      <c r="DJ31" s="94">
        <f t="shared" si="50"/>
        <v>1</v>
      </c>
      <c r="DK31" s="96">
        <f t="shared" si="57"/>
        <v>11</v>
      </c>
      <c r="DL31" s="28">
        <f t="shared" si="51"/>
        <v>7</v>
      </c>
      <c r="DM31" s="94">
        <f t="shared" si="52"/>
        <v>77</v>
      </c>
      <c r="DN31" s="117">
        <f t="shared" si="53"/>
        <v>78</v>
      </c>
      <c r="DO31" s="117"/>
      <c r="DP31" s="44">
        <f t="shared" si="54"/>
        <v>4.0625</v>
      </c>
      <c r="DQ31" s="26"/>
      <c r="DR31" s="26"/>
      <c r="DS31" s="26"/>
      <c r="DT31" s="26"/>
      <c r="DU31" s="26"/>
    </row>
    <row r="32" spans="2:125" s="1" customFormat="1" ht="17.25" customHeight="1">
      <c r="B32" s="109">
        <v>24</v>
      </c>
      <c r="C32" s="108" t="s">
        <v>117</v>
      </c>
      <c r="D32" s="99" t="s">
        <v>118</v>
      </c>
      <c r="E32" s="99" t="s">
        <v>63</v>
      </c>
      <c r="F32" s="64" t="s">
        <v>70</v>
      </c>
      <c r="G32" s="64" t="s">
        <v>18</v>
      </c>
      <c r="H32" s="63"/>
      <c r="I32" s="98">
        <v>8345.1409999999996</v>
      </c>
      <c r="J32" s="98">
        <v>8381.7090000000007</v>
      </c>
      <c r="K32" s="45">
        <f t="shared" si="55"/>
        <v>36.56800000000112</v>
      </c>
      <c r="L32" s="45" t="s">
        <v>47</v>
      </c>
      <c r="M32" s="71">
        <v>6</v>
      </c>
      <c r="N32" s="45">
        <f t="shared" si="56"/>
        <v>6.0946666666668534</v>
      </c>
      <c r="O32" s="48">
        <v>1</v>
      </c>
      <c r="P32" s="100">
        <v>55.217680000001693</v>
      </c>
      <c r="Q32" s="67">
        <f t="shared" si="7"/>
        <v>9.2029466666669482</v>
      </c>
      <c r="R32" s="46">
        <v>53.9</v>
      </c>
      <c r="S32" s="62">
        <v>1</v>
      </c>
      <c r="T32" s="48">
        <f t="shared" si="8"/>
        <v>0.17074112554113077</v>
      </c>
      <c r="U32" s="100">
        <v>201.85536000000619</v>
      </c>
      <c r="V32" s="67">
        <f t="shared" si="9"/>
        <v>33.642560000001033</v>
      </c>
      <c r="W32" s="75">
        <v>190</v>
      </c>
      <c r="X32" s="62">
        <v>1</v>
      </c>
      <c r="Y32" s="48">
        <f t="shared" si="10"/>
        <v>0.17706610526316333</v>
      </c>
      <c r="Z32" s="100">
        <v>49.001120000001507</v>
      </c>
      <c r="AA32" s="67">
        <f t="shared" si="11"/>
        <v>8.1668533333335844</v>
      </c>
      <c r="AB32" s="61">
        <v>42</v>
      </c>
      <c r="AC32" s="62">
        <v>1</v>
      </c>
      <c r="AD32" s="48">
        <f t="shared" si="12"/>
        <v>0.49444888888889482</v>
      </c>
      <c r="AE32" s="100">
        <v>29.254400000000899</v>
      </c>
      <c r="AF32" s="67">
        <f t="shared" si="13"/>
        <v>4.8757333333334829</v>
      </c>
      <c r="AG32" s="61">
        <v>40</v>
      </c>
      <c r="AH32" s="62">
        <v>1</v>
      </c>
      <c r="AI32" s="48">
        <f t="shared" si="14"/>
        <v>0.12189333333333707</v>
      </c>
      <c r="AJ32" s="100">
        <v>13.164480000000404</v>
      </c>
      <c r="AK32" s="67">
        <f t="shared" si="15"/>
        <v>2.1940800000000675</v>
      </c>
      <c r="AL32" s="61">
        <v>130</v>
      </c>
      <c r="AM32" s="62">
        <v>1</v>
      </c>
      <c r="AN32" s="60">
        <f t="shared" si="16"/>
        <v>1.6877538461538982E-2</v>
      </c>
      <c r="AO32" s="47">
        <f t="shared" si="17"/>
        <v>1</v>
      </c>
      <c r="AP32" s="100">
        <v>41.687520000001285</v>
      </c>
      <c r="AQ32" s="67">
        <f t="shared" si="18"/>
        <v>6.9479200000002139</v>
      </c>
      <c r="AR32" s="61">
        <v>225</v>
      </c>
      <c r="AS32" s="62">
        <v>1</v>
      </c>
      <c r="AT32" s="49">
        <f t="shared" si="19"/>
        <v>3.0879644444445395E-2</v>
      </c>
      <c r="AU32" s="50">
        <f t="shared" si="20"/>
        <v>3.5</v>
      </c>
      <c r="AV32" s="100">
        <v>14.62720000000045</v>
      </c>
      <c r="AW32" s="67">
        <f t="shared" si="21"/>
        <v>2.4378666666667415</v>
      </c>
      <c r="AX32" s="51">
        <v>40</v>
      </c>
      <c r="AY32" s="62">
        <v>1</v>
      </c>
      <c r="AZ32" s="49">
        <f t="shared" si="22"/>
        <v>6.0946666666668536E-2</v>
      </c>
      <c r="BA32" s="100">
        <v>16.089920000000497</v>
      </c>
      <c r="BB32" s="67">
        <f t="shared" si="23"/>
        <v>2.6816533333334163</v>
      </c>
      <c r="BC32" s="61">
        <v>130</v>
      </c>
      <c r="BD32" s="62">
        <v>1</v>
      </c>
      <c r="BE32" s="60">
        <f t="shared" si="24"/>
        <v>2.0628102564103201E-2</v>
      </c>
      <c r="BF32" s="47">
        <f t="shared" si="25"/>
        <v>2</v>
      </c>
      <c r="BG32" s="33"/>
      <c r="BH32" s="33"/>
      <c r="BI32" s="52"/>
      <c r="BJ32" s="53"/>
      <c r="BK32" s="54"/>
      <c r="BL32" s="100">
        <v>55.144544000001687</v>
      </c>
      <c r="BM32" s="67">
        <f t="shared" si="26"/>
        <v>9.1907573333336146</v>
      </c>
      <c r="BN32" s="51">
        <v>35</v>
      </c>
      <c r="BO32" s="62">
        <v>1</v>
      </c>
      <c r="BP32" s="60">
        <f t="shared" si="27"/>
        <v>0.2625930666666747</v>
      </c>
      <c r="BQ32" s="100">
        <v>9.3614080000002868</v>
      </c>
      <c r="BR32" s="67">
        <f t="shared" si="28"/>
        <v>1.5602346666667144</v>
      </c>
      <c r="BS32" s="55">
        <v>3.4</v>
      </c>
      <c r="BT32" s="62">
        <v>1</v>
      </c>
      <c r="BU32" s="49">
        <f t="shared" si="29"/>
        <v>0.4588925490196219</v>
      </c>
      <c r="BV32" s="100">
        <v>50.17129600000154</v>
      </c>
      <c r="BW32" s="67">
        <f t="shared" si="30"/>
        <v>8.3618826666669239</v>
      </c>
      <c r="BX32" s="61">
        <v>125</v>
      </c>
      <c r="BY32" s="62">
        <v>1</v>
      </c>
      <c r="BZ32" s="60">
        <f t="shared" si="31"/>
        <v>6.6895061333335393E-2</v>
      </c>
      <c r="CA32" s="47">
        <f t="shared" si="32"/>
        <v>3</v>
      </c>
      <c r="CB32" s="56">
        <f t="shared" si="33"/>
        <v>6</v>
      </c>
      <c r="CC32" s="100">
        <v>18.064592000000552</v>
      </c>
      <c r="CD32" s="67">
        <f t="shared" si="34"/>
        <v>3.0107653333334254</v>
      </c>
      <c r="CE32" s="61">
        <v>165</v>
      </c>
      <c r="CF32" s="62">
        <v>1</v>
      </c>
      <c r="CG32" s="49">
        <f t="shared" si="35"/>
        <v>1.8247062626263185E-2</v>
      </c>
      <c r="CH32" s="100">
        <v>24.500560000000753</v>
      </c>
      <c r="CI32" s="67">
        <f t="shared" si="36"/>
        <v>4.0834266666667922</v>
      </c>
      <c r="CJ32" s="61">
        <v>150</v>
      </c>
      <c r="CK32" s="62">
        <v>1</v>
      </c>
      <c r="CL32" s="49">
        <f t="shared" si="37"/>
        <v>2.7222844444445282E-2</v>
      </c>
      <c r="CM32" s="100">
        <v>149.19744000000458</v>
      </c>
      <c r="CN32" s="67">
        <f t="shared" si="38"/>
        <v>24.866240000000762</v>
      </c>
      <c r="CO32" s="51">
        <v>320</v>
      </c>
      <c r="CP32" s="62">
        <v>1</v>
      </c>
      <c r="CQ32" s="49">
        <f t="shared" si="39"/>
        <v>7.7707000000002385E-2</v>
      </c>
      <c r="CR32" s="100">
        <v>447.59232000001373</v>
      </c>
      <c r="CS32" s="67">
        <f t="shared" si="40"/>
        <v>74.598720000002288</v>
      </c>
      <c r="CT32" s="51">
        <v>8000</v>
      </c>
      <c r="CU32" s="62">
        <v>1</v>
      </c>
      <c r="CV32" s="49">
        <f t="shared" si="41"/>
        <v>9.3248400000002854E-3</v>
      </c>
      <c r="CW32" s="100">
        <v>298.39488000000915</v>
      </c>
      <c r="CX32" s="67">
        <f t="shared" si="42"/>
        <v>49.732480000001523</v>
      </c>
      <c r="CY32" s="51">
        <v>300</v>
      </c>
      <c r="CZ32" s="62">
        <v>1</v>
      </c>
      <c r="DA32" s="49">
        <f t="shared" si="43"/>
        <v>0.1657749333333384</v>
      </c>
      <c r="DB32" s="57">
        <f t="shared" si="44"/>
        <v>36.56800000000112</v>
      </c>
      <c r="DC32" s="67">
        <f t="shared" si="45"/>
        <v>6.0946666666668534</v>
      </c>
      <c r="DD32" s="58">
        <v>50</v>
      </c>
      <c r="DE32" s="62">
        <v>1</v>
      </c>
      <c r="DF32" s="49">
        <f t="shared" si="46"/>
        <v>0.12189333333333707</v>
      </c>
      <c r="DG32" s="59">
        <f t="shared" si="47"/>
        <v>0.5</v>
      </c>
      <c r="DH32" s="94">
        <f t="shared" si="48"/>
        <v>3.5</v>
      </c>
      <c r="DI32" s="94">
        <f t="shared" si="49"/>
        <v>6</v>
      </c>
      <c r="DJ32" s="94">
        <f t="shared" si="50"/>
        <v>0.5</v>
      </c>
      <c r="DK32" s="96">
        <f t="shared" si="57"/>
        <v>10</v>
      </c>
      <c r="DL32" s="28">
        <f t="shared" si="51"/>
        <v>6</v>
      </c>
      <c r="DM32" s="94">
        <f t="shared" si="52"/>
        <v>60</v>
      </c>
      <c r="DN32" s="117">
        <f t="shared" si="53"/>
        <v>61</v>
      </c>
      <c r="DO32" s="117"/>
      <c r="DP32" s="44">
        <f t="shared" si="54"/>
        <v>3.1770833333333335</v>
      </c>
      <c r="DQ32" s="26"/>
      <c r="DR32" s="26"/>
      <c r="DS32" s="26"/>
      <c r="DT32" s="26"/>
      <c r="DU32" s="26"/>
    </row>
    <row r="33" spans="2:125" s="1" customFormat="1" ht="17.25" customHeight="1">
      <c r="B33" s="109">
        <v>25</v>
      </c>
      <c r="C33" s="108" t="s">
        <v>119</v>
      </c>
      <c r="D33" s="99" t="s">
        <v>120</v>
      </c>
      <c r="E33" s="99" t="s">
        <v>63</v>
      </c>
      <c r="F33" s="64" t="s">
        <v>70</v>
      </c>
      <c r="G33" s="64" t="s">
        <v>18</v>
      </c>
      <c r="H33" s="63"/>
      <c r="I33" s="98">
        <v>8667.2330000000002</v>
      </c>
      <c r="J33" s="98">
        <v>8703.7469999999994</v>
      </c>
      <c r="K33" s="45">
        <f t="shared" si="55"/>
        <v>36.513999999999214</v>
      </c>
      <c r="L33" s="45" t="s">
        <v>47</v>
      </c>
      <c r="M33" s="71">
        <v>6</v>
      </c>
      <c r="N33" s="45">
        <f t="shared" si="56"/>
        <v>6.085666666666536</v>
      </c>
      <c r="O33" s="48">
        <v>1</v>
      </c>
      <c r="P33" s="100">
        <v>55.136139999998811</v>
      </c>
      <c r="Q33" s="67">
        <f t="shared" si="7"/>
        <v>9.1893566666664679</v>
      </c>
      <c r="R33" s="46">
        <v>53.9</v>
      </c>
      <c r="S33" s="62">
        <v>1</v>
      </c>
      <c r="T33" s="48">
        <f t="shared" si="8"/>
        <v>0.17048899196041684</v>
      </c>
      <c r="U33" s="100">
        <v>201.55727999999567</v>
      </c>
      <c r="V33" s="67">
        <f t="shared" si="9"/>
        <v>33.592879999999276</v>
      </c>
      <c r="W33" s="75">
        <v>190</v>
      </c>
      <c r="X33" s="62">
        <v>1</v>
      </c>
      <c r="Y33" s="48">
        <f t="shared" si="10"/>
        <v>0.17680463157894355</v>
      </c>
      <c r="Z33" s="100">
        <v>48.928759999998952</v>
      </c>
      <c r="AA33" s="67">
        <f t="shared" si="11"/>
        <v>8.1547933333331581</v>
      </c>
      <c r="AB33" s="61">
        <v>42</v>
      </c>
      <c r="AC33" s="62">
        <v>1</v>
      </c>
      <c r="AD33" s="48">
        <f t="shared" si="12"/>
        <v>0.49416174603174184</v>
      </c>
      <c r="AE33" s="100">
        <v>29.211199999999373</v>
      </c>
      <c r="AF33" s="67">
        <f t="shared" si="13"/>
        <v>4.8685333333332288</v>
      </c>
      <c r="AG33" s="61">
        <v>40</v>
      </c>
      <c r="AH33" s="62">
        <v>1</v>
      </c>
      <c r="AI33" s="48">
        <f t="shared" si="14"/>
        <v>0.12171333333333072</v>
      </c>
      <c r="AJ33" s="100">
        <v>13.145039999999719</v>
      </c>
      <c r="AK33" s="67">
        <f t="shared" si="15"/>
        <v>2.190839999999953</v>
      </c>
      <c r="AL33" s="61">
        <v>130</v>
      </c>
      <c r="AM33" s="62">
        <v>1</v>
      </c>
      <c r="AN33" s="60">
        <f t="shared" si="16"/>
        <v>1.6852615384615022E-2</v>
      </c>
      <c r="AO33" s="47">
        <f t="shared" si="17"/>
        <v>1</v>
      </c>
      <c r="AP33" s="100">
        <v>41.625959999999111</v>
      </c>
      <c r="AQ33" s="67">
        <f t="shared" si="18"/>
        <v>6.9376599999998518</v>
      </c>
      <c r="AR33" s="61">
        <v>225</v>
      </c>
      <c r="AS33" s="62">
        <v>1</v>
      </c>
      <c r="AT33" s="49">
        <f t="shared" si="19"/>
        <v>3.0834044444443785E-2</v>
      </c>
      <c r="AU33" s="50">
        <f t="shared" si="20"/>
        <v>3.5</v>
      </c>
      <c r="AV33" s="100">
        <v>14.605599999999686</v>
      </c>
      <c r="AW33" s="67">
        <f t="shared" si="21"/>
        <v>2.4342666666666144</v>
      </c>
      <c r="AX33" s="51">
        <v>40</v>
      </c>
      <c r="AY33" s="62">
        <v>1</v>
      </c>
      <c r="AZ33" s="49">
        <f t="shared" si="22"/>
        <v>6.0856666666665359E-2</v>
      </c>
      <c r="BA33" s="100">
        <v>16.066159999999655</v>
      </c>
      <c r="BB33" s="67">
        <f t="shared" si="23"/>
        <v>2.6776933333332757</v>
      </c>
      <c r="BC33" s="61">
        <v>130</v>
      </c>
      <c r="BD33" s="62">
        <v>1</v>
      </c>
      <c r="BE33" s="60">
        <f t="shared" si="24"/>
        <v>2.0597641025640583E-2</v>
      </c>
      <c r="BF33" s="47">
        <f t="shared" si="25"/>
        <v>2</v>
      </c>
      <c r="BG33" s="33"/>
      <c r="BH33" s="33"/>
      <c r="BI33" s="52"/>
      <c r="BJ33" s="53"/>
      <c r="BK33" s="54"/>
      <c r="BL33" s="100">
        <v>55.063111999998817</v>
      </c>
      <c r="BM33" s="67">
        <f t="shared" si="26"/>
        <v>9.1771853333331368</v>
      </c>
      <c r="BN33" s="51">
        <v>35</v>
      </c>
      <c r="BO33" s="62">
        <v>1</v>
      </c>
      <c r="BP33" s="60">
        <f t="shared" si="27"/>
        <v>0.26220529523808961</v>
      </c>
      <c r="BQ33" s="100">
        <v>9.3475839999997987</v>
      </c>
      <c r="BR33" s="67">
        <f t="shared" si="28"/>
        <v>1.557930666666633</v>
      </c>
      <c r="BS33" s="55">
        <v>3.4</v>
      </c>
      <c r="BT33" s="62">
        <v>1</v>
      </c>
      <c r="BU33" s="49">
        <f t="shared" si="29"/>
        <v>0.45821490196077441</v>
      </c>
      <c r="BV33" s="100">
        <v>50.097207999998929</v>
      </c>
      <c r="BW33" s="67">
        <f t="shared" si="30"/>
        <v>8.3495346666664876</v>
      </c>
      <c r="BX33" s="61">
        <v>125</v>
      </c>
      <c r="BY33" s="62">
        <v>1</v>
      </c>
      <c r="BZ33" s="60">
        <f t="shared" si="31"/>
        <v>6.6796277333331905E-2</v>
      </c>
      <c r="CA33" s="47">
        <f t="shared" si="32"/>
        <v>3</v>
      </c>
      <c r="CB33" s="56">
        <f t="shared" si="33"/>
        <v>6</v>
      </c>
      <c r="CC33" s="100">
        <v>18.037915999999612</v>
      </c>
      <c r="CD33" s="67">
        <f t="shared" si="34"/>
        <v>3.0063193333332685</v>
      </c>
      <c r="CE33" s="61">
        <v>165</v>
      </c>
      <c r="CF33" s="62">
        <v>1</v>
      </c>
      <c r="CG33" s="49">
        <f t="shared" si="35"/>
        <v>1.8220117171716777E-2</v>
      </c>
      <c r="CH33" s="100">
        <v>24.464379999999476</v>
      </c>
      <c r="CI33" s="67">
        <f t="shared" si="36"/>
        <v>4.0773966666665791</v>
      </c>
      <c r="CJ33" s="61">
        <v>150</v>
      </c>
      <c r="CK33" s="62">
        <v>1</v>
      </c>
      <c r="CL33" s="49">
        <f t="shared" si="37"/>
        <v>2.7182644444443859E-2</v>
      </c>
      <c r="CM33" s="100">
        <v>148.9771199999968</v>
      </c>
      <c r="CN33" s="67">
        <f t="shared" si="38"/>
        <v>24.829519999999466</v>
      </c>
      <c r="CO33" s="51">
        <v>320</v>
      </c>
      <c r="CP33" s="62">
        <v>1</v>
      </c>
      <c r="CQ33" s="49">
        <f t="shared" si="39"/>
        <v>7.7592249999998336E-2</v>
      </c>
      <c r="CR33" s="100">
        <v>446.93135999999038</v>
      </c>
      <c r="CS33" s="67">
        <f t="shared" si="40"/>
        <v>74.488559999998401</v>
      </c>
      <c r="CT33" s="51">
        <v>8000</v>
      </c>
      <c r="CU33" s="62">
        <v>1</v>
      </c>
      <c r="CV33" s="49">
        <f t="shared" si="41"/>
        <v>9.3110699999997999E-3</v>
      </c>
      <c r="CW33" s="100">
        <v>297.9542399999936</v>
      </c>
      <c r="CX33" s="67">
        <f t="shared" si="42"/>
        <v>49.659039999998932</v>
      </c>
      <c r="CY33" s="51">
        <v>300</v>
      </c>
      <c r="CZ33" s="62">
        <v>1</v>
      </c>
      <c r="DA33" s="49">
        <f t="shared" si="43"/>
        <v>0.16553013333332978</v>
      </c>
      <c r="DB33" s="57">
        <f t="shared" si="44"/>
        <v>36.513999999999214</v>
      </c>
      <c r="DC33" s="67">
        <f t="shared" si="45"/>
        <v>6.085666666666536</v>
      </c>
      <c r="DD33" s="58">
        <v>50</v>
      </c>
      <c r="DE33" s="62">
        <v>1</v>
      </c>
      <c r="DF33" s="49">
        <f t="shared" si="46"/>
        <v>0.12171333333333072</v>
      </c>
      <c r="DG33" s="59">
        <f t="shared" si="47"/>
        <v>0.5</v>
      </c>
      <c r="DH33" s="94">
        <f t="shared" si="48"/>
        <v>3.5</v>
      </c>
      <c r="DI33" s="94">
        <f t="shared" si="49"/>
        <v>6</v>
      </c>
      <c r="DJ33" s="94">
        <f t="shared" si="50"/>
        <v>0.5</v>
      </c>
      <c r="DK33" s="96">
        <f t="shared" si="57"/>
        <v>10</v>
      </c>
      <c r="DL33" s="28">
        <f t="shared" si="51"/>
        <v>6</v>
      </c>
      <c r="DM33" s="94">
        <f t="shared" si="52"/>
        <v>60</v>
      </c>
      <c r="DN33" s="117">
        <f t="shared" si="53"/>
        <v>61</v>
      </c>
      <c r="DO33" s="117"/>
      <c r="DP33" s="44">
        <f t="shared" si="54"/>
        <v>3.1770833333333335</v>
      </c>
      <c r="DQ33" s="26"/>
      <c r="DR33" s="26"/>
      <c r="DS33" s="26"/>
      <c r="DT33" s="26"/>
      <c r="DU33" s="26"/>
    </row>
    <row r="34" spans="2:125" s="1" customFormat="1" ht="17.25" customHeight="1">
      <c r="B34" s="109">
        <v>26</v>
      </c>
      <c r="C34" s="108" t="s">
        <v>121</v>
      </c>
      <c r="D34" s="99" t="s">
        <v>122</v>
      </c>
      <c r="E34" s="99"/>
      <c r="F34" s="64" t="s">
        <v>70</v>
      </c>
      <c r="G34" s="64" t="s">
        <v>18</v>
      </c>
      <c r="H34" s="63">
        <v>62</v>
      </c>
      <c r="I34" s="98">
        <v>8873.1190000000006</v>
      </c>
      <c r="J34" s="98">
        <v>8926.9509999999991</v>
      </c>
      <c r="K34" s="45">
        <f t="shared" si="55"/>
        <v>53.831999999998516</v>
      </c>
      <c r="L34" s="45" t="s">
        <v>47</v>
      </c>
      <c r="M34" s="71">
        <v>7</v>
      </c>
      <c r="N34" s="45">
        <f t="shared" si="56"/>
        <v>7.6902857142855021</v>
      </c>
      <c r="O34" s="48">
        <v>1</v>
      </c>
      <c r="P34" s="100">
        <v>81.286319999997758</v>
      </c>
      <c r="Q34" s="67">
        <f t="shared" si="7"/>
        <v>11.612331428571109</v>
      </c>
      <c r="R34" s="46">
        <v>53.9</v>
      </c>
      <c r="S34" s="62">
        <v>1</v>
      </c>
      <c r="T34" s="48">
        <f t="shared" si="8"/>
        <v>0.21544214153193153</v>
      </c>
      <c r="U34" s="100">
        <v>297.15263999999178</v>
      </c>
      <c r="V34" s="67">
        <f t="shared" si="9"/>
        <v>42.45037714285597</v>
      </c>
      <c r="W34" s="75">
        <v>190</v>
      </c>
      <c r="X34" s="62">
        <v>1</v>
      </c>
      <c r="Y34" s="48">
        <f t="shared" si="10"/>
        <v>0.2234230375939788</v>
      </c>
      <c r="Z34" s="100">
        <v>72.13487999999802</v>
      </c>
      <c r="AA34" s="67">
        <f t="shared" si="11"/>
        <v>10.304982857142575</v>
      </c>
      <c r="AB34" s="61">
        <v>42</v>
      </c>
      <c r="AC34" s="62">
        <v>1</v>
      </c>
      <c r="AD34" s="48">
        <f t="shared" si="12"/>
        <v>0.5453567346938708</v>
      </c>
      <c r="AE34" s="100">
        <v>43.065599999998817</v>
      </c>
      <c r="AF34" s="67">
        <f t="shared" si="13"/>
        <v>6.1522285714284024</v>
      </c>
      <c r="AG34" s="61">
        <v>40</v>
      </c>
      <c r="AH34" s="62">
        <v>1</v>
      </c>
      <c r="AI34" s="48">
        <f t="shared" si="14"/>
        <v>0.15380571428571005</v>
      </c>
      <c r="AJ34" s="100">
        <v>19.379519999999467</v>
      </c>
      <c r="AK34" s="67">
        <f t="shared" si="15"/>
        <v>2.768502857142781</v>
      </c>
      <c r="AL34" s="61">
        <v>130</v>
      </c>
      <c r="AM34" s="62">
        <v>1</v>
      </c>
      <c r="AN34" s="60">
        <f t="shared" si="16"/>
        <v>2.1296175824175239E-2</v>
      </c>
      <c r="AO34" s="47">
        <f t="shared" si="17"/>
        <v>1</v>
      </c>
      <c r="AP34" s="100">
        <v>61.368479999998314</v>
      </c>
      <c r="AQ34" s="67">
        <f t="shared" si="18"/>
        <v>8.766925714285474</v>
      </c>
      <c r="AR34" s="61">
        <v>225</v>
      </c>
      <c r="AS34" s="62">
        <v>1</v>
      </c>
      <c r="AT34" s="49">
        <f t="shared" si="19"/>
        <v>3.8964114285713218E-2</v>
      </c>
      <c r="AU34" s="50">
        <f t="shared" si="20"/>
        <v>3.5</v>
      </c>
      <c r="AV34" s="100">
        <v>21.532799999999408</v>
      </c>
      <c r="AW34" s="67">
        <f t="shared" si="21"/>
        <v>3.0761142857142012</v>
      </c>
      <c r="AX34" s="51">
        <v>40</v>
      </c>
      <c r="AY34" s="62">
        <v>1</v>
      </c>
      <c r="AZ34" s="49">
        <f t="shared" si="22"/>
        <v>7.6902857142855024E-2</v>
      </c>
      <c r="BA34" s="100">
        <v>23.68607999999935</v>
      </c>
      <c r="BB34" s="67">
        <f t="shared" si="23"/>
        <v>3.3837257142856214</v>
      </c>
      <c r="BC34" s="61">
        <v>130</v>
      </c>
      <c r="BD34" s="62">
        <v>1</v>
      </c>
      <c r="BE34" s="60">
        <f t="shared" si="24"/>
        <v>2.6028659340658625E-2</v>
      </c>
      <c r="BF34" s="47">
        <f t="shared" si="25"/>
        <v>2</v>
      </c>
      <c r="BG34" s="33"/>
      <c r="BH34" s="33"/>
      <c r="BI34" s="52"/>
      <c r="BJ34" s="53"/>
      <c r="BK34" s="54"/>
      <c r="BL34" s="100">
        <v>81.178655999997758</v>
      </c>
      <c r="BM34" s="67">
        <f t="shared" si="26"/>
        <v>11.596950857142536</v>
      </c>
      <c r="BN34" s="51">
        <v>35</v>
      </c>
      <c r="BO34" s="62">
        <v>1</v>
      </c>
      <c r="BP34" s="60">
        <f t="shared" si="27"/>
        <v>0.33134145306121532</v>
      </c>
      <c r="BQ34" s="100">
        <v>13.780991999999621</v>
      </c>
      <c r="BR34" s="67">
        <f t="shared" si="28"/>
        <v>1.9687131428570888</v>
      </c>
      <c r="BS34" s="55">
        <v>3.4</v>
      </c>
      <c r="BT34" s="62">
        <v>1</v>
      </c>
      <c r="BU34" s="49">
        <f t="shared" si="29"/>
        <v>0.57903327731090848</v>
      </c>
      <c r="BV34" s="100">
        <v>73.857503999997974</v>
      </c>
      <c r="BW34" s="67">
        <f t="shared" si="30"/>
        <v>10.55107199999971</v>
      </c>
      <c r="BX34" s="61">
        <v>125</v>
      </c>
      <c r="BY34" s="62">
        <v>1</v>
      </c>
      <c r="BZ34" s="60">
        <f t="shared" si="31"/>
        <v>8.4408575999997681E-2</v>
      </c>
      <c r="CA34" s="47">
        <f t="shared" si="32"/>
        <v>3</v>
      </c>
      <c r="CB34" s="56">
        <f t="shared" si="33"/>
        <v>6.5</v>
      </c>
      <c r="CC34" s="100">
        <v>26.593007999999266</v>
      </c>
      <c r="CD34" s="67">
        <f t="shared" si="34"/>
        <v>3.7990011428570378</v>
      </c>
      <c r="CE34" s="61">
        <v>165</v>
      </c>
      <c r="CF34" s="62">
        <v>1</v>
      </c>
      <c r="CG34" s="49">
        <f t="shared" si="35"/>
        <v>2.3024249350648715E-2</v>
      </c>
      <c r="CH34" s="100">
        <v>36.06743999999901</v>
      </c>
      <c r="CI34" s="67">
        <f t="shared" si="36"/>
        <v>5.1524914285712873</v>
      </c>
      <c r="CJ34" s="61">
        <v>150</v>
      </c>
      <c r="CK34" s="62">
        <v>1</v>
      </c>
      <c r="CL34" s="49">
        <f t="shared" si="37"/>
        <v>3.4349942857141914E-2</v>
      </c>
      <c r="CM34" s="100">
        <v>219.63455999999394</v>
      </c>
      <c r="CN34" s="67">
        <f t="shared" si="38"/>
        <v>31.376365714284848</v>
      </c>
      <c r="CO34" s="51">
        <v>320</v>
      </c>
      <c r="CP34" s="62">
        <v>1</v>
      </c>
      <c r="CQ34" s="49">
        <f t="shared" si="39"/>
        <v>9.8051142857140144E-2</v>
      </c>
      <c r="CR34" s="100">
        <v>658.90367999998182</v>
      </c>
      <c r="CS34" s="67">
        <f t="shared" si="40"/>
        <v>94.129097142854548</v>
      </c>
      <c r="CT34" s="51">
        <v>8000</v>
      </c>
      <c r="CU34" s="62">
        <v>1</v>
      </c>
      <c r="CV34" s="49">
        <f t="shared" si="41"/>
        <v>1.1766137142856818E-2</v>
      </c>
      <c r="CW34" s="100">
        <v>439.26911999998788</v>
      </c>
      <c r="CX34" s="67">
        <f t="shared" si="42"/>
        <v>62.752731428569696</v>
      </c>
      <c r="CY34" s="51">
        <v>300</v>
      </c>
      <c r="CZ34" s="62">
        <v>1</v>
      </c>
      <c r="DA34" s="49">
        <f t="shared" si="43"/>
        <v>0.20917577142856567</v>
      </c>
      <c r="DB34" s="57">
        <f t="shared" si="44"/>
        <v>53.831999999998516</v>
      </c>
      <c r="DC34" s="67">
        <f t="shared" si="45"/>
        <v>7.6902857142855021</v>
      </c>
      <c r="DD34" s="58">
        <v>50</v>
      </c>
      <c r="DE34" s="62">
        <v>1</v>
      </c>
      <c r="DF34" s="49">
        <f t="shared" si="46"/>
        <v>0.15380571428571005</v>
      </c>
      <c r="DG34" s="59">
        <f t="shared" si="47"/>
        <v>1</v>
      </c>
      <c r="DH34" s="94">
        <f t="shared" si="48"/>
        <v>3.5</v>
      </c>
      <c r="DI34" s="94">
        <f t="shared" si="49"/>
        <v>6.5</v>
      </c>
      <c r="DJ34" s="94">
        <f t="shared" si="50"/>
        <v>1</v>
      </c>
      <c r="DK34" s="96">
        <f t="shared" si="57"/>
        <v>11</v>
      </c>
      <c r="DL34" s="28">
        <f t="shared" si="51"/>
        <v>7</v>
      </c>
      <c r="DM34" s="94">
        <f t="shared" si="52"/>
        <v>77</v>
      </c>
      <c r="DN34" s="117">
        <f t="shared" si="53"/>
        <v>78</v>
      </c>
      <c r="DO34" s="117"/>
      <c r="DP34" s="44">
        <f t="shared" si="54"/>
        <v>4.0625</v>
      </c>
      <c r="DQ34" s="26"/>
      <c r="DR34" s="26"/>
      <c r="DS34" s="26"/>
      <c r="DT34" s="26"/>
      <c r="DU34" s="26"/>
    </row>
    <row r="35" spans="2:125" s="1" customFormat="1" ht="17.25" customHeight="1">
      <c r="B35" s="104">
        <v>27</v>
      </c>
      <c r="C35" s="101" t="s">
        <v>123</v>
      </c>
      <c r="D35" s="99" t="s">
        <v>124</v>
      </c>
      <c r="E35" s="99" t="s">
        <v>63</v>
      </c>
      <c r="F35" s="64" t="s">
        <v>82</v>
      </c>
      <c r="G35" s="64" t="s">
        <v>18</v>
      </c>
      <c r="H35" s="63"/>
      <c r="I35" s="98">
        <v>9233.4419999999991</v>
      </c>
      <c r="J35" s="98">
        <v>9293.7639999999992</v>
      </c>
      <c r="K35" s="45">
        <f t="shared" si="55"/>
        <v>60.322000000000116</v>
      </c>
      <c r="L35" s="45" t="s">
        <v>47</v>
      </c>
      <c r="M35" s="71">
        <v>10</v>
      </c>
      <c r="N35" s="45">
        <f t="shared" si="56"/>
        <v>6.032200000000012</v>
      </c>
      <c r="O35" s="48">
        <v>1</v>
      </c>
      <c r="P35" s="100">
        <v>91.086220000000182</v>
      </c>
      <c r="Q35" s="67">
        <f t="shared" si="7"/>
        <v>9.1086220000000182</v>
      </c>
      <c r="R35" s="46">
        <v>53.9</v>
      </c>
      <c r="S35" s="62">
        <v>1</v>
      </c>
      <c r="T35" s="48">
        <f t="shared" si="8"/>
        <v>0.16899113172541777</v>
      </c>
      <c r="U35" s="100">
        <v>332.97744000000063</v>
      </c>
      <c r="V35" s="67">
        <f t="shared" si="9"/>
        <v>33.297744000000066</v>
      </c>
      <c r="W35" s="75">
        <v>190</v>
      </c>
      <c r="X35" s="62">
        <v>1</v>
      </c>
      <c r="Y35" s="48">
        <f t="shared" si="10"/>
        <v>0.17525128421052666</v>
      </c>
      <c r="Z35" s="100">
        <v>80.831480000000155</v>
      </c>
      <c r="AA35" s="67">
        <f t="shared" si="11"/>
        <v>8.0831480000000155</v>
      </c>
      <c r="AB35" s="61">
        <v>42</v>
      </c>
      <c r="AC35" s="62">
        <v>1</v>
      </c>
      <c r="AD35" s="48">
        <f t="shared" si="12"/>
        <v>0.49245590476190515</v>
      </c>
      <c r="AE35" s="100">
        <v>48.257600000000096</v>
      </c>
      <c r="AF35" s="67">
        <f t="shared" si="13"/>
        <v>4.8257600000000096</v>
      </c>
      <c r="AG35" s="61">
        <v>40</v>
      </c>
      <c r="AH35" s="62">
        <v>1</v>
      </c>
      <c r="AI35" s="48">
        <f t="shared" si="14"/>
        <v>0.12064400000000024</v>
      </c>
      <c r="AJ35" s="100">
        <v>21.715920000000043</v>
      </c>
      <c r="AK35" s="67">
        <f t="shared" si="15"/>
        <v>2.1715920000000044</v>
      </c>
      <c r="AL35" s="61">
        <v>130</v>
      </c>
      <c r="AM35" s="62">
        <v>1</v>
      </c>
      <c r="AN35" s="60">
        <f t="shared" si="16"/>
        <v>1.670455384615388E-2</v>
      </c>
      <c r="AO35" s="47">
        <f t="shared" si="17"/>
        <v>1</v>
      </c>
      <c r="AP35" s="100">
        <v>68.767080000000135</v>
      </c>
      <c r="AQ35" s="67">
        <f t="shared" si="18"/>
        <v>6.8767080000000131</v>
      </c>
      <c r="AR35" s="61">
        <v>225</v>
      </c>
      <c r="AS35" s="62">
        <v>1</v>
      </c>
      <c r="AT35" s="49">
        <f t="shared" si="19"/>
        <v>3.0563146666666725E-2</v>
      </c>
      <c r="AU35" s="50">
        <f t="shared" si="20"/>
        <v>3.5</v>
      </c>
      <c r="AV35" s="100">
        <v>24.128800000000048</v>
      </c>
      <c r="AW35" s="67">
        <f t="shared" si="21"/>
        <v>2.4128800000000048</v>
      </c>
      <c r="AX35" s="51">
        <v>40</v>
      </c>
      <c r="AY35" s="62">
        <v>1</v>
      </c>
      <c r="AZ35" s="49">
        <f t="shared" si="22"/>
        <v>6.0322000000000119E-2</v>
      </c>
      <c r="BA35" s="100">
        <v>26.541680000000056</v>
      </c>
      <c r="BB35" s="67">
        <f t="shared" si="23"/>
        <v>2.6541680000000056</v>
      </c>
      <c r="BC35" s="61">
        <v>130</v>
      </c>
      <c r="BD35" s="62">
        <v>1</v>
      </c>
      <c r="BE35" s="60">
        <f t="shared" si="24"/>
        <v>2.0416676923076967E-2</v>
      </c>
      <c r="BF35" s="47">
        <f t="shared" si="25"/>
        <v>2</v>
      </c>
      <c r="BG35" s="33"/>
      <c r="BH35" s="33"/>
      <c r="BI35" s="52"/>
      <c r="BJ35" s="53"/>
      <c r="BK35" s="54"/>
      <c r="BL35" s="100">
        <v>90.965576000000169</v>
      </c>
      <c r="BM35" s="67">
        <f t="shared" si="26"/>
        <v>9.0965576000000166</v>
      </c>
      <c r="BN35" s="51">
        <v>35</v>
      </c>
      <c r="BO35" s="62">
        <v>1</v>
      </c>
      <c r="BP35" s="60">
        <f t="shared" si="27"/>
        <v>0.2599016457142862</v>
      </c>
      <c r="BQ35" s="100">
        <v>15.44243200000003</v>
      </c>
      <c r="BR35" s="67">
        <f t="shared" si="28"/>
        <v>1.544243200000003</v>
      </c>
      <c r="BS35" s="55">
        <v>3.4</v>
      </c>
      <c r="BT35" s="62">
        <v>1</v>
      </c>
      <c r="BU35" s="49">
        <f t="shared" si="29"/>
        <v>0.45418917647058915</v>
      </c>
      <c r="BV35" s="100">
        <v>82.761784000000162</v>
      </c>
      <c r="BW35" s="67">
        <f t="shared" si="30"/>
        <v>8.2761784000000169</v>
      </c>
      <c r="BX35" s="61">
        <v>125</v>
      </c>
      <c r="BY35" s="62">
        <v>1</v>
      </c>
      <c r="BZ35" s="60">
        <f t="shared" si="31"/>
        <v>6.6209427200000129E-2</v>
      </c>
      <c r="CA35" s="47">
        <f t="shared" si="32"/>
        <v>3</v>
      </c>
      <c r="CB35" s="56">
        <f t="shared" si="33"/>
        <v>6</v>
      </c>
      <c r="CC35" s="100">
        <v>29.799068000000059</v>
      </c>
      <c r="CD35" s="67">
        <f t="shared" si="34"/>
        <v>2.979906800000006</v>
      </c>
      <c r="CE35" s="61">
        <v>165</v>
      </c>
      <c r="CF35" s="62">
        <v>1</v>
      </c>
      <c r="CG35" s="49">
        <f t="shared" si="35"/>
        <v>1.8060041212121247E-2</v>
      </c>
      <c r="CH35" s="100">
        <v>40.415740000000078</v>
      </c>
      <c r="CI35" s="67">
        <f t="shared" si="36"/>
        <v>4.0415740000000078</v>
      </c>
      <c r="CJ35" s="61">
        <v>150</v>
      </c>
      <c r="CK35" s="62">
        <v>1</v>
      </c>
      <c r="CL35" s="49">
        <f t="shared" si="37"/>
        <v>2.6943826666666719E-2</v>
      </c>
      <c r="CM35" s="100">
        <v>246.11376000000047</v>
      </c>
      <c r="CN35" s="67">
        <f t="shared" si="38"/>
        <v>24.611376000000046</v>
      </c>
      <c r="CO35" s="51">
        <v>320</v>
      </c>
      <c r="CP35" s="62">
        <v>1</v>
      </c>
      <c r="CQ35" s="49">
        <f t="shared" si="39"/>
        <v>7.6910550000000147E-2</v>
      </c>
      <c r="CR35" s="100">
        <v>738.34128000000146</v>
      </c>
      <c r="CS35" s="67">
        <f t="shared" si="40"/>
        <v>73.834128000000149</v>
      </c>
      <c r="CT35" s="51">
        <v>8000</v>
      </c>
      <c r="CU35" s="62">
        <v>1</v>
      </c>
      <c r="CV35" s="49">
        <f t="shared" si="41"/>
        <v>9.2292660000000189E-3</v>
      </c>
      <c r="CW35" s="100">
        <v>492.22752000000094</v>
      </c>
      <c r="CX35" s="67">
        <f t="shared" si="42"/>
        <v>49.222752000000092</v>
      </c>
      <c r="CY35" s="51">
        <v>300</v>
      </c>
      <c r="CZ35" s="62">
        <v>1</v>
      </c>
      <c r="DA35" s="49">
        <f t="shared" si="43"/>
        <v>0.16407584000000031</v>
      </c>
      <c r="DB35" s="57">
        <f t="shared" si="44"/>
        <v>60.322000000000116</v>
      </c>
      <c r="DC35" s="67">
        <f t="shared" si="45"/>
        <v>6.032200000000012</v>
      </c>
      <c r="DD35" s="58">
        <v>50</v>
      </c>
      <c r="DE35" s="62">
        <v>1</v>
      </c>
      <c r="DF35" s="49">
        <f t="shared" si="46"/>
        <v>0.12064400000000024</v>
      </c>
      <c r="DG35" s="59">
        <f t="shared" si="47"/>
        <v>0.5</v>
      </c>
      <c r="DH35" s="94">
        <f t="shared" si="48"/>
        <v>3.5</v>
      </c>
      <c r="DI35" s="94">
        <f t="shared" si="49"/>
        <v>6</v>
      </c>
      <c r="DJ35" s="94">
        <f t="shared" si="50"/>
        <v>0.5</v>
      </c>
      <c r="DK35" s="96">
        <f t="shared" si="57"/>
        <v>10</v>
      </c>
      <c r="DL35" s="28">
        <f t="shared" si="51"/>
        <v>10</v>
      </c>
      <c r="DM35" s="94">
        <f t="shared" si="52"/>
        <v>100</v>
      </c>
      <c r="DN35" s="117">
        <f t="shared" si="53"/>
        <v>101</v>
      </c>
      <c r="DO35" s="117"/>
      <c r="DP35" s="44">
        <f t="shared" si="54"/>
        <v>5.260416666666667</v>
      </c>
      <c r="DQ35" s="26"/>
      <c r="DR35" s="26"/>
      <c r="DS35" s="26"/>
      <c r="DT35" s="26"/>
      <c r="DU35" s="26"/>
    </row>
    <row r="36" spans="2:125" s="1" customFormat="1" ht="17.25" customHeight="1">
      <c r="B36" s="104">
        <v>28</v>
      </c>
      <c r="C36" s="101" t="s">
        <v>125</v>
      </c>
      <c r="D36" s="99" t="s">
        <v>126</v>
      </c>
      <c r="E36" s="99" t="s">
        <v>63</v>
      </c>
      <c r="F36" s="64" t="s">
        <v>82</v>
      </c>
      <c r="G36" s="64" t="s">
        <v>18</v>
      </c>
      <c r="H36" s="63"/>
      <c r="I36" s="98">
        <v>9542.0750000000007</v>
      </c>
      <c r="J36" s="98">
        <v>9582.1790000000001</v>
      </c>
      <c r="K36" s="45">
        <f t="shared" si="55"/>
        <v>40.10399999999936</v>
      </c>
      <c r="L36" s="45" t="s">
        <v>47</v>
      </c>
      <c r="M36" s="71">
        <v>7</v>
      </c>
      <c r="N36" s="45">
        <f t="shared" si="56"/>
        <v>5.7291428571427661</v>
      </c>
      <c r="O36" s="48">
        <v>1</v>
      </c>
      <c r="P36" s="100">
        <v>89.43191999999857</v>
      </c>
      <c r="Q36" s="67">
        <f t="shared" si="7"/>
        <v>12.775988571428368</v>
      </c>
      <c r="R36" s="46">
        <v>53.9</v>
      </c>
      <c r="S36" s="62">
        <v>1</v>
      </c>
      <c r="T36" s="48">
        <f t="shared" si="8"/>
        <v>0.23703132785581388</v>
      </c>
      <c r="U36" s="100">
        <v>295.56647999999529</v>
      </c>
      <c r="V36" s="67">
        <f t="shared" si="9"/>
        <v>42.223782857142183</v>
      </c>
      <c r="W36" s="75">
        <v>190</v>
      </c>
      <c r="X36" s="62">
        <v>1</v>
      </c>
      <c r="Y36" s="48">
        <f t="shared" si="10"/>
        <v>0.22223043609022203</v>
      </c>
      <c r="Z36" s="100">
        <v>53.739359999999145</v>
      </c>
      <c r="AA36" s="67">
        <f t="shared" si="11"/>
        <v>7.6770514285713061</v>
      </c>
      <c r="AB36" s="61">
        <v>42</v>
      </c>
      <c r="AC36" s="62">
        <v>1</v>
      </c>
      <c r="AD36" s="48">
        <f t="shared" si="12"/>
        <v>0.48278693877550727</v>
      </c>
      <c r="AE36" s="100">
        <v>32.083199999999486</v>
      </c>
      <c r="AF36" s="67">
        <f t="shared" si="13"/>
        <v>4.583314285714212</v>
      </c>
      <c r="AG36" s="61">
        <v>40</v>
      </c>
      <c r="AH36" s="62">
        <v>1</v>
      </c>
      <c r="AI36" s="48">
        <f t="shared" si="14"/>
        <v>0.11458285714285529</v>
      </c>
      <c r="AJ36" s="100">
        <v>14.437439999999771</v>
      </c>
      <c r="AK36" s="67">
        <f t="shared" si="15"/>
        <v>2.0624914285713958</v>
      </c>
      <c r="AL36" s="61">
        <v>130</v>
      </c>
      <c r="AM36" s="62">
        <v>1</v>
      </c>
      <c r="AN36" s="60">
        <f t="shared" si="16"/>
        <v>1.5865318681318429E-2</v>
      </c>
      <c r="AO36" s="47">
        <f t="shared" si="17"/>
        <v>1</v>
      </c>
      <c r="AP36" s="100">
        <v>76.197599999998786</v>
      </c>
      <c r="AQ36" s="67">
        <f t="shared" si="18"/>
        <v>10.885371428571256</v>
      </c>
      <c r="AR36" s="61">
        <v>225</v>
      </c>
      <c r="AS36" s="62">
        <v>1</v>
      </c>
      <c r="AT36" s="49">
        <f t="shared" si="19"/>
        <v>4.8379428571427803E-2</v>
      </c>
      <c r="AU36" s="50">
        <f t="shared" si="20"/>
        <v>3.5</v>
      </c>
      <c r="AV36" s="100">
        <v>16.041599999999743</v>
      </c>
      <c r="AW36" s="67">
        <f t="shared" si="21"/>
        <v>2.291657142857106</v>
      </c>
      <c r="AX36" s="51">
        <v>40</v>
      </c>
      <c r="AY36" s="62">
        <v>1</v>
      </c>
      <c r="AZ36" s="49">
        <f t="shared" si="22"/>
        <v>5.7291428571427647E-2</v>
      </c>
      <c r="BA36" s="100">
        <v>17.645759999999722</v>
      </c>
      <c r="BB36" s="67">
        <f t="shared" si="23"/>
        <v>2.5208228571428175</v>
      </c>
      <c r="BC36" s="61">
        <v>130</v>
      </c>
      <c r="BD36" s="62">
        <v>1</v>
      </c>
      <c r="BE36" s="60">
        <f t="shared" si="24"/>
        <v>1.939094505494475E-2</v>
      </c>
      <c r="BF36" s="47">
        <f t="shared" si="25"/>
        <v>2</v>
      </c>
      <c r="BG36" s="33"/>
      <c r="BH36" s="33"/>
      <c r="BI36" s="52"/>
      <c r="BJ36" s="53"/>
      <c r="BK36" s="54"/>
      <c r="BL36" s="100">
        <v>60.476831999999035</v>
      </c>
      <c r="BM36" s="67">
        <f t="shared" si="26"/>
        <v>8.6395474285712908</v>
      </c>
      <c r="BN36" s="51">
        <v>35</v>
      </c>
      <c r="BO36" s="62">
        <v>1</v>
      </c>
      <c r="BP36" s="60">
        <f t="shared" si="27"/>
        <v>0.24684421224489403</v>
      </c>
      <c r="BQ36" s="100">
        <v>10.266623999999837</v>
      </c>
      <c r="BR36" s="67">
        <f t="shared" si="28"/>
        <v>1.4666605714285481</v>
      </c>
      <c r="BS36" s="55">
        <v>3.4</v>
      </c>
      <c r="BT36" s="62">
        <v>1</v>
      </c>
      <c r="BU36" s="49">
        <f t="shared" si="29"/>
        <v>0.43137075630251415</v>
      </c>
      <c r="BV36" s="100">
        <v>55.022687999999128</v>
      </c>
      <c r="BW36" s="67">
        <f t="shared" si="30"/>
        <v>7.8603839999998755</v>
      </c>
      <c r="BX36" s="61">
        <v>125</v>
      </c>
      <c r="BY36" s="62">
        <v>1</v>
      </c>
      <c r="BZ36" s="60">
        <f t="shared" si="31"/>
        <v>6.2883071999998999E-2</v>
      </c>
      <c r="CA36" s="47">
        <f t="shared" si="32"/>
        <v>3</v>
      </c>
      <c r="CB36" s="56">
        <f t="shared" si="33"/>
        <v>6</v>
      </c>
      <c r="CC36" s="100">
        <v>37.657655999999399</v>
      </c>
      <c r="CD36" s="67">
        <f t="shared" si="34"/>
        <v>5.379665142857057</v>
      </c>
      <c r="CE36" s="61">
        <v>165</v>
      </c>
      <c r="CF36" s="62">
        <v>1</v>
      </c>
      <c r="CG36" s="49">
        <f t="shared" si="35"/>
        <v>3.2604031168830649E-2</v>
      </c>
      <c r="CH36" s="100">
        <v>52.776863999999158</v>
      </c>
      <c r="CI36" s="67">
        <f t="shared" si="36"/>
        <v>7.5395519999998797</v>
      </c>
      <c r="CJ36" s="61">
        <v>150</v>
      </c>
      <c r="CK36" s="62">
        <v>1</v>
      </c>
      <c r="CL36" s="49">
        <f t="shared" si="37"/>
        <v>5.02636799999992E-2</v>
      </c>
      <c r="CM36" s="100">
        <v>316.01951999999494</v>
      </c>
      <c r="CN36" s="67">
        <f t="shared" si="38"/>
        <v>45.145645714284989</v>
      </c>
      <c r="CO36" s="51">
        <v>320</v>
      </c>
      <c r="CP36" s="62">
        <v>1</v>
      </c>
      <c r="CQ36" s="49">
        <f t="shared" si="39"/>
        <v>0.1410801428571406</v>
      </c>
      <c r="CR36" s="100">
        <v>948.05855999998482</v>
      </c>
      <c r="CS36" s="67">
        <f t="shared" si="40"/>
        <v>135.43693714285499</v>
      </c>
      <c r="CT36" s="51">
        <v>8000</v>
      </c>
      <c r="CU36" s="62">
        <v>1</v>
      </c>
      <c r="CV36" s="49">
        <f t="shared" si="41"/>
        <v>1.6929617142856873E-2</v>
      </c>
      <c r="CW36" s="100">
        <v>632.03903999998988</v>
      </c>
      <c r="CX36" s="67">
        <f t="shared" si="42"/>
        <v>90.291291428569977</v>
      </c>
      <c r="CY36" s="51">
        <v>300</v>
      </c>
      <c r="CZ36" s="62">
        <v>1</v>
      </c>
      <c r="DA36" s="49">
        <f t="shared" si="43"/>
        <v>0.3009709714285666</v>
      </c>
      <c r="DB36" s="57">
        <f t="shared" si="44"/>
        <v>40.10399999999936</v>
      </c>
      <c r="DC36" s="67">
        <f t="shared" si="45"/>
        <v>5.7291428571427661</v>
      </c>
      <c r="DD36" s="58">
        <v>50</v>
      </c>
      <c r="DE36" s="62">
        <v>1</v>
      </c>
      <c r="DF36" s="49">
        <f t="shared" si="46"/>
        <v>0.11458285714285532</v>
      </c>
      <c r="DG36" s="59">
        <f t="shared" si="47"/>
        <v>1</v>
      </c>
      <c r="DH36" s="94">
        <f t="shared" si="48"/>
        <v>3.5</v>
      </c>
      <c r="DI36" s="94">
        <f t="shared" si="49"/>
        <v>6</v>
      </c>
      <c r="DJ36" s="94">
        <f t="shared" si="50"/>
        <v>1</v>
      </c>
      <c r="DK36" s="96">
        <f t="shared" si="57"/>
        <v>11</v>
      </c>
      <c r="DL36" s="28">
        <f t="shared" si="51"/>
        <v>7</v>
      </c>
      <c r="DM36" s="94">
        <f t="shared" si="52"/>
        <v>77</v>
      </c>
      <c r="DN36" s="117">
        <f t="shared" si="53"/>
        <v>78</v>
      </c>
      <c r="DO36" s="117"/>
      <c r="DP36" s="44">
        <f t="shared" si="54"/>
        <v>4.0625</v>
      </c>
      <c r="DQ36" s="26"/>
      <c r="DR36" s="26"/>
      <c r="DS36" s="26"/>
      <c r="DT36" s="26"/>
      <c r="DU36" s="26"/>
    </row>
    <row r="37" spans="2:125" s="1" customFormat="1" ht="17.25" customHeight="1">
      <c r="B37" s="36">
        <v>29</v>
      </c>
      <c r="C37" s="97" t="s">
        <v>165</v>
      </c>
      <c r="D37" s="38" t="s">
        <v>128</v>
      </c>
      <c r="E37" s="38" t="s">
        <v>129</v>
      </c>
      <c r="F37" s="77" t="s">
        <v>166</v>
      </c>
      <c r="G37" s="77" t="s">
        <v>18</v>
      </c>
      <c r="H37" s="89"/>
      <c r="I37" s="39">
        <v>9744.6540000000005</v>
      </c>
      <c r="J37" s="39">
        <v>9802.1389999999992</v>
      </c>
      <c r="K37" s="88">
        <f t="shared" ref="K37" si="64">J37-I37</f>
        <v>57.484999999998763</v>
      </c>
      <c r="L37" s="76" t="s">
        <v>179</v>
      </c>
      <c r="M37" s="72">
        <v>9</v>
      </c>
      <c r="N37" s="88">
        <f>K37/M37</f>
        <v>6.3872222222220847</v>
      </c>
      <c r="O37" s="48">
        <v>1</v>
      </c>
      <c r="P37" s="100">
        <v>86.802349999998128</v>
      </c>
      <c r="Q37" s="67">
        <f>P37/M37</f>
        <v>9.6447055555553476</v>
      </c>
      <c r="R37" s="46">
        <v>53.9</v>
      </c>
      <c r="S37" s="62">
        <v>1</v>
      </c>
      <c r="T37" s="48">
        <f>Q37/R37/S37</f>
        <v>0.17893702329416231</v>
      </c>
      <c r="U37" s="100">
        <v>317.31719999999319</v>
      </c>
      <c r="V37" s="67">
        <f>U37/M37</f>
        <v>35.257466666665913</v>
      </c>
      <c r="W37" s="75">
        <v>190</v>
      </c>
      <c r="X37" s="62">
        <v>1</v>
      </c>
      <c r="Y37" s="48">
        <f>V37/W37/X37</f>
        <v>0.18556561403508376</v>
      </c>
      <c r="Z37" s="100">
        <v>77.029899999998349</v>
      </c>
      <c r="AA37" s="67">
        <f>Z37/M37</f>
        <v>8.5588777777775942</v>
      </c>
      <c r="AB37" s="61">
        <v>42</v>
      </c>
      <c r="AC37" s="62">
        <v>1</v>
      </c>
      <c r="AD37" s="48">
        <f>AA37/AB37/AC37+0.3</f>
        <v>0.50378280423279986</v>
      </c>
      <c r="AE37" s="100">
        <v>45.987999999999012</v>
      </c>
      <c r="AF37" s="67">
        <f>AE37/M37</f>
        <v>5.1097777777776683</v>
      </c>
      <c r="AG37" s="61">
        <v>40</v>
      </c>
      <c r="AH37" s="62">
        <v>1</v>
      </c>
      <c r="AI37" s="48">
        <f>AF37/AG37/AH37</f>
        <v>0.12774444444444172</v>
      </c>
      <c r="AJ37" s="100">
        <v>20.694599999999557</v>
      </c>
      <c r="AK37" s="67">
        <f>AJ37/M37</f>
        <v>2.2993999999999506</v>
      </c>
      <c r="AL37" s="61">
        <v>130</v>
      </c>
      <c r="AM37" s="62">
        <v>1</v>
      </c>
      <c r="AN37" s="60">
        <f>AK37/AL37/AM37</f>
        <v>1.7687692307691929E-2</v>
      </c>
      <c r="AO37" s="47">
        <f>IF(G37="보통",2,IF(G37="조강",1,""))</f>
        <v>1</v>
      </c>
      <c r="AP37" s="100">
        <v>65.532899999998591</v>
      </c>
      <c r="AQ37" s="67">
        <f>AP37/M37</f>
        <v>7.2814333333331769</v>
      </c>
      <c r="AR37" s="61">
        <v>225</v>
      </c>
      <c r="AS37" s="62">
        <v>1</v>
      </c>
      <c r="AT37" s="49">
        <f>AQ37/AR37/AS37</f>
        <v>3.2361925925925232E-2</v>
      </c>
      <c r="AU37" s="50">
        <f>CEILING(SUM(O37,T37,Y37,AD37,AI37,AN37,AO37,AT37),0.5)</f>
        <v>3.5</v>
      </c>
      <c r="AV37" s="100">
        <v>22.993999999999506</v>
      </c>
      <c r="AW37" s="67">
        <f>AV37/M37</f>
        <v>2.5548888888888341</v>
      </c>
      <c r="AX37" s="51">
        <v>40</v>
      </c>
      <c r="AY37" s="62">
        <v>1</v>
      </c>
      <c r="AZ37" s="49">
        <f>AW37/AX37/AY37</f>
        <v>6.3872222222220859E-2</v>
      </c>
      <c r="BA37" s="100">
        <v>25.293399999999458</v>
      </c>
      <c r="BB37" s="67">
        <f>BA37/M37</f>
        <v>2.8103777777777177</v>
      </c>
      <c r="BC37" s="61">
        <v>130</v>
      </c>
      <c r="BD37" s="62">
        <v>1</v>
      </c>
      <c r="BE37" s="60">
        <f>BB37/BC37/BD37</f>
        <v>2.1618290598290135E-2</v>
      </c>
      <c r="BF37" s="47">
        <f>IF(G37="보통",5,IF(G37="조강",2,""))</f>
        <v>2</v>
      </c>
      <c r="BG37" s="33"/>
      <c r="BH37" s="33"/>
      <c r="BI37" s="52"/>
      <c r="BJ37" s="53"/>
      <c r="BK37" s="54"/>
      <c r="BL37" s="100">
        <v>86.687379999998129</v>
      </c>
      <c r="BM37" s="67">
        <f>BL37/M37</f>
        <v>9.6319311111109034</v>
      </c>
      <c r="BN37" s="51">
        <v>35</v>
      </c>
      <c r="BO37" s="62">
        <v>1</v>
      </c>
      <c r="BP37" s="60">
        <f>BM37/BN37/BO37</f>
        <v>0.27519803174602581</v>
      </c>
      <c r="BQ37" s="100">
        <v>14.716159999999684</v>
      </c>
      <c r="BR37" s="67">
        <f>BQ37/M37</f>
        <v>1.6351288888888538</v>
      </c>
      <c r="BS37" s="55">
        <v>3.4</v>
      </c>
      <c r="BT37" s="62">
        <v>1</v>
      </c>
      <c r="BU37" s="49">
        <f>BR37/BS37/BT37</f>
        <v>0.48092026143789818</v>
      </c>
      <c r="BV37" s="100">
        <v>78.869419999998314</v>
      </c>
      <c r="BW37" s="67">
        <f>BV37/M37</f>
        <v>8.7632688888887014</v>
      </c>
      <c r="BX37" s="61">
        <v>125</v>
      </c>
      <c r="BY37" s="62">
        <v>1</v>
      </c>
      <c r="BZ37" s="60">
        <f>BW37/BX37/BY37</f>
        <v>7.0106151111109613E-2</v>
      </c>
      <c r="CA37" s="47">
        <f>IF(G37="보통",7,IF(G37="조강",3,""))</f>
        <v>3</v>
      </c>
      <c r="CB37" s="56">
        <f>CEILING(SUM(AZ37,BE37,BF37,BK37,BP37,BU37,BZ37,CA37),0.5)</f>
        <v>6</v>
      </c>
      <c r="CC37" s="100">
        <v>28.39758999999939</v>
      </c>
      <c r="CD37" s="67">
        <f>CC37/M37</f>
        <v>3.1552877777777102</v>
      </c>
      <c r="CE37" s="61">
        <v>165</v>
      </c>
      <c r="CF37" s="62">
        <v>1</v>
      </c>
      <c r="CG37" s="49">
        <f>CD37/CE37/CF37</f>
        <v>1.912295622895582E-2</v>
      </c>
      <c r="CH37" s="100">
        <v>38.514949999999175</v>
      </c>
      <c r="CI37" s="67">
        <f>CH37/M37</f>
        <v>4.2794388888887971</v>
      </c>
      <c r="CJ37" s="61">
        <v>150</v>
      </c>
      <c r="CK37" s="62">
        <v>1</v>
      </c>
      <c r="CL37" s="49">
        <f>CI37/CJ37/CK37</f>
        <v>2.8529592592591982E-2</v>
      </c>
      <c r="CM37" s="100">
        <v>234.53879999999495</v>
      </c>
      <c r="CN37" s="67">
        <f>CM37/M37</f>
        <v>26.059866666666107</v>
      </c>
      <c r="CO37" s="51">
        <v>320</v>
      </c>
      <c r="CP37" s="62">
        <v>1</v>
      </c>
      <c r="CQ37" s="49">
        <f>CN37/CO37/CP37</f>
        <v>8.1437083333331578E-2</v>
      </c>
      <c r="CR37" s="100">
        <v>703.61639999998488</v>
      </c>
      <c r="CS37" s="67">
        <f>CR37/M37</f>
        <v>78.179599999998317</v>
      </c>
      <c r="CT37" s="51">
        <v>8000</v>
      </c>
      <c r="CU37" s="62">
        <v>1</v>
      </c>
      <c r="CV37" s="49">
        <f>CS37/CT37/CU37</f>
        <v>9.7724499999997903E-3</v>
      </c>
      <c r="CW37" s="100">
        <v>469.0775999999899</v>
      </c>
      <c r="CX37" s="67">
        <f>CW37/M37</f>
        <v>52.119733333332213</v>
      </c>
      <c r="CY37" s="51">
        <v>300</v>
      </c>
      <c r="CZ37" s="62">
        <v>1</v>
      </c>
      <c r="DA37" s="49">
        <f>CX37/CY37/CZ37</f>
        <v>0.17373244444444072</v>
      </c>
      <c r="DB37" s="57">
        <f>K37</f>
        <v>57.484999999998763</v>
      </c>
      <c r="DC37" s="67">
        <f>DB37/M37</f>
        <v>6.3872222222220847</v>
      </c>
      <c r="DD37" s="58">
        <v>50</v>
      </c>
      <c r="DE37" s="62">
        <v>1</v>
      </c>
      <c r="DF37" s="49">
        <f>DC37/DD37/DE37</f>
        <v>0.12774444444444169</v>
      </c>
      <c r="DG37" s="59">
        <f>CEILING(SUM(CG37,CL37,CQ37,CV37,DA37,DF37),0.5)</f>
        <v>0.5</v>
      </c>
      <c r="DH37" s="94">
        <f t="shared" si="48"/>
        <v>3.5</v>
      </c>
      <c r="DI37" s="94">
        <f t="shared" si="49"/>
        <v>6</v>
      </c>
      <c r="DJ37" s="94">
        <f>DG37</f>
        <v>0.5</v>
      </c>
      <c r="DK37" s="96">
        <f t="shared" si="57"/>
        <v>10</v>
      </c>
      <c r="DL37" s="28">
        <f t="shared" si="51"/>
        <v>9</v>
      </c>
      <c r="DM37" s="94">
        <f>DK37*DL37</f>
        <v>90</v>
      </c>
      <c r="DN37" s="117">
        <f t="shared" si="53"/>
        <v>91</v>
      </c>
      <c r="DO37" s="117"/>
      <c r="DP37" s="44">
        <f t="shared" si="54"/>
        <v>4.7395833333333339</v>
      </c>
      <c r="DQ37" s="26"/>
      <c r="DR37" s="26"/>
      <c r="DS37" s="26"/>
      <c r="DT37" s="26"/>
      <c r="DU37" s="26"/>
    </row>
    <row r="38" spans="2:125" s="1" customFormat="1" ht="17.25" customHeight="1">
      <c r="B38" s="104">
        <v>30</v>
      </c>
      <c r="C38" s="101" t="s">
        <v>130</v>
      </c>
      <c r="D38" s="99" t="s">
        <v>131</v>
      </c>
      <c r="E38" s="99" t="s">
        <v>63</v>
      </c>
      <c r="F38" s="64" t="s">
        <v>88</v>
      </c>
      <c r="G38" s="64" t="s">
        <v>18</v>
      </c>
      <c r="H38" s="63"/>
      <c r="I38" s="98">
        <v>10152.303</v>
      </c>
      <c r="J38" s="98">
        <v>10205.054</v>
      </c>
      <c r="K38" s="45">
        <f t="shared" si="55"/>
        <v>52.751000000000204</v>
      </c>
      <c r="L38" s="45" t="s">
        <v>47</v>
      </c>
      <c r="M38" s="71">
        <v>9</v>
      </c>
      <c r="N38" s="45">
        <f t="shared" si="56"/>
        <v>5.8612222222222448</v>
      </c>
      <c r="O38" s="48">
        <v>1</v>
      </c>
      <c r="P38" s="100">
        <v>79.654010000000312</v>
      </c>
      <c r="Q38" s="67">
        <f t="shared" si="7"/>
        <v>8.8504455555555896</v>
      </c>
      <c r="R38" s="46">
        <v>53.9</v>
      </c>
      <c r="S38" s="62">
        <v>1</v>
      </c>
      <c r="T38" s="48">
        <f t="shared" si="8"/>
        <v>0.16420121624407402</v>
      </c>
      <c r="U38" s="100">
        <v>291.18552000000113</v>
      </c>
      <c r="V38" s="67">
        <f t="shared" si="9"/>
        <v>32.353946666666793</v>
      </c>
      <c r="W38" s="75">
        <v>190</v>
      </c>
      <c r="X38" s="62">
        <v>1</v>
      </c>
      <c r="Y38" s="48">
        <f t="shared" si="10"/>
        <v>0.17028392982456206</v>
      </c>
      <c r="Z38" s="100">
        <v>70.686340000000271</v>
      </c>
      <c r="AA38" s="67">
        <f t="shared" si="11"/>
        <v>7.8540377777778083</v>
      </c>
      <c r="AB38" s="61">
        <v>42</v>
      </c>
      <c r="AC38" s="62">
        <v>1</v>
      </c>
      <c r="AD38" s="48">
        <f t="shared" si="12"/>
        <v>0.48700089947090019</v>
      </c>
      <c r="AE38" s="100">
        <v>42.200800000000164</v>
      </c>
      <c r="AF38" s="67">
        <f t="shared" si="13"/>
        <v>4.6889777777777963</v>
      </c>
      <c r="AG38" s="61">
        <v>40</v>
      </c>
      <c r="AH38" s="62">
        <v>1</v>
      </c>
      <c r="AI38" s="48">
        <f t="shared" si="14"/>
        <v>0.11722444444444491</v>
      </c>
      <c r="AJ38" s="100">
        <v>18.990360000000077</v>
      </c>
      <c r="AK38" s="67">
        <f t="shared" si="15"/>
        <v>2.1100400000000086</v>
      </c>
      <c r="AL38" s="61">
        <v>130</v>
      </c>
      <c r="AM38" s="62">
        <v>1</v>
      </c>
      <c r="AN38" s="60">
        <f t="shared" si="16"/>
        <v>1.623107692307699E-2</v>
      </c>
      <c r="AO38" s="47">
        <f t="shared" si="17"/>
        <v>1</v>
      </c>
      <c r="AP38" s="100">
        <v>60.136140000000239</v>
      </c>
      <c r="AQ38" s="67">
        <f t="shared" si="18"/>
        <v>6.6817933333333599</v>
      </c>
      <c r="AR38" s="61">
        <v>225</v>
      </c>
      <c r="AS38" s="62">
        <v>1</v>
      </c>
      <c r="AT38" s="49">
        <f t="shared" si="19"/>
        <v>2.9696859259259377E-2</v>
      </c>
      <c r="AU38" s="50">
        <f t="shared" si="20"/>
        <v>3</v>
      </c>
      <c r="AV38" s="100">
        <v>21.100400000000082</v>
      </c>
      <c r="AW38" s="67">
        <f t="shared" si="21"/>
        <v>2.3444888888888982</v>
      </c>
      <c r="AX38" s="51">
        <v>40</v>
      </c>
      <c r="AY38" s="62">
        <v>1</v>
      </c>
      <c r="AZ38" s="49">
        <f t="shared" si="22"/>
        <v>5.8612222222222454E-2</v>
      </c>
      <c r="BA38" s="100">
        <v>23.210440000000094</v>
      </c>
      <c r="BB38" s="67">
        <f t="shared" si="23"/>
        <v>2.5789377777777882</v>
      </c>
      <c r="BC38" s="61">
        <v>130</v>
      </c>
      <c r="BD38" s="62">
        <v>1</v>
      </c>
      <c r="BE38" s="60">
        <f t="shared" si="24"/>
        <v>1.9837982905982987E-2</v>
      </c>
      <c r="BF38" s="47">
        <f t="shared" si="25"/>
        <v>2</v>
      </c>
      <c r="BG38" s="33"/>
      <c r="BH38" s="33"/>
      <c r="BI38" s="52"/>
      <c r="BJ38" s="53"/>
      <c r="BK38" s="54"/>
      <c r="BL38" s="100">
        <v>79.548508000000311</v>
      </c>
      <c r="BM38" s="67">
        <f t="shared" si="26"/>
        <v>8.8387231111111451</v>
      </c>
      <c r="BN38" s="51">
        <v>35</v>
      </c>
      <c r="BO38" s="62">
        <v>1</v>
      </c>
      <c r="BP38" s="60">
        <f t="shared" si="27"/>
        <v>0.25253494603174698</v>
      </c>
      <c r="BQ38" s="100">
        <v>13.504256000000053</v>
      </c>
      <c r="BR38" s="67">
        <f t="shared" si="28"/>
        <v>1.5004728888888947</v>
      </c>
      <c r="BS38" s="55">
        <v>3.4</v>
      </c>
      <c r="BT38" s="62">
        <v>1</v>
      </c>
      <c r="BU38" s="49">
        <f t="shared" si="29"/>
        <v>0.44131555555555729</v>
      </c>
      <c r="BV38" s="100">
        <v>72.374372000000278</v>
      </c>
      <c r="BW38" s="67">
        <f t="shared" si="30"/>
        <v>8.04159688888892</v>
      </c>
      <c r="BX38" s="61">
        <v>125</v>
      </c>
      <c r="BY38" s="62">
        <v>1</v>
      </c>
      <c r="BZ38" s="60">
        <f t="shared" si="31"/>
        <v>6.4332775111111365E-2</v>
      </c>
      <c r="CA38" s="47">
        <f t="shared" si="32"/>
        <v>3</v>
      </c>
      <c r="CB38" s="56">
        <f t="shared" si="33"/>
        <v>6</v>
      </c>
      <c r="CC38" s="100">
        <v>26.058994000000101</v>
      </c>
      <c r="CD38" s="67">
        <f t="shared" si="34"/>
        <v>2.8954437777777891</v>
      </c>
      <c r="CE38" s="61">
        <v>165</v>
      </c>
      <c r="CF38" s="62">
        <v>1</v>
      </c>
      <c r="CG38" s="49">
        <f t="shared" si="35"/>
        <v>1.7548144107744176E-2</v>
      </c>
      <c r="CH38" s="100">
        <v>35.343170000000136</v>
      </c>
      <c r="CI38" s="67">
        <f t="shared" si="36"/>
        <v>3.9270188888889042</v>
      </c>
      <c r="CJ38" s="61">
        <v>150</v>
      </c>
      <c r="CK38" s="62">
        <v>1</v>
      </c>
      <c r="CL38" s="49">
        <f t="shared" si="37"/>
        <v>2.6180125925926029E-2</v>
      </c>
      <c r="CM38" s="100">
        <v>215.22408000000084</v>
      </c>
      <c r="CN38" s="67">
        <f t="shared" si="38"/>
        <v>23.913786666666759</v>
      </c>
      <c r="CO38" s="51">
        <v>320</v>
      </c>
      <c r="CP38" s="62">
        <v>1</v>
      </c>
      <c r="CQ38" s="49">
        <f t="shared" si="39"/>
        <v>7.4730583333333628E-2</v>
      </c>
      <c r="CR38" s="100">
        <v>645.67224000000249</v>
      </c>
      <c r="CS38" s="67">
        <f t="shared" si="40"/>
        <v>71.74136000000027</v>
      </c>
      <c r="CT38" s="51">
        <v>8000</v>
      </c>
      <c r="CU38" s="62">
        <v>1</v>
      </c>
      <c r="CV38" s="49">
        <f t="shared" si="41"/>
        <v>8.9676700000000335E-3</v>
      </c>
      <c r="CW38" s="100">
        <v>430.44816000000168</v>
      </c>
      <c r="CX38" s="67">
        <f t="shared" si="42"/>
        <v>47.827573333333518</v>
      </c>
      <c r="CY38" s="51">
        <v>300</v>
      </c>
      <c r="CZ38" s="62">
        <v>1</v>
      </c>
      <c r="DA38" s="49">
        <f t="shared" si="43"/>
        <v>0.15942524444444506</v>
      </c>
      <c r="DB38" s="57">
        <f t="shared" si="44"/>
        <v>52.751000000000204</v>
      </c>
      <c r="DC38" s="67">
        <f t="shared" si="45"/>
        <v>5.8612222222222448</v>
      </c>
      <c r="DD38" s="58">
        <v>50</v>
      </c>
      <c r="DE38" s="62">
        <v>1</v>
      </c>
      <c r="DF38" s="49">
        <f t="shared" si="46"/>
        <v>0.11722444444444489</v>
      </c>
      <c r="DG38" s="59">
        <f t="shared" si="47"/>
        <v>0.5</v>
      </c>
      <c r="DH38" s="94">
        <f t="shared" si="48"/>
        <v>3</v>
      </c>
      <c r="DI38" s="94">
        <f t="shared" si="49"/>
        <v>6</v>
      </c>
      <c r="DJ38" s="94">
        <f t="shared" si="50"/>
        <v>0.5</v>
      </c>
      <c r="DK38" s="96">
        <f t="shared" si="57"/>
        <v>10</v>
      </c>
      <c r="DL38" s="28">
        <f t="shared" si="51"/>
        <v>9</v>
      </c>
      <c r="DM38" s="94">
        <f t="shared" si="52"/>
        <v>90</v>
      </c>
      <c r="DN38" s="117">
        <f t="shared" si="53"/>
        <v>91</v>
      </c>
      <c r="DO38" s="117"/>
      <c r="DP38" s="44">
        <f t="shared" si="54"/>
        <v>4.7395833333333339</v>
      </c>
      <c r="DQ38" s="26"/>
      <c r="DR38" s="26"/>
      <c r="DS38" s="26"/>
      <c r="DT38" s="26"/>
      <c r="DU38" s="26"/>
    </row>
    <row r="39" spans="2:125" s="1" customFormat="1" ht="17.25" customHeight="1">
      <c r="B39" s="104">
        <v>31</v>
      </c>
      <c r="C39" s="101" t="s">
        <v>132</v>
      </c>
      <c r="D39" s="99" t="s">
        <v>133</v>
      </c>
      <c r="E39" s="99" t="s">
        <v>63</v>
      </c>
      <c r="F39" s="64" t="s">
        <v>82</v>
      </c>
      <c r="G39" s="64" t="s">
        <v>18</v>
      </c>
      <c r="H39" s="63"/>
      <c r="I39" s="98">
        <v>10512.868</v>
      </c>
      <c r="J39" s="98">
        <v>10557.031000000001</v>
      </c>
      <c r="K39" s="45">
        <f t="shared" si="55"/>
        <v>44.163000000000466</v>
      </c>
      <c r="L39" s="45" t="s">
        <v>47</v>
      </c>
      <c r="M39" s="71">
        <v>7</v>
      </c>
      <c r="N39" s="45">
        <f t="shared" si="56"/>
        <v>6.3090000000000668</v>
      </c>
      <c r="O39" s="48">
        <v>1</v>
      </c>
      <c r="P39" s="100">
        <v>66.686130000000702</v>
      </c>
      <c r="Q39" s="67">
        <f t="shared" si="7"/>
        <v>9.5265900000001</v>
      </c>
      <c r="R39" s="46">
        <v>53.9</v>
      </c>
      <c r="S39" s="62">
        <v>1</v>
      </c>
      <c r="T39" s="48">
        <f t="shared" si="8"/>
        <v>0.17674564007421337</v>
      </c>
      <c r="U39" s="100">
        <v>243.77976000000257</v>
      </c>
      <c r="V39" s="67">
        <f t="shared" si="9"/>
        <v>34.825680000000368</v>
      </c>
      <c r="W39" s="75">
        <v>190</v>
      </c>
      <c r="X39" s="62">
        <v>1</v>
      </c>
      <c r="Y39" s="48">
        <f t="shared" si="10"/>
        <v>0.18329305263158088</v>
      </c>
      <c r="Z39" s="100">
        <v>59.178420000000628</v>
      </c>
      <c r="AA39" s="67">
        <f t="shared" si="11"/>
        <v>8.4540600000000889</v>
      </c>
      <c r="AB39" s="61">
        <v>42</v>
      </c>
      <c r="AC39" s="62">
        <v>1</v>
      </c>
      <c r="AD39" s="48">
        <f t="shared" si="12"/>
        <v>0.50128714285714493</v>
      </c>
      <c r="AE39" s="100">
        <v>35.330400000000374</v>
      </c>
      <c r="AF39" s="67">
        <f t="shared" si="13"/>
        <v>5.0472000000000534</v>
      </c>
      <c r="AG39" s="61">
        <v>40</v>
      </c>
      <c r="AH39" s="62">
        <v>1</v>
      </c>
      <c r="AI39" s="48">
        <f t="shared" si="14"/>
        <v>0.12618000000000135</v>
      </c>
      <c r="AJ39" s="100">
        <v>15.898680000000169</v>
      </c>
      <c r="AK39" s="67">
        <f t="shared" si="15"/>
        <v>2.2712400000000241</v>
      </c>
      <c r="AL39" s="61">
        <v>130</v>
      </c>
      <c r="AM39" s="62">
        <v>1</v>
      </c>
      <c r="AN39" s="60">
        <f t="shared" si="16"/>
        <v>1.747107692307711E-2</v>
      </c>
      <c r="AO39" s="47">
        <f t="shared" si="17"/>
        <v>1</v>
      </c>
      <c r="AP39" s="100">
        <v>50.345820000000536</v>
      </c>
      <c r="AQ39" s="67">
        <f t="shared" si="18"/>
        <v>7.1922600000000765</v>
      </c>
      <c r="AR39" s="61">
        <v>225</v>
      </c>
      <c r="AS39" s="62">
        <v>1</v>
      </c>
      <c r="AT39" s="49">
        <f t="shared" si="19"/>
        <v>3.1965600000000337E-2</v>
      </c>
      <c r="AU39" s="50">
        <f t="shared" si="20"/>
        <v>3.5</v>
      </c>
      <c r="AV39" s="100">
        <v>17.665200000000187</v>
      </c>
      <c r="AW39" s="67">
        <f t="shared" si="21"/>
        <v>2.5236000000000267</v>
      </c>
      <c r="AX39" s="51">
        <v>40</v>
      </c>
      <c r="AY39" s="62">
        <v>1</v>
      </c>
      <c r="AZ39" s="49">
        <f t="shared" si="22"/>
        <v>6.3090000000000673E-2</v>
      </c>
      <c r="BA39" s="100">
        <v>19.431720000000208</v>
      </c>
      <c r="BB39" s="67">
        <f t="shared" si="23"/>
        <v>2.7759600000000297</v>
      </c>
      <c r="BC39" s="61">
        <v>130</v>
      </c>
      <c r="BD39" s="62">
        <v>1</v>
      </c>
      <c r="BE39" s="60">
        <f t="shared" si="24"/>
        <v>2.1353538461538691E-2</v>
      </c>
      <c r="BF39" s="47">
        <f t="shared" si="25"/>
        <v>2</v>
      </c>
      <c r="BG39" s="33"/>
      <c r="BH39" s="33"/>
      <c r="BI39" s="52"/>
      <c r="BJ39" s="53"/>
      <c r="BK39" s="54"/>
      <c r="BL39" s="100">
        <v>66.597804000000707</v>
      </c>
      <c r="BM39" s="67">
        <f t="shared" si="26"/>
        <v>9.5139720000001002</v>
      </c>
      <c r="BN39" s="51">
        <v>35</v>
      </c>
      <c r="BO39" s="62">
        <v>1</v>
      </c>
      <c r="BP39" s="60">
        <f t="shared" si="27"/>
        <v>0.27182777142857428</v>
      </c>
      <c r="BQ39" s="100">
        <v>11.305728000000119</v>
      </c>
      <c r="BR39" s="67">
        <f t="shared" si="28"/>
        <v>1.615104000000017</v>
      </c>
      <c r="BS39" s="55">
        <v>3.4</v>
      </c>
      <c r="BT39" s="62">
        <v>1</v>
      </c>
      <c r="BU39" s="49">
        <f t="shared" si="29"/>
        <v>0.47503058823529914</v>
      </c>
      <c r="BV39" s="100">
        <v>60.591636000000641</v>
      </c>
      <c r="BW39" s="67">
        <f t="shared" si="30"/>
        <v>8.655948000000091</v>
      </c>
      <c r="BX39" s="61">
        <v>125</v>
      </c>
      <c r="BY39" s="62">
        <v>1</v>
      </c>
      <c r="BZ39" s="60">
        <f t="shared" si="31"/>
        <v>6.9247584000000723E-2</v>
      </c>
      <c r="CA39" s="47">
        <f t="shared" si="32"/>
        <v>3</v>
      </c>
      <c r="CB39" s="56">
        <f t="shared" si="33"/>
        <v>6</v>
      </c>
      <c r="CC39" s="100">
        <v>21.81652200000023</v>
      </c>
      <c r="CD39" s="67">
        <f t="shared" si="34"/>
        <v>3.1166460000000327</v>
      </c>
      <c r="CE39" s="61">
        <v>165</v>
      </c>
      <c r="CF39" s="62">
        <v>1</v>
      </c>
      <c r="CG39" s="49">
        <f t="shared" si="35"/>
        <v>1.8888763636363836E-2</v>
      </c>
      <c r="CH39" s="100">
        <v>29.589210000000314</v>
      </c>
      <c r="CI39" s="67">
        <f t="shared" si="36"/>
        <v>4.2270300000000445</v>
      </c>
      <c r="CJ39" s="61">
        <v>150</v>
      </c>
      <c r="CK39" s="62">
        <v>1</v>
      </c>
      <c r="CL39" s="49">
        <f t="shared" si="37"/>
        <v>2.8180200000000297E-2</v>
      </c>
      <c r="CM39" s="100">
        <v>180.18504000000189</v>
      </c>
      <c r="CN39" s="67">
        <f t="shared" si="38"/>
        <v>25.74072000000027</v>
      </c>
      <c r="CO39" s="51">
        <v>320</v>
      </c>
      <c r="CP39" s="62">
        <v>1</v>
      </c>
      <c r="CQ39" s="49">
        <f t="shared" si="39"/>
        <v>8.0439750000000837E-2</v>
      </c>
      <c r="CR39" s="100">
        <v>540.55512000000567</v>
      </c>
      <c r="CS39" s="67">
        <f t="shared" si="40"/>
        <v>77.222160000000812</v>
      </c>
      <c r="CT39" s="51">
        <v>8000</v>
      </c>
      <c r="CU39" s="62">
        <v>1</v>
      </c>
      <c r="CV39" s="49">
        <f t="shared" si="41"/>
        <v>9.6527700000001021E-3</v>
      </c>
      <c r="CW39" s="100">
        <v>360.37008000000378</v>
      </c>
      <c r="CX39" s="67">
        <f t="shared" si="42"/>
        <v>51.481440000000539</v>
      </c>
      <c r="CY39" s="51">
        <v>300</v>
      </c>
      <c r="CZ39" s="62">
        <v>1</v>
      </c>
      <c r="DA39" s="49">
        <f t="shared" si="43"/>
        <v>0.17160480000000181</v>
      </c>
      <c r="DB39" s="57">
        <f t="shared" si="44"/>
        <v>44.163000000000466</v>
      </c>
      <c r="DC39" s="67">
        <f t="shared" si="45"/>
        <v>6.3090000000000668</v>
      </c>
      <c r="DD39" s="58">
        <v>50</v>
      </c>
      <c r="DE39" s="62">
        <v>1</v>
      </c>
      <c r="DF39" s="49">
        <f t="shared" si="46"/>
        <v>0.12618000000000135</v>
      </c>
      <c r="DG39" s="59">
        <f t="shared" si="47"/>
        <v>0.5</v>
      </c>
      <c r="DH39" s="94">
        <f t="shared" si="48"/>
        <v>3.5</v>
      </c>
      <c r="DI39" s="94">
        <f t="shared" si="49"/>
        <v>6</v>
      </c>
      <c r="DJ39" s="94">
        <f t="shared" si="50"/>
        <v>0.5</v>
      </c>
      <c r="DK39" s="96">
        <f t="shared" si="57"/>
        <v>10</v>
      </c>
      <c r="DL39" s="28">
        <f t="shared" si="51"/>
        <v>7</v>
      </c>
      <c r="DM39" s="94">
        <f t="shared" si="52"/>
        <v>70</v>
      </c>
      <c r="DN39" s="117">
        <f t="shared" si="53"/>
        <v>71</v>
      </c>
      <c r="DO39" s="117"/>
      <c r="DP39" s="44">
        <f t="shared" si="54"/>
        <v>3.697916666666667</v>
      </c>
      <c r="DQ39" s="26"/>
      <c r="DR39" s="26"/>
      <c r="DS39" s="26"/>
      <c r="DT39" s="26"/>
      <c r="DU39" s="26"/>
    </row>
    <row r="40" spans="2:125" s="1" customFormat="1" ht="17.25" customHeight="1">
      <c r="B40" s="104">
        <v>32</v>
      </c>
      <c r="C40" s="101" t="s">
        <v>134</v>
      </c>
      <c r="D40" s="99" t="s">
        <v>135</v>
      </c>
      <c r="E40" s="99" t="s">
        <v>63</v>
      </c>
      <c r="F40" s="64" t="s">
        <v>82</v>
      </c>
      <c r="G40" s="64" t="s">
        <v>18</v>
      </c>
      <c r="H40" s="63"/>
      <c r="I40" s="98">
        <v>10759.022999999999</v>
      </c>
      <c r="J40" s="98">
        <v>10804.501</v>
      </c>
      <c r="K40" s="45">
        <f t="shared" si="55"/>
        <v>45.478000000000975</v>
      </c>
      <c r="L40" s="45" t="s">
        <v>47</v>
      </c>
      <c r="M40" s="71">
        <v>7</v>
      </c>
      <c r="N40" s="45">
        <f t="shared" si="56"/>
        <v>6.4968571428572819</v>
      </c>
      <c r="O40" s="48">
        <v>1</v>
      </c>
      <c r="P40" s="100">
        <v>68.671780000001476</v>
      </c>
      <c r="Q40" s="67">
        <f t="shared" si="7"/>
        <v>9.8102542857144961</v>
      </c>
      <c r="R40" s="46">
        <v>53.9</v>
      </c>
      <c r="S40" s="62">
        <v>1</v>
      </c>
      <c r="T40" s="48">
        <f t="shared" si="8"/>
        <v>0.18200842830639138</v>
      </c>
      <c r="U40" s="100">
        <v>251.03856000000539</v>
      </c>
      <c r="V40" s="67">
        <f t="shared" si="9"/>
        <v>35.8626514285722</v>
      </c>
      <c r="W40" s="75">
        <v>190</v>
      </c>
      <c r="X40" s="62">
        <v>1</v>
      </c>
      <c r="Y40" s="48">
        <f t="shared" si="10"/>
        <v>0.18875079699248526</v>
      </c>
      <c r="Z40" s="100">
        <v>60.940520000001307</v>
      </c>
      <c r="AA40" s="67">
        <f t="shared" si="11"/>
        <v>8.7057885714287586</v>
      </c>
      <c r="AB40" s="61">
        <v>42</v>
      </c>
      <c r="AC40" s="62">
        <v>1</v>
      </c>
      <c r="AD40" s="48">
        <f t="shared" si="12"/>
        <v>0.50728068027211326</v>
      </c>
      <c r="AE40" s="100">
        <v>36.382400000000779</v>
      </c>
      <c r="AF40" s="67">
        <f t="shared" si="13"/>
        <v>5.1974857142858255</v>
      </c>
      <c r="AG40" s="61">
        <v>40</v>
      </c>
      <c r="AH40" s="62">
        <v>1</v>
      </c>
      <c r="AI40" s="48">
        <f t="shared" si="14"/>
        <v>0.12993714285714564</v>
      </c>
      <c r="AJ40" s="100">
        <v>16.372080000000352</v>
      </c>
      <c r="AK40" s="67">
        <f t="shared" si="15"/>
        <v>2.3388685714286219</v>
      </c>
      <c r="AL40" s="61">
        <v>130</v>
      </c>
      <c r="AM40" s="62">
        <v>1</v>
      </c>
      <c r="AN40" s="60">
        <f t="shared" si="16"/>
        <v>1.7991296703297091E-2</v>
      </c>
      <c r="AO40" s="47">
        <f t="shared" si="17"/>
        <v>1</v>
      </c>
      <c r="AP40" s="100">
        <v>51.844920000001117</v>
      </c>
      <c r="AQ40" s="67">
        <f t="shared" si="18"/>
        <v>7.4064171428573022</v>
      </c>
      <c r="AR40" s="61">
        <v>225</v>
      </c>
      <c r="AS40" s="62">
        <v>1</v>
      </c>
      <c r="AT40" s="49">
        <f t="shared" si="19"/>
        <v>3.2917409523810233E-2</v>
      </c>
      <c r="AU40" s="50">
        <f t="shared" si="20"/>
        <v>3.5</v>
      </c>
      <c r="AV40" s="100">
        <v>18.191200000000389</v>
      </c>
      <c r="AW40" s="67">
        <f t="shared" si="21"/>
        <v>2.5987428571429128</v>
      </c>
      <c r="AX40" s="51">
        <v>40</v>
      </c>
      <c r="AY40" s="62">
        <v>1</v>
      </c>
      <c r="AZ40" s="49">
        <f t="shared" si="22"/>
        <v>6.4968571428572819E-2</v>
      </c>
      <c r="BA40" s="100">
        <v>20.01032000000043</v>
      </c>
      <c r="BB40" s="67">
        <f t="shared" si="23"/>
        <v>2.8586171428572045</v>
      </c>
      <c r="BC40" s="61">
        <v>130</v>
      </c>
      <c r="BD40" s="62">
        <v>1</v>
      </c>
      <c r="BE40" s="60">
        <f t="shared" si="24"/>
        <v>2.1989362637363112E-2</v>
      </c>
      <c r="BF40" s="47">
        <f t="shared" si="25"/>
        <v>2</v>
      </c>
      <c r="BG40" s="33"/>
      <c r="BH40" s="33"/>
      <c r="BI40" s="52"/>
      <c r="BJ40" s="53"/>
      <c r="BK40" s="54"/>
      <c r="BL40" s="100">
        <v>68.580824000001471</v>
      </c>
      <c r="BM40" s="67">
        <f t="shared" si="26"/>
        <v>9.7972605714287813</v>
      </c>
      <c r="BN40" s="51">
        <v>35</v>
      </c>
      <c r="BO40" s="62">
        <v>1</v>
      </c>
      <c r="BP40" s="60">
        <f t="shared" si="27"/>
        <v>0.2799217306122509</v>
      </c>
      <c r="BQ40" s="100">
        <v>11.64236800000025</v>
      </c>
      <c r="BR40" s="67">
        <f t="shared" si="28"/>
        <v>1.6631954285714643</v>
      </c>
      <c r="BS40" s="55">
        <v>3.4</v>
      </c>
      <c r="BT40" s="62">
        <v>1</v>
      </c>
      <c r="BU40" s="49">
        <f t="shared" si="29"/>
        <v>0.48917512605043068</v>
      </c>
      <c r="BV40" s="100">
        <v>62.395816000001339</v>
      </c>
      <c r="BW40" s="67">
        <f t="shared" si="30"/>
        <v>8.9136880000001906</v>
      </c>
      <c r="BX40" s="61">
        <v>125</v>
      </c>
      <c r="BY40" s="62">
        <v>1</v>
      </c>
      <c r="BZ40" s="60">
        <f t="shared" si="31"/>
        <v>7.1309504000001522E-2</v>
      </c>
      <c r="CA40" s="47">
        <f t="shared" si="32"/>
        <v>3</v>
      </c>
      <c r="CB40" s="56">
        <f t="shared" si="33"/>
        <v>6</v>
      </c>
      <c r="CC40" s="100">
        <v>22.466132000000481</v>
      </c>
      <c r="CD40" s="67">
        <f t="shared" si="34"/>
        <v>3.2094474285714973</v>
      </c>
      <c r="CE40" s="61">
        <v>165</v>
      </c>
      <c r="CF40" s="62">
        <v>1</v>
      </c>
      <c r="CG40" s="49">
        <f t="shared" si="35"/>
        <v>1.9451196536796955E-2</v>
      </c>
      <c r="CH40" s="100">
        <v>30.470260000000653</v>
      </c>
      <c r="CI40" s="67">
        <f t="shared" si="36"/>
        <v>4.3528942857143793</v>
      </c>
      <c r="CJ40" s="61">
        <v>150</v>
      </c>
      <c r="CK40" s="62">
        <v>1</v>
      </c>
      <c r="CL40" s="49">
        <f t="shared" si="37"/>
        <v>2.9019295238095863E-2</v>
      </c>
      <c r="CM40" s="100">
        <v>185.55024000000398</v>
      </c>
      <c r="CN40" s="67">
        <f t="shared" si="38"/>
        <v>26.50717714285771</v>
      </c>
      <c r="CO40" s="51">
        <v>320</v>
      </c>
      <c r="CP40" s="62">
        <v>1</v>
      </c>
      <c r="CQ40" s="49">
        <f t="shared" si="39"/>
        <v>8.283492857143035E-2</v>
      </c>
      <c r="CR40" s="100">
        <v>556.65072000001192</v>
      </c>
      <c r="CS40" s="67">
        <f t="shared" si="40"/>
        <v>79.521531428573127</v>
      </c>
      <c r="CT40" s="51">
        <v>8000</v>
      </c>
      <c r="CU40" s="62">
        <v>1</v>
      </c>
      <c r="CV40" s="49">
        <f t="shared" si="41"/>
        <v>9.940191428571641E-3</v>
      </c>
      <c r="CW40" s="100">
        <v>371.10048000000796</v>
      </c>
      <c r="CX40" s="67">
        <f t="shared" si="42"/>
        <v>53.01435428571542</v>
      </c>
      <c r="CY40" s="51">
        <v>300</v>
      </c>
      <c r="CZ40" s="62">
        <v>1</v>
      </c>
      <c r="DA40" s="49">
        <f t="shared" si="43"/>
        <v>0.17671451428571808</v>
      </c>
      <c r="DB40" s="57">
        <f t="shared" si="44"/>
        <v>45.478000000000975</v>
      </c>
      <c r="DC40" s="67">
        <f t="shared" si="45"/>
        <v>6.4968571428572819</v>
      </c>
      <c r="DD40" s="58">
        <v>50</v>
      </c>
      <c r="DE40" s="62">
        <v>1</v>
      </c>
      <c r="DF40" s="49">
        <f t="shared" si="46"/>
        <v>0.12993714285714564</v>
      </c>
      <c r="DG40" s="59">
        <f t="shared" si="47"/>
        <v>0.5</v>
      </c>
      <c r="DH40" s="94">
        <f t="shared" si="48"/>
        <v>3.5</v>
      </c>
      <c r="DI40" s="94">
        <f t="shared" si="49"/>
        <v>6</v>
      </c>
      <c r="DJ40" s="94">
        <f t="shared" si="50"/>
        <v>0.5</v>
      </c>
      <c r="DK40" s="96">
        <f t="shared" si="57"/>
        <v>10</v>
      </c>
      <c r="DL40" s="28">
        <f t="shared" si="51"/>
        <v>7</v>
      </c>
      <c r="DM40" s="94">
        <f t="shared" si="52"/>
        <v>70</v>
      </c>
      <c r="DN40" s="117">
        <f t="shared" si="53"/>
        <v>71</v>
      </c>
      <c r="DO40" s="117"/>
      <c r="DP40" s="44">
        <f t="shared" si="54"/>
        <v>3.697916666666667</v>
      </c>
      <c r="DQ40" s="26"/>
      <c r="DR40" s="26"/>
      <c r="DS40" s="26"/>
      <c r="DT40" s="26"/>
      <c r="DU40" s="26"/>
    </row>
    <row r="41" spans="2:125" s="1" customFormat="1" ht="17.25" customHeight="1">
      <c r="B41" s="104">
        <v>33</v>
      </c>
      <c r="C41" s="101" t="s">
        <v>136</v>
      </c>
      <c r="D41" s="99" t="s">
        <v>137</v>
      </c>
      <c r="E41" s="99" t="s">
        <v>63</v>
      </c>
      <c r="F41" s="64" t="s">
        <v>82</v>
      </c>
      <c r="G41" s="64" t="s">
        <v>18</v>
      </c>
      <c r="H41" s="63"/>
      <c r="I41" s="98">
        <v>11034.906999999999</v>
      </c>
      <c r="J41" s="98">
        <v>11072.369000000001</v>
      </c>
      <c r="K41" s="45">
        <f t="shared" si="55"/>
        <v>37.462000000001353</v>
      </c>
      <c r="L41" s="45" t="s">
        <v>47</v>
      </c>
      <c r="M41" s="71">
        <v>7</v>
      </c>
      <c r="N41" s="45">
        <f t="shared" si="56"/>
        <v>5.351714285714479</v>
      </c>
      <c r="O41" s="48">
        <v>1</v>
      </c>
      <c r="P41" s="100">
        <v>83.540260000003016</v>
      </c>
      <c r="Q41" s="67">
        <f t="shared" si="7"/>
        <v>11.934322857143288</v>
      </c>
      <c r="R41" s="46">
        <v>53.9</v>
      </c>
      <c r="S41" s="62">
        <v>1</v>
      </c>
      <c r="T41" s="48">
        <f t="shared" si="8"/>
        <v>0.22141600848132259</v>
      </c>
      <c r="U41" s="100">
        <v>276.09494000001001</v>
      </c>
      <c r="V41" s="67">
        <f t="shared" si="9"/>
        <v>39.442134285715717</v>
      </c>
      <c r="W41" s="75">
        <v>190</v>
      </c>
      <c r="X41" s="62">
        <v>1</v>
      </c>
      <c r="Y41" s="48">
        <f t="shared" si="10"/>
        <v>0.20759018045113536</v>
      </c>
      <c r="Z41" s="100">
        <v>50.199080000001814</v>
      </c>
      <c r="AA41" s="67">
        <f t="shared" si="11"/>
        <v>7.1712971428574024</v>
      </c>
      <c r="AB41" s="61">
        <v>42</v>
      </c>
      <c r="AC41" s="62">
        <v>1</v>
      </c>
      <c r="AD41" s="48">
        <f t="shared" si="12"/>
        <v>0.4707451700680334</v>
      </c>
      <c r="AE41" s="100">
        <v>29.969600000001083</v>
      </c>
      <c r="AF41" s="67">
        <f t="shared" si="13"/>
        <v>4.2813714285715836</v>
      </c>
      <c r="AG41" s="61">
        <v>40</v>
      </c>
      <c r="AH41" s="62">
        <v>1</v>
      </c>
      <c r="AI41" s="48">
        <f t="shared" si="14"/>
        <v>0.10703428571428959</v>
      </c>
      <c r="AJ41" s="100">
        <v>13.486320000000489</v>
      </c>
      <c r="AK41" s="67">
        <f t="shared" si="15"/>
        <v>1.9266171428572127</v>
      </c>
      <c r="AL41" s="61">
        <v>130</v>
      </c>
      <c r="AM41" s="62">
        <v>1</v>
      </c>
      <c r="AN41" s="60">
        <f t="shared" si="16"/>
        <v>1.4820131868132407E-2</v>
      </c>
      <c r="AO41" s="47">
        <f t="shared" si="17"/>
        <v>1</v>
      </c>
      <c r="AP41" s="100">
        <v>71.177800000002577</v>
      </c>
      <c r="AQ41" s="67">
        <f t="shared" si="18"/>
        <v>10.168257142857511</v>
      </c>
      <c r="AR41" s="61">
        <v>225</v>
      </c>
      <c r="AS41" s="62">
        <v>1</v>
      </c>
      <c r="AT41" s="49">
        <f t="shared" si="19"/>
        <v>4.5192253968255602E-2</v>
      </c>
      <c r="AU41" s="50">
        <f t="shared" si="20"/>
        <v>3.5</v>
      </c>
      <c r="AV41" s="100">
        <v>14.984800000000542</v>
      </c>
      <c r="AW41" s="67">
        <f t="shared" si="21"/>
        <v>2.1406857142857918</v>
      </c>
      <c r="AX41" s="51">
        <v>40</v>
      </c>
      <c r="AY41" s="62">
        <v>1</v>
      </c>
      <c r="AZ41" s="49">
        <f t="shared" si="22"/>
        <v>5.3517142857144796E-2</v>
      </c>
      <c r="BA41" s="100">
        <v>16.483280000000597</v>
      </c>
      <c r="BB41" s="67">
        <f t="shared" si="23"/>
        <v>2.3547542857143711</v>
      </c>
      <c r="BC41" s="61">
        <v>130</v>
      </c>
      <c r="BD41" s="62">
        <v>1</v>
      </c>
      <c r="BE41" s="60">
        <f t="shared" si="24"/>
        <v>1.811349450549516E-2</v>
      </c>
      <c r="BF41" s="47">
        <f t="shared" si="25"/>
        <v>2</v>
      </c>
      <c r="BG41" s="33"/>
      <c r="BH41" s="33"/>
      <c r="BI41" s="52"/>
      <c r="BJ41" s="53"/>
      <c r="BK41" s="54"/>
      <c r="BL41" s="100">
        <v>56.492696000002042</v>
      </c>
      <c r="BM41" s="67">
        <f t="shared" si="26"/>
        <v>8.0703851428574342</v>
      </c>
      <c r="BN41" s="51">
        <v>35</v>
      </c>
      <c r="BO41" s="62">
        <v>1</v>
      </c>
      <c r="BP41" s="60">
        <f t="shared" si="27"/>
        <v>0.23058243265306955</v>
      </c>
      <c r="BQ41" s="100">
        <v>9.590272000000347</v>
      </c>
      <c r="BR41" s="67">
        <f t="shared" si="28"/>
        <v>1.3700388571429067</v>
      </c>
      <c r="BS41" s="55">
        <v>3.4</v>
      </c>
      <c r="BT41" s="62">
        <v>1</v>
      </c>
      <c r="BU41" s="49">
        <f t="shared" si="29"/>
        <v>0.4029526050420314</v>
      </c>
      <c r="BV41" s="100">
        <v>51.39786400000186</v>
      </c>
      <c r="BW41" s="67">
        <f t="shared" si="30"/>
        <v>7.342552000000266</v>
      </c>
      <c r="BX41" s="61">
        <v>125</v>
      </c>
      <c r="BY41" s="62">
        <v>1</v>
      </c>
      <c r="BZ41" s="60">
        <f t="shared" si="31"/>
        <v>5.8740416000002127E-2</v>
      </c>
      <c r="CA41" s="47">
        <f t="shared" si="32"/>
        <v>3</v>
      </c>
      <c r="CB41" s="56">
        <f t="shared" si="33"/>
        <v>6</v>
      </c>
      <c r="CC41" s="100">
        <v>35.176818000001269</v>
      </c>
      <c r="CD41" s="67">
        <f t="shared" si="34"/>
        <v>5.0252597142858955</v>
      </c>
      <c r="CE41" s="61">
        <v>165</v>
      </c>
      <c r="CF41" s="62">
        <v>1</v>
      </c>
      <c r="CG41" s="49">
        <f t="shared" si="35"/>
        <v>3.0456119480520578E-2</v>
      </c>
      <c r="CH41" s="100">
        <v>49.299992000001787</v>
      </c>
      <c r="CI41" s="67">
        <f t="shared" si="36"/>
        <v>7.0428560000002554</v>
      </c>
      <c r="CJ41" s="61">
        <v>150</v>
      </c>
      <c r="CK41" s="62">
        <v>1</v>
      </c>
      <c r="CL41" s="49">
        <f t="shared" si="37"/>
        <v>4.6952373333335039E-2</v>
      </c>
      <c r="CM41" s="100">
        <v>295.20056000001068</v>
      </c>
      <c r="CN41" s="67">
        <f t="shared" si="38"/>
        <v>42.171508571430095</v>
      </c>
      <c r="CO41" s="51">
        <v>320</v>
      </c>
      <c r="CP41" s="62">
        <v>1</v>
      </c>
      <c r="CQ41" s="49">
        <f t="shared" si="39"/>
        <v>0.13178596428571904</v>
      </c>
      <c r="CR41" s="100">
        <v>885.60168000003205</v>
      </c>
      <c r="CS41" s="67">
        <f t="shared" si="40"/>
        <v>126.51452571429029</v>
      </c>
      <c r="CT41" s="51">
        <v>8000</v>
      </c>
      <c r="CU41" s="62">
        <v>1</v>
      </c>
      <c r="CV41" s="49">
        <f t="shared" si="41"/>
        <v>1.5814315714286285E-2</v>
      </c>
      <c r="CW41" s="100">
        <v>590.40112000002136</v>
      </c>
      <c r="CX41" s="67">
        <f t="shared" si="42"/>
        <v>84.343017142860191</v>
      </c>
      <c r="CY41" s="51">
        <v>300</v>
      </c>
      <c r="CZ41" s="62">
        <v>1</v>
      </c>
      <c r="DA41" s="49">
        <f t="shared" si="43"/>
        <v>0.28114339047620063</v>
      </c>
      <c r="DB41" s="57">
        <f t="shared" si="44"/>
        <v>37.462000000001353</v>
      </c>
      <c r="DC41" s="67">
        <f t="shared" si="45"/>
        <v>5.351714285714479</v>
      </c>
      <c r="DD41" s="58">
        <v>50</v>
      </c>
      <c r="DE41" s="62">
        <v>1</v>
      </c>
      <c r="DF41" s="49">
        <f t="shared" si="46"/>
        <v>0.10703428571428958</v>
      </c>
      <c r="DG41" s="59">
        <f t="shared" si="47"/>
        <v>1</v>
      </c>
      <c r="DH41" s="94">
        <f t="shared" si="48"/>
        <v>3.5</v>
      </c>
      <c r="DI41" s="94">
        <f t="shared" si="49"/>
        <v>6</v>
      </c>
      <c r="DJ41" s="94">
        <f t="shared" si="50"/>
        <v>1</v>
      </c>
      <c r="DK41" s="96">
        <f t="shared" si="57"/>
        <v>11</v>
      </c>
      <c r="DL41" s="28">
        <f t="shared" si="51"/>
        <v>7</v>
      </c>
      <c r="DM41" s="94">
        <f t="shared" si="52"/>
        <v>77</v>
      </c>
      <c r="DN41" s="117">
        <f t="shared" si="53"/>
        <v>78</v>
      </c>
      <c r="DO41" s="117"/>
      <c r="DP41" s="44">
        <f t="shared" si="54"/>
        <v>4.0625</v>
      </c>
      <c r="DQ41" s="26"/>
      <c r="DR41" s="26"/>
      <c r="DS41" s="26"/>
      <c r="DT41" s="26"/>
      <c r="DU41" s="26"/>
    </row>
    <row r="42" spans="2:125" s="1" customFormat="1" ht="17.25" customHeight="1">
      <c r="B42" s="104">
        <v>34</v>
      </c>
      <c r="C42" s="101" t="s">
        <v>138</v>
      </c>
      <c r="D42" s="99" t="s">
        <v>139</v>
      </c>
      <c r="E42" s="99" t="s">
        <v>63</v>
      </c>
      <c r="F42" s="64" t="s">
        <v>82</v>
      </c>
      <c r="G42" s="64" t="s">
        <v>18</v>
      </c>
      <c r="H42" s="63"/>
      <c r="I42" s="98">
        <v>11329.264999999999</v>
      </c>
      <c r="J42" s="98">
        <v>11388.429</v>
      </c>
      <c r="K42" s="45">
        <f t="shared" si="55"/>
        <v>59.164000000000669</v>
      </c>
      <c r="L42" s="45" t="s">
        <v>47</v>
      </c>
      <c r="M42" s="71">
        <v>9</v>
      </c>
      <c r="N42" s="45">
        <f t="shared" si="56"/>
        <v>6.5737777777778525</v>
      </c>
      <c r="O42" s="48">
        <v>1</v>
      </c>
      <c r="P42" s="100">
        <v>89.337640000001016</v>
      </c>
      <c r="Q42" s="67">
        <f t="shared" si="7"/>
        <v>9.9264044444445574</v>
      </c>
      <c r="R42" s="46">
        <v>53.9</v>
      </c>
      <c r="S42" s="62">
        <v>1</v>
      </c>
      <c r="T42" s="48">
        <f t="shared" si="8"/>
        <v>0.18416334776334986</v>
      </c>
      <c r="U42" s="100">
        <v>326.58528000000371</v>
      </c>
      <c r="V42" s="67">
        <f t="shared" si="9"/>
        <v>36.287253333333744</v>
      </c>
      <c r="W42" s="75">
        <v>190</v>
      </c>
      <c r="X42" s="62">
        <v>1</v>
      </c>
      <c r="Y42" s="48">
        <f t="shared" si="10"/>
        <v>0.19098554385965127</v>
      </c>
      <c r="Z42" s="100">
        <v>79.279760000000906</v>
      </c>
      <c r="AA42" s="67">
        <f t="shared" si="11"/>
        <v>8.8088622222223236</v>
      </c>
      <c r="AB42" s="61">
        <v>42</v>
      </c>
      <c r="AC42" s="62">
        <v>1</v>
      </c>
      <c r="AD42" s="48">
        <f t="shared" si="12"/>
        <v>0.50973481481481719</v>
      </c>
      <c r="AE42" s="100">
        <v>47.331200000000536</v>
      </c>
      <c r="AF42" s="67">
        <f t="shared" si="13"/>
        <v>5.2590222222222813</v>
      </c>
      <c r="AG42" s="61">
        <v>40</v>
      </c>
      <c r="AH42" s="62">
        <v>1</v>
      </c>
      <c r="AI42" s="48">
        <f t="shared" si="14"/>
        <v>0.13147555555555704</v>
      </c>
      <c r="AJ42" s="100">
        <v>21.299040000000243</v>
      </c>
      <c r="AK42" s="67">
        <f t="shared" si="15"/>
        <v>2.3665600000000269</v>
      </c>
      <c r="AL42" s="61">
        <v>130</v>
      </c>
      <c r="AM42" s="62">
        <v>1</v>
      </c>
      <c r="AN42" s="60">
        <f t="shared" si="16"/>
        <v>1.8204307692307898E-2</v>
      </c>
      <c r="AO42" s="47">
        <f t="shared" si="17"/>
        <v>1</v>
      </c>
      <c r="AP42" s="100">
        <v>67.446960000000772</v>
      </c>
      <c r="AQ42" s="67">
        <f t="shared" si="18"/>
        <v>7.4941066666667524</v>
      </c>
      <c r="AR42" s="61">
        <v>225</v>
      </c>
      <c r="AS42" s="62">
        <v>1</v>
      </c>
      <c r="AT42" s="49">
        <f t="shared" si="19"/>
        <v>3.330714074074112E-2</v>
      </c>
      <c r="AU42" s="50">
        <f t="shared" si="20"/>
        <v>3.5</v>
      </c>
      <c r="AV42" s="100">
        <v>23.665600000000268</v>
      </c>
      <c r="AW42" s="67">
        <f t="shared" si="21"/>
        <v>2.6295111111111407</v>
      </c>
      <c r="AX42" s="51">
        <v>40</v>
      </c>
      <c r="AY42" s="62">
        <v>1</v>
      </c>
      <c r="AZ42" s="49">
        <f t="shared" si="22"/>
        <v>6.5737777777778519E-2</v>
      </c>
      <c r="BA42" s="100">
        <v>26.0321600000003</v>
      </c>
      <c r="BB42" s="67">
        <f t="shared" si="23"/>
        <v>2.8924622222222554</v>
      </c>
      <c r="BC42" s="61">
        <v>130</v>
      </c>
      <c r="BD42" s="62">
        <v>1</v>
      </c>
      <c r="BE42" s="60">
        <f t="shared" si="24"/>
        <v>2.2249709401709658E-2</v>
      </c>
      <c r="BF42" s="47">
        <f t="shared" si="25"/>
        <v>2</v>
      </c>
      <c r="BG42" s="33"/>
      <c r="BH42" s="33"/>
      <c r="BI42" s="52"/>
      <c r="BJ42" s="53"/>
      <c r="BK42" s="54"/>
      <c r="BL42" s="100">
        <v>89.219312000001011</v>
      </c>
      <c r="BM42" s="67">
        <f t="shared" si="26"/>
        <v>9.913256888889002</v>
      </c>
      <c r="BN42" s="51">
        <v>35</v>
      </c>
      <c r="BO42" s="62">
        <v>1</v>
      </c>
      <c r="BP42" s="60">
        <f t="shared" si="27"/>
        <v>0.28323591111111435</v>
      </c>
      <c r="BQ42" s="100">
        <v>15.145984000000171</v>
      </c>
      <c r="BR42" s="67">
        <f t="shared" si="28"/>
        <v>1.6828871111111301</v>
      </c>
      <c r="BS42" s="55">
        <v>3.4</v>
      </c>
      <c r="BT42" s="62">
        <v>1</v>
      </c>
      <c r="BU42" s="49">
        <f t="shared" si="29"/>
        <v>0.49496679738562649</v>
      </c>
      <c r="BV42" s="100">
        <v>81.17300800000092</v>
      </c>
      <c r="BW42" s="67">
        <f t="shared" si="30"/>
        <v>9.0192231111112129</v>
      </c>
      <c r="BX42" s="61">
        <v>125</v>
      </c>
      <c r="BY42" s="62">
        <v>1</v>
      </c>
      <c r="BZ42" s="60">
        <f t="shared" si="31"/>
        <v>7.2153784888889697E-2</v>
      </c>
      <c r="CA42" s="47">
        <f t="shared" si="32"/>
        <v>3</v>
      </c>
      <c r="CB42" s="56">
        <f t="shared" si="33"/>
        <v>6</v>
      </c>
      <c r="CC42" s="100">
        <v>29.227016000000329</v>
      </c>
      <c r="CD42" s="67">
        <f t="shared" si="34"/>
        <v>3.2474462222222589</v>
      </c>
      <c r="CE42" s="61">
        <v>165</v>
      </c>
      <c r="CF42" s="62">
        <v>1</v>
      </c>
      <c r="CG42" s="49">
        <f t="shared" si="35"/>
        <v>1.9681492255892479E-2</v>
      </c>
      <c r="CH42" s="100">
        <v>39.639880000000453</v>
      </c>
      <c r="CI42" s="67">
        <f t="shared" si="36"/>
        <v>4.4044311111111618</v>
      </c>
      <c r="CJ42" s="61">
        <v>150</v>
      </c>
      <c r="CK42" s="62">
        <v>1</v>
      </c>
      <c r="CL42" s="49">
        <f t="shared" si="37"/>
        <v>2.936287407407441E-2</v>
      </c>
      <c r="CM42" s="100">
        <v>241.38912000000275</v>
      </c>
      <c r="CN42" s="67">
        <f t="shared" si="38"/>
        <v>26.821013333333639</v>
      </c>
      <c r="CO42" s="51">
        <v>320</v>
      </c>
      <c r="CP42" s="62">
        <v>1</v>
      </c>
      <c r="CQ42" s="49">
        <f t="shared" si="39"/>
        <v>8.3815666666667621E-2</v>
      </c>
      <c r="CR42" s="100">
        <v>724.16736000000822</v>
      </c>
      <c r="CS42" s="67">
        <f t="shared" si="40"/>
        <v>80.463040000000916</v>
      </c>
      <c r="CT42" s="51">
        <v>8000</v>
      </c>
      <c r="CU42" s="62">
        <v>1</v>
      </c>
      <c r="CV42" s="49">
        <f t="shared" si="41"/>
        <v>1.0057880000000114E-2</v>
      </c>
      <c r="CW42" s="100">
        <v>482.7782400000055</v>
      </c>
      <c r="CX42" s="67">
        <f t="shared" si="42"/>
        <v>53.642026666667277</v>
      </c>
      <c r="CY42" s="51">
        <v>300</v>
      </c>
      <c r="CZ42" s="62">
        <v>1</v>
      </c>
      <c r="DA42" s="49">
        <f t="shared" si="43"/>
        <v>0.17880675555555758</v>
      </c>
      <c r="DB42" s="57">
        <f t="shared" si="44"/>
        <v>59.164000000000669</v>
      </c>
      <c r="DC42" s="67">
        <f t="shared" si="45"/>
        <v>6.5737777777778525</v>
      </c>
      <c r="DD42" s="58">
        <v>50</v>
      </c>
      <c r="DE42" s="62">
        <v>1</v>
      </c>
      <c r="DF42" s="49">
        <f t="shared" si="46"/>
        <v>0.13147555555555704</v>
      </c>
      <c r="DG42" s="59">
        <f t="shared" si="47"/>
        <v>0.5</v>
      </c>
      <c r="DH42" s="94">
        <f t="shared" si="48"/>
        <v>3.5</v>
      </c>
      <c r="DI42" s="94">
        <f t="shared" si="49"/>
        <v>6</v>
      </c>
      <c r="DJ42" s="94">
        <f t="shared" si="50"/>
        <v>0.5</v>
      </c>
      <c r="DK42" s="96">
        <f t="shared" si="57"/>
        <v>10</v>
      </c>
      <c r="DL42" s="28">
        <f t="shared" si="51"/>
        <v>9</v>
      </c>
      <c r="DM42" s="94">
        <f t="shared" si="52"/>
        <v>90</v>
      </c>
      <c r="DN42" s="117">
        <f t="shared" si="53"/>
        <v>91</v>
      </c>
      <c r="DO42" s="117"/>
      <c r="DP42" s="44">
        <f t="shared" si="54"/>
        <v>4.7395833333333339</v>
      </c>
      <c r="DQ42" s="26"/>
      <c r="DR42" s="26"/>
      <c r="DS42" s="26"/>
      <c r="DT42" s="26"/>
      <c r="DU42" s="26"/>
    </row>
    <row r="43" spans="2:125" s="1" customFormat="1" ht="17.25" customHeight="1">
      <c r="B43" s="36">
        <v>35</v>
      </c>
      <c r="C43" s="37" t="s">
        <v>167</v>
      </c>
      <c r="D43" s="38" t="s">
        <v>128</v>
      </c>
      <c r="E43" s="38"/>
      <c r="F43" s="77" t="s">
        <v>164</v>
      </c>
      <c r="G43" s="77" t="s">
        <v>18</v>
      </c>
      <c r="H43" s="89"/>
      <c r="I43" s="39">
        <v>11896.237999999999</v>
      </c>
      <c r="J43" s="39">
        <v>11958.413</v>
      </c>
      <c r="K43" s="88">
        <f t="shared" si="55"/>
        <v>62.175000000001091</v>
      </c>
      <c r="L43" s="76" t="s">
        <v>179</v>
      </c>
      <c r="M43" s="72">
        <v>9</v>
      </c>
      <c r="N43" s="88">
        <f>K43/M43</f>
        <v>6.9083333333334549</v>
      </c>
      <c r="O43" s="48">
        <v>1</v>
      </c>
      <c r="P43" s="100">
        <v>137.25705000000147</v>
      </c>
      <c r="Q43" s="67">
        <f>P43/M43</f>
        <v>15.250783333333496</v>
      </c>
      <c r="R43" s="46">
        <v>53.9</v>
      </c>
      <c r="S43" s="62">
        <v>1</v>
      </c>
      <c r="T43" s="48">
        <f>Q43/R43/S43</f>
        <v>0.2829458874458905</v>
      </c>
      <c r="U43" s="100">
        <v>454.6500000000056</v>
      </c>
      <c r="V43" s="67">
        <f>U43/M43</f>
        <v>50.516666666667291</v>
      </c>
      <c r="W43" s="75">
        <v>190</v>
      </c>
      <c r="X43" s="62">
        <v>1</v>
      </c>
      <c r="Y43" s="48">
        <f>V43/W43/X43</f>
        <v>0.26587719298245943</v>
      </c>
      <c r="Z43" s="100">
        <v>83.314500000001459</v>
      </c>
      <c r="AA43" s="67">
        <f>Z43/M43</f>
        <v>9.2571666666668282</v>
      </c>
      <c r="AB43" s="61">
        <v>42</v>
      </c>
      <c r="AC43" s="62">
        <v>1</v>
      </c>
      <c r="AD43" s="48">
        <f>AA43/AB43/AC43+0.3</f>
        <v>0.52040873015873401</v>
      </c>
      <c r="AE43" s="100">
        <v>49.740000000000876</v>
      </c>
      <c r="AF43" s="67">
        <f>AE43/M43</f>
        <v>5.5266666666667641</v>
      </c>
      <c r="AG43" s="61">
        <v>40</v>
      </c>
      <c r="AH43" s="62">
        <v>1</v>
      </c>
      <c r="AI43" s="48">
        <f>AF43/AG43/AH43</f>
        <v>0.1381666666666691</v>
      </c>
      <c r="AJ43" s="100">
        <v>22.383000000000397</v>
      </c>
      <c r="AK43" s="67">
        <f>AJ43/M43</f>
        <v>2.4870000000000441</v>
      </c>
      <c r="AL43" s="61">
        <v>130</v>
      </c>
      <c r="AM43" s="62">
        <v>1</v>
      </c>
      <c r="AN43" s="60">
        <f>AK43/AL43/AM43</f>
        <v>1.9130769230769569E-2</v>
      </c>
      <c r="AO43" s="47">
        <f>IF(G43="보통",2,IF(G43="조강",1,""))</f>
        <v>1</v>
      </c>
      <c r="AP43" s="100">
        <v>116.66190000000108</v>
      </c>
      <c r="AQ43" s="67">
        <f>AP43/M43</f>
        <v>12.962433333333454</v>
      </c>
      <c r="AR43" s="61">
        <v>225</v>
      </c>
      <c r="AS43" s="62">
        <v>1</v>
      </c>
      <c r="AT43" s="49">
        <f>AQ43/AR43/AS43</f>
        <v>5.761081481481535E-2</v>
      </c>
      <c r="AU43" s="50">
        <f>CEILING(SUM(O43,T43,Y43,AD43,AI43,AN43,AO43,AT43),0.5)</f>
        <v>3.5</v>
      </c>
      <c r="AV43" s="100">
        <v>24.870000000000438</v>
      </c>
      <c r="AW43" s="67">
        <f>AV43/M43</f>
        <v>2.763333333333382</v>
      </c>
      <c r="AX43" s="51">
        <v>40</v>
      </c>
      <c r="AY43" s="62">
        <v>1</v>
      </c>
      <c r="AZ43" s="49">
        <f>AW43/AX43/AY43</f>
        <v>6.9083333333334551E-2</v>
      </c>
      <c r="BA43" s="100">
        <v>27.357000000000486</v>
      </c>
      <c r="BB43" s="67">
        <f>BA43/M43</f>
        <v>3.0396666666667205</v>
      </c>
      <c r="BC43" s="61">
        <v>130</v>
      </c>
      <c r="BD43" s="62">
        <v>1</v>
      </c>
      <c r="BE43" s="60">
        <f>BB43/BC43/BD43</f>
        <v>2.3382051282051695E-2</v>
      </c>
      <c r="BF43" s="47">
        <f>IF(G43="보통",5,IF(G43="조강",2,""))</f>
        <v>2</v>
      </c>
      <c r="BG43" s="33"/>
      <c r="BH43" s="33"/>
      <c r="BI43" s="52"/>
      <c r="BJ43" s="53"/>
      <c r="BK43" s="54"/>
      <c r="BL43" s="100">
        <v>93.75990000000165</v>
      </c>
      <c r="BM43" s="67">
        <f>BL43/M43</f>
        <v>10.41776666666685</v>
      </c>
      <c r="BN43" s="51">
        <v>35</v>
      </c>
      <c r="BO43" s="62">
        <v>1</v>
      </c>
      <c r="BP43" s="60">
        <f>BM43/BN43/BO43</f>
        <v>0.29765047619048141</v>
      </c>
      <c r="BQ43" s="100">
        <v>15.916800000000279</v>
      </c>
      <c r="BR43" s="67">
        <f>BQ43/M43</f>
        <v>1.7685333333333644</v>
      </c>
      <c r="BS43" s="55">
        <v>3.4</v>
      </c>
      <c r="BT43" s="62">
        <v>1</v>
      </c>
      <c r="BU43" s="49">
        <f>BR43/BS43/BT43</f>
        <v>0.5201568627451072</v>
      </c>
      <c r="BV43" s="100">
        <v>85.304100000001498</v>
      </c>
      <c r="BW43" s="67">
        <f>BV43/M43</f>
        <v>9.4782333333334989</v>
      </c>
      <c r="BX43" s="61">
        <v>125</v>
      </c>
      <c r="BY43" s="62">
        <v>1</v>
      </c>
      <c r="BZ43" s="60">
        <f>BW43/BX43/BY43</f>
        <v>7.582586666666799E-2</v>
      </c>
      <c r="CA43" s="47">
        <f>IF(G43="보통",7,IF(G43="조강",3,""))</f>
        <v>3</v>
      </c>
      <c r="CB43" s="56">
        <f>CEILING(SUM(AZ43,BE43,BF43,BK43,BP43,BU43,BZ43,CA43),0.5)</f>
        <v>6</v>
      </c>
      <c r="CC43" s="100">
        <v>57.521250000000443</v>
      </c>
      <c r="CD43" s="67">
        <f>CC43/M43</f>
        <v>6.3912500000000492</v>
      </c>
      <c r="CE43" s="61">
        <v>165</v>
      </c>
      <c r="CF43" s="62">
        <v>1</v>
      </c>
      <c r="CG43" s="49">
        <f>CD43/CE43/CF43</f>
        <v>3.8734848484848781E-2</v>
      </c>
      <c r="CH43" s="100">
        <v>80.572290000000592</v>
      </c>
      <c r="CI43" s="67">
        <f>CH43/M43</f>
        <v>8.9524766666667333</v>
      </c>
      <c r="CJ43" s="61">
        <v>150</v>
      </c>
      <c r="CK43" s="62">
        <v>1</v>
      </c>
      <c r="CL43" s="49">
        <f>CI43/CJ43/CK43</f>
        <v>5.9683177777778221E-2</v>
      </c>
      <c r="CM43" s="100">
        <v>482.58600000000359</v>
      </c>
      <c r="CN43" s="67">
        <f>CM43/M43</f>
        <v>53.620666666667063</v>
      </c>
      <c r="CO43" s="51">
        <v>320</v>
      </c>
      <c r="CP43" s="62">
        <v>1</v>
      </c>
      <c r="CQ43" s="49">
        <f>CN43/CO43/CP43</f>
        <v>0.16756458333333457</v>
      </c>
      <c r="CR43" s="100">
        <v>1447.7580000000107</v>
      </c>
      <c r="CS43" s="67">
        <f>CR43/M43</f>
        <v>160.86200000000119</v>
      </c>
      <c r="CT43" s="51">
        <v>8000</v>
      </c>
      <c r="CU43" s="62">
        <v>1</v>
      </c>
      <c r="CV43" s="49">
        <f>CS43/CT43/CU43</f>
        <v>2.010775000000015E-2</v>
      </c>
      <c r="CW43" s="100">
        <v>965.17200000000719</v>
      </c>
      <c r="CX43" s="67">
        <f>CW43/M43</f>
        <v>107.24133333333413</v>
      </c>
      <c r="CY43" s="51">
        <v>300</v>
      </c>
      <c r="CZ43" s="62">
        <v>1</v>
      </c>
      <c r="DA43" s="49">
        <f>CX43/CY43/CZ43</f>
        <v>0.35747111111111374</v>
      </c>
      <c r="DB43" s="57">
        <f>K43</f>
        <v>62.175000000001091</v>
      </c>
      <c r="DC43" s="67">
        <f>DB43/M43</f>
        <v>6.9083333333334549</v>
      </c>
      <c r="DD43" s="58">
        <v>50</v>
      </c>
      <c r="DE43" s="62">
        <v>1</v>
      </c>
      <c r="DF43" s="49">
        <f>DC43/DD43/DE43</f>
        <v>0.1381666666666691</v>
      </c>
      <c r="DG43" s="59">
        <f>CEILING(SUM(CG43,CL43,CQ43,CV43,DA43,DF43),0.5)</f>
        <v>1</v>
      </c>
      <c r="DH43" s="94">
        <f t="shared" si="48"/>
        <v>3.5</v>
      </c>
      <c r="DI43" s="94">
        <f t="shared" si="49"/>
        <v>6</v>
      </c>
      <c r="DJ43" s="94">
        <f>DG43</f>
        <v>1</v>
      </c>
      <c r="DK43" s="96">
        <f t="shared" si="57"/>
        <v>11</v>
      </c>
      <c r="DL43" s="28">
        <f t="shared" si="51"/>
        <v>9</v>
      </c>
      <c r="DM43" s="94">
        <f>DK43*DL43</f>
        <v>99</v>
      </c>
      <c r="DN43" s="117">
        <f t="shared" si="53"/>
        <v>100</v>
      </c>
      <c r="DO43" s="117"/>
      <c r="DP43" s="44">
        <f t="shared" si="54"/>
        <v>5.2083333333333339</v>
      </c>
      <c r="DQ43" s="26"/>
      <c r="DR43" s="26"/>
      <c r="DS43" s="26"/>
      <c r="DT43" s="26"/>
      <c r="DU43" s="26"/>
    </row>
    <row r="44" spans="2:125" s="1" customFormat="1" ht="17.25" customHeight="1">
      <c r="B44" s="104">
        <v>36</v>
      </c>
      <c r="C44" s="101" t="s">
        <v>140</v>
      </c>
      <c r="D44" s="99" t="s">
        <v>141</v>
      </c>
      <c r="E44" s="99" t="s">
        <v>63</v>
      </c>
      <c r="F44" s="64" t="s">
        <v>88</v>
      </c>
      <c r="G44" s="64" t="s">
        <v>18</v>
      </c>
      <c r="H44" s="63"/>
      <c r="I44" s="98">
        <v>12380.499</v>
      </c>
      <c r="J44" s="98">
        <v>12420.794</v>
      </c>
      <c r="K44" s="45">
        <f t="shared" si="55"/>
        <v>40.295000000000073</v>
      </c>
      <c r="L44" s="45" t="s">
        <v>47</v>
      </c>
      <c r="M44" s="71">
        <v>7</v>
      </c>
      <c r="N44" s="45">
        <f t="shared" si="56"/>
        <v>5.7564285714285814</v>
      </c>
      <c r="O44" s="48">
        <v>1</v>
      </c>
      <c r="P44" s="100">
        <v>60.845450000000113</v>
      </c>
      <c r="Q44" s="67">
        <f t="shared" si="7"/>
        <v>8.6922071428571588</v>
      </c>
      <c r="R44" s="46">
        <v>53.9</v>
      </c>
      <c r="S44" s="62">
        <v>1</v>
      </c>
      <c r="T44" s="48">
        <f t="shared" si="8"/>
        <v>0.16126543864298995</v>
      </c>
      <c r="U44" s="100">
        <v>222.42840000000041</v>
      </c>
      <c r="V44" s="67">
        <f t="shared" si="9"/>
        <v>31.775485714285772</v>
      </c>
      <c r="W44" s="75">
        <v>190</v>
      </c>
      <c r="X44" s="62">
        <v>1</v>
      </c>
      <c r="Y44" s="48">
        <f t="shared" si="10"/>
        <v>0.16723939849624089</v>
      </c>
      <c r="Z44" s="100">
        <v>53.9953000000001</v>
      </c>
      <c r="AA44" s="67">
        <f t="shared" si="11"/>
        <v>7.7136142857143</v>
      </c>
      <c r="AB44" s="61">
        <v>42</v>
      </c>
      <c r="AC44" s="62">
        <v>1</v>
      </c>
      <c r="AD44" s="48">
        <f t="shared" si="12"/>
        <v>0.48365748299319761</v>
      </c>
      <c r="AE44" s="100">
        <v>32.236000000000061</v>
      </c>
      <c r="AF44" s="67">
        <f t="shared" si="13"/>
        <v>4.6051428571428659</v>
      </c>
      <c r="AG44" s="61">
        <v>40</v>
      </c>
      <c r="AH44" s="62">
        <v>1</v>
      </c>
      <c r="AI44" s="48">
        <f t="shared" si="14"/>
        <v>0.11512857142857165</v>
      </c>
      <c r="AJ44" s="100">
        <v>14.506200000000028</v>
      </c>
      <c r="AK44" s="67">
        <f t="shared" si="15"/>
        <v>2.0723142857142896</v>
      </c>
      <c r="AL44" s="61">
        <v>130</v>
      </c>
      <c r="AM44" s="62">
        <v>1</v>
      </c>
      <c r="AN44" s="60">
        <f t="shared" si="16"/>
        <v>1.5940879120879152E-2</v>
      </c>
      <c r="AO44" s="47">
        <f t="shared" si="17"/>
        <v>1</v>
      </c>
      <c r="AP44" s="100">
        <v>45.936300000000088</v>
      </c>
      <c r="AQ44" s="67">
        <f t="shared" si="18"/>
        <v>6.5623285714285844</v>
      </c>
      <c r="AR44" s="61">
        <v>225</v>
      </c>
      <c r="AS44" s="62">
        <v>1</v>
      </c>
      <c r="AT44" s="49">
        <f t="shared" si="19"/>
        <v>2.916590476190482E-2</v>
      </c>
      <c r="AU44" s="50">
        <f t="shared" si="20"/>
        <v>3</v>
      </c>
      <c r="AV44" s="100">
        <v>16.118000000000031</v>
      </c>
      <c r="AW44" s="67">
        <f t="shared" si="21"/>
        <v>2.3025714285714329</v>
      </c>
      <c r="AX44" s="51">
        <v>40</v>
      </c>
      <c r="AY44" s="62">
        <v>1</v>
      </c>
      <c r="AZ44" s="49">
        <f t="shared" si="22"/>
        <v>5.7564285714285825E-2</v>
      </c>
      <c r="BA44" s="100">
        <v>17.729800000000033</v>
      </c>
      <c r="BB44" s="67">
        <f t="shared" si="23"/>
        <v>2.5328285714285763</v>
      </c>
      <c r="BC44" s="61">
        <v>130</v>
      </c>
      <c r="BD44" s="62">
        <v>1</v>
      </c>
      <c r="BE44" s="60">
        <f t="shared" si="24"/>
        <v>1.9483296703296741E-2</v>
      </c>
      <c r="BF44" s="47">
        <f t="shared" si="25"/>
        <v>2</v>
      </c>
      <c r="BG44" s="33"/>
      <c r="BH44" s="33"/>
      <c r="BI44" s="52"/>
      <c r="BJ44" s="53"/>
      <c r="BK44" s="54"/>
      <c r="BL44" s="100">
        <v>60.764860000000112</v>
      </c>
      <c r="BM44" s="67">
        <f t="shared" si="26"/>
        <v>8.680694285714301</v>
      </c>
      <c r="BN44" s="51">
        <v>35</v>
      </c>
      <c r="BO44" s="62">
        <v>1</v>
      </c>
      <c r="BP44" s="60">
        <f t="shared" si="27"/>
        <v>0.24801983673469433</v>
      </c>
      <c r="BQ44" s="100">
        <v>10.315520000000019</v>
      </c>
      <c r="BR44" s="67">
        <f t="shared" si="28"/>
        <v>1.4736457142857169</v>
      </c>
      <c r="BS44" s="55">
        <v>3.4</v>
      </c>
      <c r="BT44" s="62">
        <v>1</v>
      </c>
      <c r="BU44" s="49">
        <f t="shared" si="29"/>
        <v>0.4334252100840344</v>
      </c>
      <c r="BV44" s="100">
        <v>55.284740000000106</v>
      </c>
      <c r="BW44" s="67">
        <f t="shared" si="30"/>
        <v>7.8978200000000154</v>
      </c>
      <c r="BX44" s="61">
        <v>125</v>
      </c>
      <c r="BY44" s="62">
        <v>1</v>
      </c>
      <c r="BZ44" s="60">
        <f t="shared" si="31"/>
        <v>6.3182560000000124E-2</v>
      </c>
      <c r="CA44" s="47">
        <f t="shared" si="32"/>
        <v>3</v>
      </c>
      <c r="CB44" s="56">
        <f t="shared" si="33"/>
        <v>6</v>
      </c>
      <c r="CC44" s="100">
        <v>19.905730000000037</v>
      </c>
      <c r="CD44" s="67">
        <f t="shared" si="34"/>
        <v>2.8436757142857196</v>
      </c>
      <c r="CE44" s="61">
        <v>165</v>
      </c>
      <c r="CF44" s="62">
        <v>1</v>
      </c>
      <c r="CG44" s="49">
        <f t="shared" si="35"/>
        <v>1.7234398268398302E-2</v>
      </c>
      <c r="CH44" s="100">
        <v>26.99765000000005</v>
      </c>
      <c r="CI44" s="67">
        <f t="shared" si="36"/>
        <v>3.85680714285715</v>
      </c>
      <c r="CJ44" s="61">
        <v>150</v>
      </c>
      <c r="CK44" s="62">
        <v>1</v>
      </c>
      <c r="CL44" s="49">
        <f t="shared" si="37"/>
        <v>2.5712047619047666E-2</v>
      </c>
      <c r="CM44" s="100">
        <v>164.4036000000003</v>
      </c>
      <c r="CN44" s="67">
        <f t="shared" si="38"/>
        <v>23.486228571428615</v>
      </c>
      <c r="CO44" s="51">
        <v>320</v>
      </c>
      <c r="CP44" s="62">
        <v>1</v>
      </c>
      <c r="CQ44" s="49">
        <f t="shared" si="39"/>
        <v>7.3394464285714417E-2</v>
      </c>
      <c r="CR44" s="100">
        <v>493.21080000000086</v>
      </c>
      <c r="CS44" s="67">
        <f t="shared" si="40"/>
        <v>70.458685714285835</v>
      </c>
      <c r="CT44" s="51">
        <v>8000</v>
      </c>
      <c r="CU44" s="62">
        <v>1</v>
      </c>
      <c r="CV44" s="49">
        <f t="shared" si="41"/>
        <v>8.807335714285729E-3</v>
      </c>
      <c r="CW44" s="100">
        <v>328.80720000000059</v>
      </c>
      <c r="CX44" s="67">
        <f t="shared" si="42"/>
        <v>46.97245714285723</v>
      </c>
      <c r="CY44" s="51">
        <v>300</v>
      </c>
      <c r="CZ44" s="62">
        <v>1</v>
      </c>
      <c r="DA44" s="49">
        <f t="shared" si="43"/>
        <v>0.15657485714285743</v>
      </c>
      <c r="DB44" s="57">
        <f t="shared" si="44"/>
        <v>40.295000000000073</v>
      </c>
      <c r="DC44" s="67">
        <f t="shared" si="45"/>
        <v>5.7564285714285814</v>
      </c>
      <c r="DD44" s="58">
        <v>50</v>
      </c>
      <c r="DE44" s="62">
        <v>1</v>
      </c>
      <c r="DF44" s="49">
        <f t="shared" si="46"/>
        <v>0.11512857142857164</v>
      </c>
      <c r="DG44" s="59">
        <f t="shared" si="47"/>
        <v>0.5</v>
      </c>
      <c r="DH44" s="94">
        <f t="shared" si="48"/>
        <v>3</v>
      </c>
      <c r="DI44" s="94">
        <f t="shared" si="49"/>
        <v>6</v>
      </c>
      <c r="DJ44" s="94">
        <f t="shared" si="50"/>
        <v>0.5</v>
      </c>
      <c r="DK44" s="96">
        <f t="shared" si="57"/>
        <v>10</v>
      </c>
      <c r="DL44" s="28">
        <f t="shared" si="51"/>
        <v>7</v>
      </c>
      <c r="DM44" s="94">
        <f t="shared" si="52"/>
        <v>70</v>
      </c>
      <c r="DN44" s="117">
        <f t="shared" si="53"/>
        <v>71</v>
      </c>
      <c r="DO44" s="117"/>
      <c r="DP44" s="44">
        <f t="shared" si="54"/>
        <v>3.697916666666667</v>
      </c>
      <c r="DQ44" s="26"/>
      <c r="DR44" s="26"/>
      <c r="DS44" s="26"/>
      <c r="DT44" s="26"/>
      <c r="DU44" s="26"/>
    </row>
    <row r="45" spans="2:125" s="1" customFormat="1" ht="17.25" customHeight="1">
      <c r="B45" s="104">
        <v>37</v>
      </c>
      <c r="C45" s="101" t="s">
        <v>142</v>
      </c>
      <c r="D45" s="99" t="s">
        <v>143</v>
      </c>
      <c r="E45" s="99" t="s">
        <v>63</v>
      </c>
      <c r="F45" s="64" t="s">
        <v>82</v>
      </c>
      <c r="G45" s="64" t="s">
        <v>18</v>
      </c>
      <c r="H45" s="63"/>
      <c r="I45" s="98">
        <v>13118.243</v>
      </c>
      <c r="J45" s="98">
        <v>13162.977999999999</v>
      </c>
      <c r="K45" s="45">
        <f t="shared" si="55"/>
        <v>44.734999999998763</v>
      </c>
      <c r="L45" s="45" t="s">
        <v>47</v>
      </c>
      <c r="M45" s="71">
        <v>7</v>
      </c>
      <c r="N45" s="45">
        <f t="shared" si="56"/>
        <v>6.3907142857141093</v>
      </c>
      <c r="O45" s="48">
        <v>1</v>
      </c>
      <c r="P45" s="100">
        <v>99.759049999997245</v>
      </c>
      <c r="Q45" s="67">
        <f t="shared" si="7"/>
        <v>14.251292857142463</v>
      </c>
      <c r="R45" s="46">
        <v>53.9</v>
      </c>
      <c r="S45" s="62">
        <v>1</v>
      </c>
      <c r="T45" s="48">
        <f t="shared" si="8"/>
        <v>0.26440246488204944</v>
      </c>
      <c r="U45" s="100">
        <v>329.69694999999086</v>
      </c>
      <c r="V45" s="67">
        <f t="shared" si="9"/>
        <v>47.099564285712979</v>
      </c>
      <c r="W45" s="75">
        <v>190</v>
      </c>
      <c r="X45" s="62">
        <v>1</v>
      </c>
      <c r="Y45" s="48">
        <f t="shared" si="10"/>
        <v>0.24789244360901569</v>
      </c>
      <c r="Z45" s="100">
        <v>59.944899999998349</v>
      </c>
      <c r="AA45" s="67">
        <f t="shared" si="11"/>
        <v>8.5635571428569062</v>
      </c>
      <c r="AB45" s="61">
        <v>42</v>
      </c>
      <c r="AC45" s="62">
        <v>1</v>
      </c>
      <c r="AD45" s="48">
        <f t="shared" si="12"/>
        <v>0.50389421768706921</v>
      </c>
      <c r="AE45" s="100">
        <v>35.787999999999009</v>
      </c>
      <c r="AF45" s="67">
        <f t="shared" si="13"/>
        <v>5.1125714285712869</v>
      </c>
      <c r="AG45" s="61">
        <v>40</v>
      </c>
      <c r="AH45" s="62">
        <v>1</v>
      </c>
      <c r="AI45" s="48">
        <f t="shared" si="14"/>
        <v>0.12781428571428216</v>
      </c>
      <c r="AJ45" s="100">
        <v>16.104599999999557</v>
      </c>
      <c r="AK45" s="67">
        <f t="shared" si="15"/>
        <v>2.3006571428570797</v>
      </c>
      <c r="AL45" s="61">
        <v>130</v>
      </c>
      <c r="AM45" s="62">
        <v>1</v>
      </c>
      <c r="AN45" s="60">
        <f t="shared" si="16"/>
        <v>1.769736263736215E-2</v>
      </c>
      <c r="AO45" s="47">
        <f t="shared" si="17"/>
        <v>1</v>
      </c>
      <c r="AP45" s="100">
        <v>84.996499999997653</v>
      </c>
      <c r="AQ45" s="67">
        <f t="shared" si="18"/>
        <v>12.142357142856808</v>
      </c>
      <c r="AR45" s="61">
        <v>225</v>
      </c>
      <c r="AS45" s="62">
        <v>1</v>
      </c>
      <c r="AT45" s="49">
        <f t="shared" si="19"/>
        <v>5.3966031746030256E-2</v>
      </c>
      <c r="AU45" s="50">
        <f t="shared" si="20"/>
        <v>3.5</v>
      </c>
      <c r="AV45" s="100">
        <v>17.893999999999505</v>
      </c>
      <c r="AW45" s="67">
        <f t="shared" si="21"/>
        <v>2.5562857142856434</v>
      </c>
      <c r="AX45" s="51">
        <v>40</v>
      </c>
      <c r="AY45" s="62">
        <v>1</v>
      </c>
      <c r="AZ45" s="49">
        <f t="shared" si="22"/>
        <v>6.390714285714108E-2</v>
      </c>
      <c r="BA45" s="100">
        <v>19.683399999999459</v>
      </c>
      <c r="BB45" s="67">
        <f t="shared" si="23"/>
        <v>2.8119142857142085</v>
      </c>
      <c r="BC45" s="61">
        <v>130</v>
      </c>
      <c r="BD45" s="62">
        <v>1</v>
      </c>
      <c r="BE45" s="60">
        <f t="shared" si="24"/>
        <v>2.1630109890109297E-2</v>
      </c>
      <c r="BF45" s="47">
        <f t="shared" si="25"/>
        <v>2</v>
      </c>
      <c r="BG45" s="33"/>
      <c r="BH45" s="33"/>
      <c r="BI45" s="52"/>
      <c r="BJ45" s="53"/>
      <c r="BK45" s="54"/>
      <c r="BL45" s="100">
        <v>67.460379999998139</v>
      </c>
      <c r="BM45" s="67">
        <f t="shared" si="26"/>
        <v>9.637197142856877</v>
      </c>
      <c r="BN45" s="51">
        <v>35</v>
      </c>
      <c r="BO45" s="62">
        <v>1</v>
      </c>
      <c r="BP45" s="60">
        <f t="shared" si="27"/>
        <v>0.27534848979591076</v>
      </c>
      <c r="BQ45" s="100">
        <v>11.452159999999683</v>
      </c>
      <c r="BR45" s="67">
        <f t="shared" si="28"/>
        <v>1.6360228571428119</v>
      </c>
      <c r="BS45" s="55">
        <v>3.4</v>
      </c>
      <c r="BT45" s="62">
        <v>1</v>
      </c>
      <c r="BU45" s="49">
        <f t="shared" si="29"/>
        <v>0.48118319327729764</v>
      </c>
      <c r="BV45" s="100">
        <v>61.376419999998305</v>
      </c>
      <c r="BW45" s="67">
        <f t="shared" si="30"/>
        <v>8.7680599999997586</v>
      </c>
      <c r="BX45" s="61">
        <v>125</v>
      </c>
      <c r="BY45" s="62">
        <v>1</v>
      </c>
      <c r="BZ45" s="60">
        <f t="shared" si="31"/>
        <v>7.0144479999998066E-2</v>
      </c>
      <c r="CA45" s="47">
        <f t="shared" si="32"/>
        <v>3</v>
      </c>
      <c r="CB45" s="56">
        <f t="shared" si="33"/>
        <v>6</v>
      </c>
      <c r="CC45" s="100">
        <v>42.006164999998838</v>
      </c>
      <c r="CD45" s="67">
        <f t="shared" si="34"/>
        <v>6.0008807142855485</v>
      </c>
      <c r="CE45" s="61">
        <v>165</v>
      </c>
      <c r="CF45" s="62">
        <v>1</v>
      </c>
      <c r="CG45" s="49">
        <f t="shared" si="35"/>
        <v>3.6368974025973021E-2</v>
      </c>
      <c r="CH45" s="100">
        <v>58.871259999998372</v>
      </c>
      <c r="CI45" s="67">
        <f t="shared" si="36"/>
        <v>8.4101799999997677</v>
      </c>
      <c r="CJ45" s="61">
        <v>150</v>
      </c>
      <c r="CK45" s="62">
        <v>1</v>
      </c>
      <c r="CL45" s="49">
        <f t="shared" si="37"/>
        <v>5.606786666666512E-2</v>
      </c>
      <c r="CM45" s="100">
        <v>352.51179999999027</v>
      </c>
      <c r="CN45" s="67">
        <f t="shared" si="38"/>
        <v>50.358828571427182</v>
      </c>
      <c r="CO45" s="51">
        <v>320</v>
      </c>
      <c r="CP45" s="62">
        <v>1</v>
      </c>
      <c r="CQ45" s="49">
        <f t="shared" si="39"/>
        <v>0.15737133928570995</v>
      </c>
      <c r="CR45" s="100">
        <v>1057.5353999999709</v>
      </c>
      <c r="CS45" s="67">
        <f t="shared" si="40"/>
        <v>151.07648571428155</v>
      </c>
      <c r="CT45" s="51">
        <v>8000</v>
      </c>
      <c r="CU45" s="62">
        <v>1</v>
      </c>
      <c r="CV45" s="49">
        <f t="shared" si="41"/>
        <v>1.8884560714285192E-2</v>
      </c>
      <c r="CW45" s="100">
        <v>705.02359999998055</v>
      </c>
      <c r="CX45" s="67">
        <f t="shared" si="42"/>
        <v>100.71765714285436</v>
      </c>
      <c r="CY45" s="51">
        <v>300</v>
      </c>
      <c r="CZ45" s="62">
        <v>1</v>
      </c>
      <c r="DA45" s="49">
        <f t="shared" si="43"/>
        <v>0.33572552380951454</v>
      </c>
      <c r="DB45" s="57">
        <f t="shared" si="44"/>
        <v>44.734999999998763</v>
      </c>
      <c r="DC45" s="67">
        <f t="shared" si="45"/>
        <v>6.3907142857141093</v>
      </c>
      <c r="DD45" s="58">
        <v>50</v>
      </c>
      <c r="DE45" s="62">
        <v>1</v>
      </c>
      <c r="DF45" s="49">
        <f t="shared" si="46"/>
        <v>0.12781428571428219</v>
      </c>
      <c r="DG45" s="59">
        <f t="shared" si="47"/>
        <v>1</v>
      </c>
      <c r="DH45" s="94">
        <f t="shared" si="48"/>
        <v>3.5</v>
      </c>
      <c r="DI45" s="94">
        <f t="shared" si="49"/>
        <v>6</v>
      </c>
      <c r="DJ45" s="94">
        <f t="shared" si="50"/>
        <v>1</v>
      </c>
      <c r="DK45" s="96">
        <f t="shared" si="57"/>
        <v>11</v>
      </c>
      <c r="DL45" s="28">
        <f t="shared" si="51"/>
        <v>7</v>
      </c>
      <c r="DM45" s="94">
        <f t="shared" si="52"/>
        <v>77</v>
      </c>
      <c r="DN45" s="117">
        <f t="shared" si="53"/>
        <v>78</v>
      </c>
      <c r="DO45" s="117"/>
      <c r="DP45" s="44">
        <f t="shared" si="54"/>
        <v>4.0625</v>
      </c>
      <c r="DQ45" s="26"/>
      <c r="DR45" s="26"/>
      <c r="DS45" s="26"/>
      <c r="DT45" s="26"/>
      <c r="DU45" s="26"/>
    </row>
    <row r="46" spans="2:125" s="1" customFormat="1" ht="17.25" customHeight="1">
      <c r="B46" s="66">
        <v>38</v>
      </c>
      <c r="C46" s="35" t="s">
        <v>144</v>
      </c>
      <c r="D46" s="68" t="s">
        <v>145</v>
      </c>
      <c r="E46" s="68" t="s">
        <v>64</v>
      </c>
      <c r="F46" s="64" t="s">
        <v>88</v>
      </c>
      <c r="G46" s="64" t="s">
        <v>18</v>
      </c>
      <c r="H46" s="63"/>
      <c r="I46" s="98">
        <v>13571.804</v>
      </c>
      <c r="J46" s="98">
        <v>13610.768</v>
      </c>
      <c r="K46" s="45">
        <f t="shared" si="55"/>
        <v>38.963999999999942</v>
      </c>
      <c r="L46" s="45" t="s">
        <v>47</v>
      </c>
      <c r="M46" s="71">
        <v>6</v>
      </c>
      <c r="N46" s="45">
        <f t="shared" si="56"/>
        <v>6.49399999999999</v>
      </c>
      <c r="O46" s="48">
        <v>1</v>
      </c>
      <c r="P46" s="100">
        <v>74.746199999999874</v>
      </c>
      <c r="Q46" s="67">
        <f t="shared" si="7"/>
        <v>12.45769999999998</v>
      </c>
      <c r="R46" s="46">
        <v>53.9</v>
      </c>
      <c r="S46" s="62">
        <v>1</v>
      </c>
      <c r="T46" s="48">
        <f t="shared" si="8"/>
        <v>0.23112615955473062</v>
      </c>
      <c r="U46" s="100">
        <v>255.9625799999996</v>
      </c>
      <c r="V46" s="67">
        <f t="shared" si="9"/>
        <v>42.660429999999934</v>
      </c>
      <c r="W46" s="75">
        <v>190</v>
      </c>
      <c r="X46" s="62">
        <v>1</v>
      </c>
      <c r="Y46" s="48">
        <f t="shared" si="10"/>
        <v>0.22452857894736808</v>
      </c>
      <c r="Z46" s="100">
        <v>52.211759999999927</v>
      </c>
      <c r="AA46" s="67">
        <f t="shared" si="11"/>
        <v>8.7019599999999873</v>
      </c>
      <c r="AB46" s="61">
        <v>42</v>
      </c>
      <c r="AC46" s="62">
        <v>1</v>
      </c>
      <c r="AD46" s="48">
        <f t="shared" si="12"/>
        <v>0.50718952380952353</v>
      </c>
      <c r="AE46" s="100">
        <v>31.171199999999953</v>
      </c>
      <c r="AF46" s="67">
        <f t="shared" si="13"/>
        <v>5.1951999999999918</v>
      </c>
      <c r="AG46" s="61">
        <v>40</v>
      </c>
      <c r="AH46" s="62">
        <v>1</v>
      </c>
      <c r="AI46" s="48">
        <f t="shared" si="14"/>
        <v>0.1298799999999998</v>
      </c>
      <c r="AJ46" s="100">
        <v>14.027039999999982</v>
      </c>
      <c r="AK46" s="67">
        <f t="shared" si="15"/>
        <v>2.3378399999999968</v>
      </c>
      <c r="AL46" s="61">
        <v>130</v>
      </c>
      <c r="AM46" s="62">
        <v>1</v>
      </c>
      <c r="AN46" s="60">
        <f t="shared" si="16"/>
        <v>1.7983384615384592E-2</v>
      </c>
      <c r="AO46" s="47">
        <f t="shared" si="17"/>
        <v>1</v>
      </c>
      <c r="AP46" s="100">
        <v>61.213439999999906</v>
      </c>
      <c r="AQ46" s="67">
        <f t="shared" si="18"/>
        <v>10.202239999999984</v>
      </c>
      <c r="AR46" s="61">
        <v>225</v>
      </c>
      <c r="AS46" s="62">
        <v>1</v>
      </c>
      <c r="AT46" s="49">
        <f t="shared" si="19"/>
        <v>4.5343288888888819E-2</v>
      </c>
      <c r="AU46" s="50">
        <f t="shared" si="20"/>
        <v>3.5</v>
      </c>
      <c r="AV46" s="100">
        <v>15.585599999999976</v>
      </c>
      <c r="AW46" s="67">
        <f t="shared" si="21"/>
        <v>2.5975999999999959</v>
      </c>
      <c r="AX46" s="51">
        <v>40</v>
      </c>
      <c r="AY46" s="62">
        <v>1</v>
      </c>
      <c r="AZ46" s="49">
        <f t="shared" si="22"/>
        <v>6.4939999999999901E-2</v>
      </c>
      <c r="BA46" s="100">
        <v>17.144159999999978</v>
      </c>
      <c r="BB46" s="67">
        <f t="shared" si="23"/>
        <v>2.8573599999999963</v>
      </c>
      <c r="BC46" s="61">
        <v>130</v>
      </c>
      <c r="BD46" s="62">
        <v>1</v>
      </c>
      <c r="BE46" s="60">
        <f t="shared" si="24"/>
        <v>2.197969230769228E-2</v>
      </c>
      <c r="BF46" s="47">
        <f t="shared" si="25"/>
        <v>2</v>
      </c>
      <c r="BG46" s="33"/>
      <c r="BH46" s="33"/>
      <c r="BI46" s="52"/>
      <c r="BJ46" s="53"/>
      <c r="BK46" s="54"/>
      <c r="BL46" s="100">
        <v>58.757711999999913</v>
      </c>
      <c r="BM46" s="67">
        <f t="shared" si="26"/>
        <v>9.7929519999999854</v>
      </c>
      <c r="BN46" s="51">
        <v>35</v>
      </c>
      <c r="BO46" s="62">
        <v>1</v>
      </c>
      <c r="BP46" s="60">
        <f t="shared" si="27"/>
        <v>0.27979862857142818</v>
      </c>
      <c r="BQ46" s="100">
        <v>9.9747839999999854</v>
      </c>
      <c r="BR46" s="67">
        <f t="shared" si="28"/>
        <v>1.6624639999999975</v>
      </c>
      <c r="BS46" s="55">
        <v>3.4</v>
      </c>
      <c r="BT46" s="62">
        <v>1</v>
      </c>
      <c r="BU46" s="49">
        <f t="shared" si="29"/>
        <v>0.48895999999999928</v>
      </c>
      <c r="BV46" s="100">
        <v>53.458607999999927</v>
      </c>
      <c r="BW46" s="67">
        <f t="shared" si="30"/>
        <v>8.9097679999999873</v>
      </c>
      <c r="BX46" s="61">
        <v>125</v>
      </c>
      <c r="BY46" s="62">
        <v>1</v>
      </c>
      <c r="BZ46" s="60">
        <f t="shared" si="31"/>
        <v>7.1278143999999904E-2</v>
      </c>
      <c r="CA46" s="47">
        <f t="shared" si="32"/>
        <v>3</v>
      </c>
      <c r="CB46" s="56">
        <f t="shared" si="33"/>
        <v>6</v>
      </c>
      <c r="CC46" s="100">
        <v>29.08182599999995</v>
      </c>
      <c r="CD46" s="67">
        <f t="shared" si="34"/>
        <v>4.8469709999999919</v>
      </c>
      <c r="CE46" s="61">
        <v>165</v>
      </c>
      <c r="CF46" s="62">
        <v>1</v>
      </c>
      <c r="CG46" s="49">
        <f t="shared" si="35"/>
        <v>2.937558181818177E-2</v>
      </c>
      <c r="CH46" s="100">
        <v>40.381187999999938</v>
      </c>
      <c r="CI46" s="67">
        <f t="shared" si="36"/>
        <v>6.7301979999999899</v>
      </c>
      <c r="CJ46" s="61">
        <v>150</v>
      </c>
      <c r="CK46" s="62">
        <v>1</v>
      </c>
      <c r="CL46" s="49">
        <f t="shared" si="37"/>
        <v>4.4867986666666602E-2</v>
      </c>
      <c r="CM46" s="100">
        <v>242.94551999999959</v>
      </c>
      <c r="CN46" s="67">
        <f t="shared" si="38"/>
        <v>40.490919999999932</v>
      </c>
      <c r="CO46" s="51">
        <v>320</v>
      </c>
      <c r="CP46" s="62">
        <v>1</v>
      </c>
      <c r="CQ46" s="49">
        <f t="shared" si="39"/>
        <v>0.12653412499999978</v>
      </c>
      <c r="CR46" s="100">
        <v>728.83655999999871</v>
      </c>
      <c r="CS46" s="67">
        <f t="shared" si="40"/>
        <v>121.47275999999978</v>
      </c>
      <c r="CT46" s="51">
        <v>8000</v>
      </c>
      <c r="CU46" s="62">
        <v>1</v>
      </c>
      <c r="CV46" s="49">
        <f t="shared" si="41"/>
        <v>1.5184094999999972E-2</v>
      </c>
      <c r="CW46" s="100">
        <v>485.89103999999918</v>
      </c>
      <c r="CX46" s="67">
        <f t="shared" si="42"/>
        <v>80.981839999999863</v>
      </c>
      <c r="CY46" s="51">
        <v>300</v>
      </c>
      <c r="CZ46" s="62">
        <v>1</v>
      </c>
      <c r="DA46" s="49">
        <f t="shared" si="43"/>
        <v>0.26993946666666618</v>
      </c>
      <c r="DB46" s="57">
        <f t="shared" si="44"/>
        <v>38.963999999999942</v>
      </c>
      <c r="DC46" s="67">
        <f t="shared" si="45"/>
        <v>6.49399999999999</v>
      </c>
      <c r="DD46" s="58">
        <v>50</v>
      </c>
      <c r="DE46" s="62">
        <v>1</v>
      </c>
      <c r="DF46" s="49">
        <f t="shared" si="46"/>
        <v>0.1298799999999998</v>
      </c>
      <c r="DG46" s="59">
        <f t="shared" si="47"/>
        <v>1</v>
      </c>
      <c r="DH46" s="94">
        <f t="shared" si="48"/>
        <v>3.5</v>
      </c>
      <c r="DI46" s="94">
        <f t="shared" si="49"/>
        <v>6</v>
      </c>
      <c r="DJ46" s="94">
        <f t="shared" si="50"/>
        <v>1</v>
      </c>
      <c r="DK46" s="96">
        <f t="shared" si="57"/>
        <v>11</v>
      </c>
      <c r="DL46" s="28">
        <f t="shared" si="51"/>
        <v>6</v>
      </c>
      <c r="DM46" s="94">
        <f t="shared" si="52"/>
        <v>66</v>
      </c>
      <c r="DN46" s="117">
        <f t="shared" si="53"/>
        <v>67</v>
      </c>
      <c r="DO46" s="117"/>
      <c r="DP46" s="44">
        <f t="shared" si="54"/>
        <v>3.4895833333333335</v>
      </c>
      <c r="DQ46" s="26"/>
      <c r="DR46" s="26"/>
      <c r="DS46" s="26"/>
      <c r="DT46" s="26"/>
      <c r="DU46" s="26"/>
    </row>
    <row r="47" spans="2:125" s="1" customFormat="1" ht="17.25" customHeight="1">
      <c r="B47" s="66">
        <v>39</v>
      </c>
      <c r="C47" s="35" t="s">
        <v>146</v>
      </c>
      <c r="D47" s="68" t="s">
        <v>147</v>
      </c>
      <c r="E47" s="68" t="s">
        <v>64</v>
      </c>
      <c r="F47" s="64" t="s">
        <v>88</v>
      </c>
      <c r="G47" s="64" t="s">
        <v>18</v>
      </c>
      <c r="H47" s="63"/>
      <c r="I47" s="98">
        <v>13897.835999999999</v>
      </c>
      <c r="J47" s="98">
        <v>13965.753000000001</v>
      </c>
      <c r="K47" s="45">
        <f t="shared" si="55"/>
        <v>67.917000000001281</v>
      </c>
      <c r="L47" s="45" t="s">
        <v>47</v>
      </c>
      <c r="M47" s="71">
        <v>9</v>
      </c>
      <c r="N47" s="45">
        <f t="shared" si="56"/>
        <v>7.5463333333334752</v>
      </c>
      <c r="O47" s="48">
        <v>1</v>
      </c>
      <c r="P47" s="100">
        <v>147.780030000002</v>
      </c>
      <c r="Q47" s="67">
        <f t="shared" si="7"/>
        <v>16.420003333333554</v>
      </c>
      <c r="R47" s="46">
        <v>53.9</v>
      </c>
      <c r="S47" s="62">
        <v>1</v>
      </c>
      <c r="T47" s="48">
        <f t="shared" si="8"/>
        <v>0.30463828076685628</v>
      </c>
      <c r="U47" s="100">
        <v>491.10589000000721</v>
      </c>
      <c r="V47" s="67">
        <f t="shared" si="9"/>
        <v>54.567321111111909</v>
      </c>
      <c r="W47" s="75">
        <v>190</v>
      </c>
      <c r="X47" s="62">
        <v>1</v>
      </c>
      <c r="Y47" s="48">
        <f t="shared" si="10"/>
        <v>0.287196426900589</v>
      </c>
      <c r="Z47" s="100">
        <v>91.008780000001721</v>
      </c>
      <c r="AA47" s="67">
        <f t="shared" si="11"/>
        <v>10.112086666666858</v>
      </c>
      <c r="AB47" s="61">
        <v>42</v>
      </c>
      <c r="AC47" s="62">
        <v>1</v>
      </c>
      <c r="AD47" s="48">
        <f t="shared" si="12"/>
        <v>0.54076396825397277</v>
      </c>
      <c r="AE47" s="100">
        <v>54.333600000001027</v>
      </c>
      <c r="AF47" s="67">
        <f t="shared" si="13"/>
        <v>6.0370666666667807</v>
      </c>
      <c r="AG47" s="61">
        <v>40</v>
      </c>
      <c r="AH47" s="62">
        <v>1</v>
      </c>
      <c r="AI47" s="48">
        <f t="shared" si="14"/>
        <v>0.15092666666666951</v>
      </c>
      <c r="AJ47" s="100">
        <v>24.450120000000464</v>
      </c>
      <c r="AK47" s="67">
        <f t="shared" si="15"/>
        <v>2.7166800000000517</v>
      </c>
      <c r="AL47" s="61">
        <v>130</v>
      </c>
      <c r="AM47" s="62">
        <v>1</v>
      </c>
      <c r="AN47" s="60">
        <f t="shared" si="16"/>
        <v>2.0897538461538859E-2</v>
      </c>
      <c r="AO47" s="47">
        <f t="shared" si="17"/>
        <v>1</v>
      </c>
      <c r="AP47" s="100">
        <v>125.16326000000154</v>
      </c>
      <c r="AQ47" s="67">
        <f t="shared" si="18"/>
        <v>13.907028888889061</v>
      </c>
      <c r="AR47" s="61">
        <v>225</v>
      </c>
      <c r="AS47" s="62">
        <v>1</v>
      </c>
      <c r="AT47" s="49">
        <f t="shared" si="19"/>
        <v>6.1809017283951377E-2</v>
      </c>
      <c r="AU47" s="50">
        <f t="shared" si="20"/>
        <v>3.5</v>
      </c>
      <c r="AV47" s="100">
        <v>27.166800000000514</v>
      </c>
      <c r="AW47" s="67">
        <f t="shared" si="21"/>
        <v>3.0185333333333904</v>
      </c>
      <c r="AX47" s="51">
        <v>40</v>
      </c>
      <c r="AY47" s="62">
        <v>1</v>
      </c>
      <c r="AZ47" s="49">
        <f t="shared" si="22"/>
        <v>7.5463333333334756E-2</v>
      </c>
      <c r="BA47" s="100">
        <v>29.883480000000567</v>
      </c>
      <c r="BB47" s="67">
        <f t="shared" si="23"/>
        <v>3.3203866666667299</v>
      </c>
      <c r="BC47" s="61">
        <v>130</v>
      </c>
      <c r="BD47" s="62">
        <v>1</v>
      </c>
      <c r="BE47" s="60">
        <f t="shared" si="24"/>
        <v>2.5541435897436383E-2</v>
      </c>
      <c r="BF47" s="47">
        <f t="shared" si="25"/>
        <v>2</v>
      </c>
      <c r="BG47" s="33"/>
      <c r="BH47" s="33"/>
      <c r="BI47" s="52"/>
      <c r="BJ47" s="53"/>
      <c r="BK47" s="54"/>
      <c r="BL47" s="100">
        <v>102.41883600000193</v>
      </c>
      <c r="BM47" s="67">
        <f t="shared" si="26"/>
        <v>11.379870666666882</v>
      </c>
      <c r="BN47" s="51">
        <v>35</v>
      </c>
      <c r="BO47" s="62">
        <v>1</v>
      </c>
      <c r="BP47" s="60">
        <f t="shared" si="27"/>
        <v>0.32513916190476805</v>
      </c>
      <c r="BQ47" s="100">
        <v>17.386752000000328</v>
      </c>
      <c r="BR47" s="67">
        <f t="shared" si="28"/>
        <v>1.9318613333333698</v>
      </c>
      <c r="BS47" s="55">
        <v>3.4</v>
      </c>
      <c r="BT47" s="62">
        <v>1</v>
      </c>
      <c r="BU47" s="49">
        <f t="shared" si="29"/>
        <v>0.56819450980393227</v>
      </c>
      <c r="BV47" s="100">
        <v>93.182124000001764</v>
      </c>
      <c r="BW47" s="67">
        <f t="shared" si="30"/>
        <v>10.35356933333353</v>
      </c>
      <c r="BX47" s="61">
        <v>125</v>
      </c>
      <c r="BY47" s="62">
        <v>1</v>
      </c>
      <c r="BZ47" s="60">
        <f t="shared" si="31"/>
        <v>8.2828554666668233E-2</v>
      </c>
      <c r="CA47" s="47">
        <f t="shared" si="32"/>
        <v>3</v>
      </c>
      <c r="CB47" s="56">
        <f t="shared" si="33"/>
        <v>6.5</v>
      </c>
      <c r="CC47" s="100">
        <v>61.502783000000669</v>
      </c>
      <c r="CD47" s="67">
        <f t="shared" si="34"/>
        <v>6.8336425555556302</v>
      </c>
      <c r="CE47" s="61">
        <v>165</v>
      </c>
      <c r="CF47" s="62">
        <v>1</v>
      </c>
      <c r="CG47" s="49">
        <f t="shared" si="35"/>
        <v>4.141601548821594E-2</v>
      </c>
      <c r="CH47" s="100">
        <v>86.081588000000934</v>
      </c>
      <c r="CI47" s="67">
        <f t="shared" si="36"/>
        <v>9.5646208888889923</v>
      </c>
      <c r="CJ47" s="61">
        <v>150</v>
      </c>
      <c r="CK47" s="62">
        <v>1</v>
      </c>
      <c r="CL47" s="49">
        <f t="shared" si="37"/>
        <v>6.3764139259259944E-2</v>
      </c>
      <c r="CM47" s="100">
        <v>515.79076000000555</v>
      </c>
      <c r="CN47" s="67">
        <f t="shared" si="38"/>
        <v>57.31008444444506</v>
      </c>
      <c r="CO47" s="51">
        <v>320</v>
      </c>
      <c r="CP47" s="62">
        <v>1</v>
      </c>
      <c r="CQ47" s="49">
        <f t="shared" si="39"/>
        <v>0.17909401388889082</v>
      </c>
      <c r="CR47" s="100">
        <v>1547.3722800000166</v>
      </c>
      <c r="CS47" s="67">
        <f t="shared" si="40"/>
        <v>171.93025333333517</v>
      </c>
      <c r="CT47" s="51">
        <v>8000</v>
      </c>
      <c r="CU47" s="62">
        <v>1</v>
      </c>
      <c r="CV47" s="49">
        <f t="shared" si="41"/>
        <v>2.1491281666666896E-2</v>
      </c>
      <c r="CW47" s="100">
        <v>1031.5815200000111</v>
      </c>
      <c r="CX47" s="67">
        <f t="shared" si="42"/>
        <v>114.62016888889012</v>
      </c>
      <c r="CY47" s="51">
        <v>300</v>
      </c>
      <c r="CZ47" s="62">
        <v>1</v>
      </c>
      <c r="DA47" s="49">
        <f t="shared" si="43"/>
        <v>0.38206722962963374</v>
      </c>
      <c r="DB47" s="57">
        <f t="shared" si="44"/>
        <v>67.917000000001281</v>
      </c>
      <c r="DC47" s="67">
        <f t="shared" si="45"/>
        <v>7.5463333333334752</v>
      </c>
      <c r="DD47" s="58">
        <v>50</v>
      </c>
      <c r="DE47" s="62">
        <v>1</v>
      </c>
      <c r="DF47" s="49">
        <f t="shared" si="46"/>
        <v>0.15092666666666951</v>
      </c>
      <c r="DG47" s="59">
        <f t="shared" si="47"/>
        <v>1</v>
      </c>
      <c r="DH47" s="94">
        <f t="shared" si="48"/>
        <v>3.5</v>
      </c>
      <c r="DI47" s="94">
        <f t="shared" si="49"/>
        <v>6.5</v>
      </c>
      <c r="DJ47" s="94">
        <f t="shared" si="50"/>
        <v>1</v>
      </c>
      <c r="DK47" s="96">
        <f t="shared" si="57"/>
        <v>11</v>
      </c>
      <c r="DL47" s="28">
        <f t="shared" si="51"/>
        <v>9</v>
      </c>
      <c r="DM47" s="94">
        <f t="shared" si="52"/>
        <v>99</v>
      </c>
      <c r="DN47" s="117">
        <f t="shared" si="53"/>
        <v>100</v>
      </c>
      <c r="DO47" s="117"/>
      <c r="DP47" s="44">
        <f t="shared" si="54"/>
        <v>5.2083333333333339</v>
      </c>
      <c r="DQ47" s="26"/>
      <c r="DR47" s="26"/>
      <c r="DS47" s="26"/>
      <c r="DT47" s="26"/>
      <c r="DU47" s="26"/>
    </row>
    <row r="48" spans="2:125" s="1" customFormat="1" ht="17.25" customHeight="1">
      <c r="B48" s="104">
        <v>40</v>
      </c>
      <c r="C48" s="101" t="s">
        <v>148</v>
      </c>
      <c r="D48" s="99" t="s">
        <v>149</v>
      </c>
      <c r="E48" s="68" t="s">
        <v>64</v>
      </c>
      <c r="F48" s="64" t="s">
        <v>88</v>
      </c>
      <c r="G48" s="64" t="s">
        <v>18</v>
      </c>
      <c r="H48" s="63"/>
      <c r="I48" s="98">
        <v>14867.455</v>
      </c>
      <c r="J48" s="98">
        <v>14926.366</v>
      </c>
      <c r="K48" s="45">
        <f t="shared" si="55"/>
        <v>58.911000000000058</v>
      </c>
      <c r="L48" s="45" t="s">
        <v>47</v>
      </c>
      <c r="M48" s="71">
        <v>9</v>
      </c>
      <c r="N48" s="45">
        <f t="shared" si="56"/>
        <v>6.5456666666666727</v>
      </c>
      <c r="O48" s="48">
        <v>1</v>
      </c>
      <c r="P48" s="100">
        <v>88.955610000000092</v>
      </c>
      <c r="Q48" s="67">
        <f t="shared" si="7"/>
        <v>9.8839566666666769</v>
      </c>
      <c r="R48" s="46">
        <v>53.9</v>
      </c>
      <c r="S48" s="62">
        <v>1</v>
      </c>
      <c r="T48" s="48">
        <f t="shared" si="8"/>
        <v>0.18337581941867676</v>
      </c>
      <c r="U48" s="100">
        <v>325.18872000000033</v>
      </c>
      <c r="V48" s="67">
        <f t="shared" si="9"/>
        <v>36.132080000000038</v>
      </c>
      <c r="W48" s="75">
        <v>190</v>
      </c>
      <c r="X48" s="62">
        <v>1</v>
      </c>
      <c r="Y48" s="48">
        <f t="shared" si="10"/>
        <v>0.19016884210526336</v>
      </c>
      <c r="Z48" s="100">
        <v>78.940740000000076</v>
      </c>
      <c r="AA48" s="67">
        <f t="shared" si="11"/>
        <v>8.7711933333333416</v>
      </c>
      <c r="AB48" s="61">
        <v>42</v>
      </c>
      <c r="AC48" s="62">
        <v>1</v>
      </c>
      <c r="AD48" s="48">
        <f t="shared" si="12"/>
        <v>0.50883793650793674</v>
      </c>
      <c r="AE48" s="100">
        <v>47.128800000000048</v>
      </c>
      <c r="AF48" s="67">
        <f t="shared" si="13"/>
        <v>5.2365333333333384</v>
      </c>
      <c r="AG48" s="61">
        <v>40</v>
      </c>
      <c r="AH48" s="62">
        <v>1</v>
      </c>
      <c r="AI48" s="48">
        <f t="shared" si="14"/>
        <v>0.13091333333333346</v>
      </c>
      <c r="AJ48" s="100">
        <v>21.207960000000025</v>
      </c>
      <c r="AK48" s="67">
        <f t="shared" si="15"/>
        <v>2.3564400000000028</v>
      </c>
      <c r="AL48" s="61">
        <v>130</v>
      </c>
      <c r="AM48" s="62">
        <v>1</v>
      </c>
      <c r="AN48" s="60">
        <f t="shared" si="16"/>
        <v>1.812646153846156E-2</v>
      </c>
      <c r="AO48" s="47">
        <f t="shared" si="17"/>
        <v>1</v>
      </c>
      <c r="AP48" s="100">
        <v>67.158540000000073</v>
      </c>
      <c r="AQ48" s="67">
        <f t="shared" si="18"/>
        <v>7.4620600000000081</v>
      </c>
      <c r="AR48" s="61">
        <v>225</v>
      </c>
      <c r="AS48" s="62">
        <v>1</v>
      </c>
      <c r="AT48" s="49">
        <f t="shared" si="19"/>
        <v>3.3164711111111148E-2</v>
      </c>
      <c r="AU48" s="50">
        <f t="shared" si="20"/>
        <v>3.5</v>
      </c>
      <c r="AV48" s="100">
        <v>23.564400000000024</v>
      </c>
      <c r="AW48" s="67">
        <f t="shared" si="21"/>
        <v>2.6182666666666692</v>
      </c>
      <c r="AX48" s="51">
        <v>40</v>
      </c>
      <c r="AY48" s="62">
        <v>1</v>
      </c>
      <c r="AZ48" s="49">
        <f t="shared" si="22"/>
        <v>6.5456666666666732E-2</v>
      </c>
      <c r="BA48" s="100">
        <v>25.92084000000003</v>
      </c>
      <c r="BB48" s="67">
        <f t="shared" si="23"/>
        <v>2.8800933333333365</v>
      </c>
      <c r="BC48" s="61">
        <v>130</v>
      </c>
      <c r="BD48" s="62">
        <v>1</v>
      </c>
      <c r="BE48" s="60">
        <f t="shared" si="24"/>
        <v>2.2154564102564125E-2</v>
      </c>
      <c r="BF48" s="47">
        <f t="shared" si="25"/>
        <v>2</v>
      </c>
      <c r="BG48" s="33"/>
      <c r="BH48" s="33"/>
      <c r="BI48" s="52"/>
      <c r="BJ48" s="53"/>
      <c r="BK48" s="54"/>
      <c r="BL48" s="100">
        <v>88.837788000000089</v>
      </c>
      <c r="BM48" s="67">
        <f t="shared" si="26"/>
        <v>9.8708653333333434</v>
      </c>
      <c r="BN48" s="51">
        <v>35</v>
      </c>
      <c r="BO48" s="62">
        <v>1</v>
      </c>
      <c r="BP48" s="60">
        <f t="shared" si="27"/>
        <v>0.28202472380952409</v>
      </c>
      <c r="BQ48" s="100">
        <v>15.081216000000015</v>
      </c>
      <c r="BR48" s="67">
        <f t="shared" si="28"/>
        <v>1.6756906666666684</v>
      </c>
      <c r="BS48" s="55">
        <v>3.4</v>
      </c>
      <c r="BT48" s="62">
        <v>1</v>
      </c>
      <c r="BU48" s="49">
        <f t="shared" si="29"/>
        <v>0.49285019607843189</v>
      </c>
      <c r="BV48" s="100">
        <v>80.825892000000081</v>
      </c>
      <c r="BW48" s="67">
        <f t="shared" si="30"/>
        <v>8.9806546666666751</v>
      </c>
      <c r="BX48" s="61">
        <v>125</v>
      </c>
      <c r="BY48" s="62">
        <v>1</v>
      </c>
      <c r="BZ48" s="60">
        <f t="shared" si="31"/>
        <v>7.1845237333333395E-2</v>
      </c>
      <c r="CA48" s="47">
        <f t="shared" si="32"/>
        <v>3</v>
      </c>
      <c r="CB48" s="56">
        <f t="shared" si="33"/>
        <v>6</v>
      </c>
      <c r="CC48" s="100">
        <v>29.102034000000028</v>
      </c>
      <c r="CD48" s="67">
        <f t="shared" si="34"/>
        <v>3.2335593333333366</v>
      </c>
      <c r="CE48" s="61">
        <v>165</v>
      </c>
      <c r="CF48" s="62">
        <v>1</v>
      </c>
      <c r="CG48" s="49">
        <f t="shared" si="35"/>
        <v>1.9597329292929313E-2</v>
      </c>
      <c r="CH48" s="100">
        <v>39.470370000000038</v>
      </c>
      <c r="CI48" s="67">
        <f t="shared" si="36"/>
        <v>4.3855966666666708</v>
      </c>
      <c r="CJ48" s="61">
        <v>150</v>
      </c>
      <c r="CK48" s="62">
        <v>1</v>
      </c>
      <c r="CL48" s="49">
        <f t="shared" si="37"/>
        <v>2.923731111111114E-2</v>
      </c>
      <c r="CM48" s="100">
        <v>240.35688000000025</v>
      </c>
      <c r="CN48" s="67">
        <f t="shared" si="38"/>
        <v>26.706320000000026</v>
      </c>
      <c r="CO48" s="51">
        <v>320</v>
      </c>
      <c r="CP48" s="62">
        <v>1</v>
      </c>
      <c r="CQ48" s="49">
        <f t="shared" si="39"/>
        <v>8.345725000000008E-2</v>
      </c>
      <c r="CR48" s="100">
        <v>721.07064000000071</v>
      </c>
      <c r="CS48" s="67">
        <f t="shared" si="40"/>
        <v>80.118960000000072</v>
      </c>
      <c r="CT48" s="51">
        <v>8000</v>
      </c>
      <c r="CU48" s="62">
        <v>1</v>
      </c>
      <c r="CV48" s="49">
        <f t="shared" si="41"/>
        <v>1.0014870000000009E-2</v>
      </c>
      <c r="CW48" s="100">
        <v>480.71376000000049</v>
      </c>
      <c r="CX48" s="67">
        <f t="shared" si="42"/>
        <v>53.412640000000053</v>
      </c>
      <c r="CY48" s="51">
        <v>300</v>
      </c>
      <c r="CZ48" s="62">
        <v>1</v>
      </c>
      <c r="DA48" s="49">
        <f t="shared" si="43"/>
        <v>0.17804213333333352</v>
      </c>
      <c r="DB48" s="57">
        <f t="shared" si="44"/>
        <v>58.911000000000058</v>
      </c>
      <c r="DC48" s="67">
        <f t="shared" si="45"/>
        <v>6.5456666666666727</v>
      </c>
      <c r="DD48" s="58">
        <v>50</v>
      </c>
      <c r="DE48" s="62">
        <v>1</v>
      </c>
      <c r="DF48" s="49">
        <f t="shared" si="46"/>
        <v>0.13091333333333346</v>
      </c>
      <c r="DG48" s="59">
        <f t="shared" si="47"/>
        <v>0.5</v>
      </c>
      <c r="DH48" s="94">
        <f t="shared" si="48"/>
        <v>3.5</v>
      </c>
      <c r="DI48" s="94">
        <f t="shared" si="49"/>
        <v>6</v>
      </c>
      <c r="DJ48" s="94">
        <f t="shared" si="50"/>
        <v>0.5</v>
      </c>
      <c r="DK48" s="96">
        <f t="shared" si="57"/>
        <v>10</v>
      </c>
      <c r="DL48" s="28">
        <f t="shared" si="51"/>
        <v>9</v>
      </c>
      <c r="DM48" s="94">
        <f t="shared" si="52"/>
        <v>90</v>
      </c>
      <c r="DN48" s="117">
        <f t="shared" si="53"/>
        <v>91</v>
      </c>
      <c r="DO48" s="117"/>
      <c r="DP48" s="44">
        <f t="shared" si="54"/>
        <v>4.7395833333333339</v>
      </c>
      <c r="DQ48" s="26"/>
      <c r="DR48" s="26"/>
      <c r="DS48" s="26"/>
      <c r="DT48" s="26"/>
      <c r="DU48" s="26"/>
    </row>
    <row r="49" spans="2:125" s="1" customFormat="1" ht="17.25" customHeight="1">
      <c r="B49" s="36">
        <v>41</v>
      </c>
      <c r="C49" s="37" t="s">
        <v>168</v>
      </c>
      <c r="D49" s="38" t="s">
        <v>150</v>
      </c>
      <c r="E49" s="38" t="s">
        <v>64</v>
      </c>
      <c r="F49" s="77" t="s">
        <v>164</v>
      </c>
      <c r="G49" s="77" t="s">
        <v>18</v>
      </c>
      <c r="H49" s="89"/>
      <c r="I49" s="39">
        <v>15180.81</v>
      </c>
      <c r="J49" s="39">
        <v>15241.548000000001</v>
      </c>
      <c r="K49" s="88">
        <f t="shared" ref="K49" si="65">J49-I49</f>
        <v>60.738000000001193</v>
      </c>
      <c r="L49" s="76" t="s">
        <v>179</v>
      </c>
      <c r="M49" s="72">
        <v>9</v>
      </c>
      <c r="N49" s="88">
        <f>K49/M49</f>
        <v>6.7486666666667992</v>
      </c>
      <c r="O49" s="48">
        <v>1</v>
      </c>
      <c r="P49" s="100">
        <v>132.51030000000185</v>
      </c>
      <c r="Q49" s="67">
        <f>P49/M49</f>
        <v>14.723366666666871</v>
      </c>
      <c r="R49" s="46">
        <v>53.9</v>
      </c>
      <c r="S49" s="62">
        <v>1</v>
      </c>
      <c r="T49" s="48">
        <f>Q49/R49/S49</f>
        <v>0.27316079158936685</v>
      </c>
      <c r="U49" s="100">
        <v>440.09661000000665</v>
      </c>
      <c r="V49" s="67">
        <f>U49/M49</f>
        <v>48.89962333333407</v>
      </c>
      <c r="W49" s="75">
        <v>190</v>
      </c>
      <c r="X49" s="62">
        <v>1</v>
      </c>
      <c r="Y49" s="48">
        <f>V49/W49/X49</f>
        <v>0.25736643859649511</v>
      </c>
      <c r="Z49" s="100">
        <v>81.38892000000159</v>
      </c>
      <c r="AA49" s="67">
        <f>Z49/M49</f>
        <v>9.0432133333335099</v>
      </c>
      <c r="AB49" s="61">
        <v>42</v>
      </c>
      <c r="AC49" s="62">
        <v>1</v>
      </c>
      <c r="AD49" s="48">
        <f>AA49/AB49/AC49+0.3</f>
        <v>0.51531460317460742</v>
      </c>
      <c r="AE49" s="100">
        <v>48.590400000000962</v>
      </c>
      <c r="AF49" s="67">
        <f>AE49/M49</f>
        <v>5.3989333333334404</v>
      </c>
      <c r="AG49" s="61">
        <v>40</v>
      </c>
      <c r="AH49" s="62">
        <v>1</v>
      </c>
      <c r="AI49" s="48">
        <f>AF49/AG49/AH49</f>
        <v>0.134973333333336</v>
      </c>
      <c r="AJ49" s="100">
        <v>21.865680000000431</v>
      </c>
      <c r="AK49" s="67">
        <f>AJ49/M49</f>
        <v>2.4295200000000481</v>
      </c>
      <c r="AL49" s="61">
        <v>130</v>
      </c>
      <c r="AM49" s="62">
        <v>1</v>
      </c>
      <c r="AN49" s="60">
        <f>AK49/AL49/AM49</f>
        <v>1.8688615384615755E-2</v>
      </c>
      <c r="AO49" s="47">
        <f>IF(G49="보통",2,IF(G49="조강",1,""))</f>
        <v>1</v>
      </c>
      <c r="AP49" s="100">
        <v>112.30368000000141</v>
      </c>
      <c r="AQ49" s="67">
        <f>AP49/M49</f>
        <v>12.478186666666822</v>
      </c>
      <c r="AR49" s="61">
        <v>225</v>
      </c>
      <c r="AS49" s="62">
        <v>1</v>
      </c>
      <c r="AT49" s="49">
        <f>AQ49/AR49/AS49</f>
        <v>5.54586074074081E-2</v>
      </c>
      <c r="AU49" s="50">
        <f>CEILING(SUM(O49,T49,Y49,AD49,AI49,AN49,AO49,AT49),0.5)</f>
        <v>3.5</v>
      </c>
      <c r="AV49" s="100">
        <v>24.295200000000481</v>
      </c>
      <c r="AW49" s="67">
        <f>AV49/M49</f>
        <v>2.6994666666667202</v>
      </c>
      <c r="AX49" s="51">
        <v>40</v>
      </c>
      <c r="AY49" s="62">
        <v>1</v>
      </c>
      <c r="AZ49" s="49">
        <f>AW49/AX49/AY49</f>
        <v>6.7486666666667999E-2</v>
      </c>
      <c r="BA49" s="100">
        <v>26.724720000000527</v>
      </c>
      <c r="BB49" s="67">
        <f>BA49/M49</f>
        <v>2.9694133333333919</v>
      </c>
      <c r="BC49" s="61">
        <v>130</v>
      </c>
      <c r="BD49" s="62">
        <v>1</v>
      </c>
      <c r="BE49" s="60">
        <f>BB49/BC49/BD49</f>
        <v>2.2841641025641474E-2</v>
      </c>
      <c r="BF49" s="47">
        <f>IF(G49="보통",5,IF(G49="조강",2,""))</f>
        <v>2</v>
      </c>
      <c r="BG49" s="33"/>
      <c r="BH49" s="33"/>
      <c r="BI49" s="52"/>
      <c r="BJ49" s="53"/>
      <c r="BK49" s="54"/>
      <c r="BL49" s="100">
        <v>91.592904000001795</v>
      </c>
      <c r="BM49" s="67">
        <f>BL49/M49</f>
        <v>10.176989333333532</v>
      </c>
      <c r="BN49" s="51">
        <v>35</v>
      </c>
      <c r="BO49" s="62">
        <v>1</v>
      </c>
      <c r="BP49" s="60">
        <f>BM49/BN49/BO49</f>
        <v>0.29077112380952946</v>
      </c>
      <c r="BQ49" s="100">
        <v>15.548928000000306</v>
      </c>
      <c r="BR49" s="67">
        <f>BQ49/M49</f>
        <v>1.7276586666667006</v>
      </c>
      <c r="BS49" s="55">
        <v>3.4</v>
      </c>
      <c r="BT49" s="62">
        <v>1</v>
      </c>
      <c r="BU49" s="49">
        <f>BR49/BS49/BT49</f>
        <v>0.50813490196079436</v>
      </c>
      <c r="BV49" s="100">
        <v>83.332536000001653</v>
      </c>
      <c r="BW49" s="67">
        <f>BV49/M49</f>
        <v>9.2591706666668507</v>
      </c>
      <c r="BX49" s="61">
        <v>125</v>
      </c>
      <c r="BY49" s="62">
        <v>1</v>
      </c>
      <c r="BZ49" s="60">
        <f>BW49/BX49/BY49</f>
        <v>7.4073365333334806E-2</v>
      </c>
      <c r="CA49" s="47">
        <f>IF(G49="보통",7,IF(G49="조강",3,""))</f>
        <v>3</v>
      </c>
      <c r="CB49" s="56">
        <f>CEILING(SUM(AZ49,BE49,BF49,BK49,BP49,BU49,BZ49,CA49),0.5)</f>
        <v>6</v>
      </c>
      <c r="CC49" s="100">
        <v>55.218717000000609</v>
      </c>
      <c r="CD49" s="67">
        <f>CC49/M49</f>
        <v>6.1354130000000673</v>
      </c>
      <c r="CE49" s="61">
        <v>165</v>
      </c>
      <c r="CF49" s="62">
        <v>1</v>
      </c>
      <c r="CG49" s="49">
        <f>CD49/CE49/CF49</f>
        <v>3.7184321212121618E-2</v>
      </c>
      <c r="CH49" s="100">
        <v>77.297466000000838</v>
      </c>
      <c r="CI49" s="67">
        <f>CH49/M49</f>
        <v>8.5886073333334263</v>
      </c>
      <c r="CJ49" s="61">
        <v>150</v>
      </c>
      <c r="CK49" s="62">
        <v>1</v>
      </c>
      <c r="CL49" s="49">
        <f>CI49/CJ49/CK49</f>
        <v>5.725738222222284E-2</v>
      </c>
      <c r="CM49" s="100">
        <v>463.12284000000506</v>
      </c>
      <c r="CN49" s="67">
        <f>CM49/M49</f>
        <v>51.458093333333892</v>
      </c>
      <c r="CO49" s="51">
        <v>320</v>
      </c>
      <c r="CP49" s="62">
        <v>1</v>
      </c>
      <c r="CQ49" s="49">
        <f>CN49/CO49/CP49</f>
        <v>0.16080654166666841</v>
      </c>
      <c r="CR49" s="100">
        <v>1389.3685200000152</v>
      </c>
      <c r="CS49" s="67">
        <f>CR49/M49</f>
        <v>154.3742800000017</v>
      </c>
      <c r="CT49" s="51">
        <v>8000</v>
      </c>
      <c r="CU49" s="62">
        <v>1</v>
      </c>
      <c r="CV49" s="49">
        <f>CS49/CT49/CU49</f>
        <v>1.9296785000000212E-2</v>
      </c>
      <c r="CW49" s="100">
        <v>926.24568000001011</v>
      </c>
      <c r="CX49" s="67">
        <f>CW49/M49</f>
        <v>102.91618666666778</v>
      </c>
      <c r="CY49" s="51">
        <v>300</v>
      </c>
      <c r="CZ49" s="62">
        <v>1</v>
      </c>
      <c r="DA49" s="49">
        <f>CX49/CY49/CZ49</f>
        <v>0.34305395555555929</v>
      </c>
      <c r="DB49" s="57">
        <f>K49</f>
        <v>60.738000000001193</v>
      </c>
      <c r="DC49" s="67">
        <f>DB49/M49</f>
        <v>6.7486666666667992</v>
      </c>
      <c r="DD49" s="58">
        <v>50</v>
      </c>
      <c r="DE49" s="62">
        <v>1</v>
      </c>
      <c r="DF49" s="49">
        <f>DC49/DD49/DE49</f>
        <v>0.13497333333333597</v>
      </c>
      <c r="DG49" s="59">
        <f>CEILING(SUM(CG49,CL49,CQ49,CV49,DA49,DF49),0.5)</f>
        <v>1</v>
      </c>
      <c r="DH49" s="94">
        <f t="shared" si="48"/>
        <v>3.5</v>
      </c>
      <c r="DI49" s="94">
        <f t="shared" si="49"/>
        <v>6</v>
      </c>
      <c r="DJ49" s="94">
        <f>DG49</f>
        <v>1</v>
      </c>
      <c r="DK49" s="96">
        <f t="shared" si="57"/>
        <v>11</v>
      </c>
      <c r="DL49" s="28">
        <f t="shared" si="51"/>
        <v>9</v>
      </c>
      <c r="DM49" s="94">
        <f>DK49*DL49</f>
        <v>99</v>
      </c>
      <c r="DN49" s="117">
        <f t="shared" si="53"/>
        <v>100</v>
      </c>
      <c r="DO49" s="117"/>
      <c r="DP49" s="44">
        <f t="shared" si="54"/>
        <v>5.2083333333333339</v>
      </c>
      <c r="DQ49" s="26"/>
      <c r="DR49" s="26"/>
      <c r="DS49" s="26"/>
      <c r="DT49" s="26"/>
      <c r="DU49" s="26"/>
    </row>
    <row r="50" spans="2:125" s="1" customFormat="1" ht="17.25" customHeight="1">
      <c r="B50" s="104">
        <v>42</v>
      </c>
      <c r="C50" s="101" t="s">
        <v>174</v>
      </c>
      <c r="D50" s="99" t="s">
        <v>151</v>
      </c>
      <c r="E50" s="99" t="s">
        <v>63</v>
      </c>
      <c r="F50" s="64" t="s">
        <v>88</v>
      </c>
      <c r="G50" s="64" t="s">
        <v>18</v>
      </c>
      <c r="H50" s="63"/>
      <c r="I50" s="98">
        <v>15439.82</v>
      </c>
      <c r="J50" s="98">
        <v>15484.807000000001</v>
      </c>
      <c r="K50" s="45">
        <f t="shared" si="55"/>
        <v>44.98700000000099</v>
      </c>
      <c r="L50" s="45" t="s">
        <v>47</v>
      </c>
      <c r="M50" s="71">
        <v>6</v>
      </c>
      <c r="N50" s="45">
        <f t="shared" si="56"/>
        <v>7.4978333333334986</v>
      </c>
      <c r="O50" s="48">
        <v>1</v>
      </c>
      <c r="P50" s="100">
        <v>67.930370000001489</v>
      </c>
      <c r="Q50" s="67">
        <f t="shared" si="7"/>
        <v>11.321728333333581</v>
      </c>
      <c r="R50" s="46">
        <v>53.9</v>
      </c>
      <c r="S50" s="62">
        <v>1</v>
      </c>
      <c r="T50" s="48">
        <f t="shared" si="8"/>
        <v>0.21005061842919445</v>
      </c>
      <c r="U50" s="100">
        <v>248.32824000000545</v>
      </c>
      <c r="V50" s="67">
        <f t="shared" si="9"/>
        <v>41.388040000000906</v>
      </c>
      <c r="W50" s="75">
        <v>190</v>
      </c>
      <c r="X50" s="62">
        <v>1</v>
      </c>
      <c r="Y50" s="48">
        <f t="shared" si="10"/>
        <v>0.21783178947368897</v>
      </c>
      <c r="Z50" s="100">
        <v>60.282580000001332</v>
      </c>
      <c r="AA50" s="67">
        <f t="shared" si="11"/>
        <v>10.047096666666889</v>
      </c>
      <c r="AB50" s="61">
        <v>42</v>
      </c>
      <c r="AC50" s="62">
        <v>1</v>
      </c>
      <c r="AD50" s="48">
        <f t="shared" si="12"/>
        <v>0.53921658730159261</v>
      </c>
      <c r="AE50" s="100">
        <v>35.989600000000792</v>
      </c>
      <c r="AF50" s="67">
        <f t="shared" si="13"/>
        <v>5.9982666666667983</v>
      </c>
      <c r="AG50" s="61">
        <v>40</v>
      </c>
      <c r="AH50" s="62">
        <v>1</v>
      </c>
      <c r="AI50" s="48">
        <f t="shared" si="14"/>
        <v>0.14995666666666996</v>
      </c>
      <c r="AJ50" s="100">
        <v>16.195320000000358</v>
      </c>
      <c r="AK50" s="67">
        <f t="shared" si="15"/>
        <v>2.6992200000000595</v>
      </c>
      <c r="AL50" s="61">
        <v>130</v>
      </c>
      <c r="AM50" s="62">
        <v>1</v>
      </c>
      <c r="AN50" s="60">
        <f t="shared" si="16"/>
        <v>2.0763230769231228E-2</v>
      </c>
      <c r="AO50" s="47">
        <f t="shared" si="17"/>
        <v>1</v>
      </c>
      <c r="AP50" s="100">
        <v>51.285180000001134</v>
      </c>
      <c r="AQ50" s="67">
        <f t="shared" si="18"/>
        <v>8.5475300000001884</v>
      </c>
      <c r="AR50" s="61">
        <v>225</v>
      </c>
      <c r="AS50" s="62">
        <v>1</v>
      </c>
      <c r="AT50" s="49">
        <f t="shared" si="19"/>
        <v>3.7989022222223057E-2</v>
      </c>
      <c r="AU50" s="50">
        <f t="shared" si="20"/>
        <v>3.5</v>
      </c>
      <c r="AV50" s="100">
        <v>17.994800000000396</v>
      </c>
      <c r="AW50" s="67">
        <f t="shared" si="21"/>
        <v>2.9991333333333992</v>
      </c>
      <c r="AX50" s="51">
        <v>40</v>
      </c>
      <c r="AY50" s="62">
        <v>1</v>
      </c>
      <c r="AZ50" s="49">
        <f t="shared" si="22"/>
        <v>7.4978333333334979E-2</v>
      </c>
      <c r="BA50" s="100">
        <v>19.794280000000438</v>
      </c>
      <c r="BB50" s="67">
        <f t="shared" si="23"/>
        <v>3.2990466666667397</v>
      </c>
      <c r="BC50" s="61">
        <v>130</v>
      </c>
      <c r="BD50" s="62">
        <v>1</v>
      </c>
      <c r="BE50" s="60">
        <f t="shared" si="24"/>
        <v>2.5377282051282615E-2</v>
      </c>
      <c r="BF50" s="47">
        <f t="shared" si="25"/>
        <v>2</v>
      </c>
      <c r="BG50" s="33"/>
      <c r="BH50" s="33"/>
      <c r="BI50" s="52"/>
      <c r="BJ50" s="53"/>
      <c r="BK50" s="54"/>
      <c r="BL50" s="100">
        <v>67.840396000001491</v>
      </c>
      <c r="BM50" s="67">
        <f t="shared" si="26"/>
        <v>11.306732666666916</v>
      </c>
      <c r="BN50" s="51">
        <v>35</v>
      </c>
      <c r="BO50" s="62">
        <v>1</v>
      </c>
      <c r="BP50" s="60">
        <f t="shared" si="27"/>
        <v>0.32304950476191185</v>
      </c>
      <c r="BQ50" s="100">
        <v>11.516672000000254</v>
      </c>
      <c r="BR50" s="67">
        <f t="shared" si="28"/>
        <v>1.9194453333333756</v>
      </c>
      <c r="BS50" s="55">
        <v>3.4</v>
      </c>
      <c r="BT50" s="62">
        <v>1</v>
      </c>
      <c r="BU50" s="49">
        <f t="shared" si="29"/>
        <v>0.56454274509805169</v>
      </c>
      <c r="BV50" s="100">
        <v>61.722164000001364</v>
      </c>
      <c r="BW50" s="67">
        <f t="shared" si="30"/>
        <v>10.28702733333356</v>
      </c>
      <c r="BX50" s="61">
        <v>125</v>
      </c>
      <c r="BY50" s="62">
        <v>1</v>
      </c>
      <c r="BZ50" s="60">
        <f t="shared" si="31"/>
        <v>8.2296218666668475E-2</v>
      </c>
      <c r="CA50" s="47">
        <f t="shared" si="32"/>
        <v>3</v>
      </c>
      <c r="CB50" s="56">
        <f t="shared" si="33"/>
        <v>6.5</v>
      </c>
      <c r="CC50" s="100">
        <v>22.22357800000049</v>
      </c>
      <c r="CD50" s="67">
        <f t="shared" si="34"/>
        <v>3.7039296666667485</v>
      </c>
      <c r="CE50" s="61">
        <v>165</v>
      </c>
      <c r="CF50" s="62">
        <v>1</v>
      </c>
      <c r="CG50" s="49">
        <f t="shared" si="35"/>
        <v>2.2448058585859083E-2</v>
      </c>
      <c r="CH50" s="100">
        <v>30.141290000000666</v>
      </c>
      <c r="CI50" s="67">
        <f t="shared" si="36"/>
        <v>5.0235483333334443</v>
      </c>
      <c r="CJ50" s="61">
        <v>150</v>
      </c>
      <c r="CK50" s="62">
        <v>1</v>
      </c>
      <c r="CL50" s="49">
        <f t="shared" si="37"/>
        <v>3.3490322222222965E-2</v>
      </c>
      <c r="CM50" s="100">
        <v>183.54696000000405</v>
      </c>
      <c r="CN50" s="67">
        <f t="shared" si="38"/>
        <v>30.591160000000674</v>
      </c>
      <c r="CO50" s="51">
        <v>320</v>
      </c>
      <c r="CP50" s="62">
        <v>1</v>
      </c>
      <c r="CQ50" s="49">
        <f t="shared" si="39"/>
        <v>9.5597375000002108E-2</v>
      </c>
      <c r="CR50" s="100">
        <v>550.6408800000122</v>
      </c>
      <c r="CS50" s="67">
        <f t="shared" si="40"/>
        <v>91.773480000002039</v>
      </c>
      <c r="CT50" s="51">
        <v>8000</v>
      </c>
      <c r="CU50" s="62">
        <v>1</v>
      </c>
      <c r="CV50" s="49">
        <f t="shared" si="41"/>
        <v>1.1471685000000256E-2</v>
      </c>
      <c r="CW50" s="100">
        <v>367.0939200000081</v>
      </c>
      <c r="CX50" s="67">
        <f t="shared" si="42"/>
        <v>61.182320000001347</v>
      </c>
      <c r="CY50" s="51">
        <v>300</v>
      </c>
      <c r="CZ50" s="62">
        <v>1</v>
      </c>
      <c r="DA50" s="49">
        <f t="shared" si="43"/>
        <v>0.20394106666667117</v>
      </c>
      <c r="DB50" s="57">
        <f t="shared" si="44"/>
        <v>44.98700000000099</v>
      </c>
      <c r="DC50" s="67">
        <f t="shared" si="45"/>
        <v>7.4978333333334986</v>
      </c>
      <c r="DD50" s="58">
        <v>50</v>
      </c>
      <c r="DE50" s="62">
        <v>1</v>
      </c>
      <c r="DF50" s="49">
        <f t="shared" si="46"/>
        <v>0.14995666666666996</v>
      </c>
      <c r="DG50" s="59">
        <f t="shared" si="47"/>
        <v>1</v>
      </c>
      <c r="DH50" s="94">
        <f t="shared" si="48"/>
        <v>3.5</v>
      </c>
      <c r="DI50" s="94">
        <f t="shared" si="49"/>
        <v>6.5</v>
      </c>
      <c r="DJ50" s="94">
        <f t="shared" si="50"/>
        <v>1</v>
      </c>
      <c r="DK50" s="96">
        <f t="shared" si="57"/>
        <v>11</v>
      </c>
      <c r="DL50" s="28">
        <f t="shared" si="51"/>
        <v>6</v>
      </c>
      <c r="DM50" s="94">
        <f t="shared" si="52"/>
        <v>66</v>
      </c>
      <c r="DN50" s="117">
        <f t="shared" si="53"/>
        <v>67</v>
      </c>
      <c r="DO50" s="117"/>
      <c r="DP50" s="44">
        <f t="shared" si="54"/>
        <v>3.4895833333333335</v>
      </c>
      <c r="DQ50" s="26"/>
      <c r="DR50" s="26"/>
      <c r="DS50" s="26"/>
      <c r="DT50" s="26"/>
      <c r="DU50" s="26"/>
    </row>
    <row r="51" spans="2:125" s="1" customFormat="1" ht="17.25" customHeight="1">
      <c r="B51" s="104">
        <v>43</v>
      </c>
      <c r="C51" s="101" t="s">
        <v>175</v>
      </c>
      <c r="D51" s="99" t="s">
        <v>152</v>
      </c>
      <c r="E51" s="99" t="s">
        <v>63</v>
      </c>
      <c r="F51" s="64" t="s">
        <v>82</v>
      </c>
      <c r="G51" s="64" t="s">
        <v>18</v>
      </c>
      <c r="H51" s="63"/>
      <c r="I51" s="98">
        <v>15603.978999999999</v>
      </c>
      <c r="J51" s="98">
        <v>15640.48</v>
      </c>
      <c r="K51" s="45">
        <f t="shared" si="55"/>
        <v>36.501000000000204</v>
      </c>
      <c r="L51" s="45" t="s">
        <v>47</v>
      </c>
      <c r="M51" s="71">
        <v>6</v>
      </c>
      <c r="N51" s="45">
        <f t="shared" si="56"/>
        <v>6.0835000000000337</v>
      </c>
      <c r="O51" s="48">
        <v>1</v>
      </c>
      <c r="P51" s="100">
        <v>55.116510000000311</v>
      </c>
      <c r="Q51" s="67">
        <f t="shared" si="7"/>
        <v>9.1860850000000518</v>
      </c>
      <c r="R51" s="46">
        <v>53.9</v>
      </c>
      <c r="S51" s="62">
        <v>1</v>
      </c>
      <c r="T51" s="48">
        <f t="shared" si="8"/>
        <v>0.17042829313543695</v>
      </c>
      <c r="U51" s="100">
        <v>201.48552000000115</v>
      </c>
      <c r="V51" s="67">
        <f t="shared" si="9"/>
        <v>33.580920000000191</v>
      </c>
      <c r="W51" s="75">
        <v>190</v>
      </c>
      <c r="X51" s="62">
        <v>1</v>
      </c>
      <c r="Y51" s="48">
        <f t="shared" si="10"/>
        <v>0.17674168421052733</v>
      </c>
      <c r="Z51" s="100">
        <v>48.911340000000273</v>
      </c>
      <c r="AA51" s="67">
        <f t="shared" si="11"/>
        <v>8.151890000000046</v>
      </c>
      <c r="AB51" s="61">
        <v>42</v>
      </c>
      <c r="AC51" s="62">
        <v>1</v>
      </c>
      <c r="AD51" s="48">
        <f t="shared" si="12"/>
        <v>0.49409261904762014</v>
      </c>
      <c r="AE51" s="100">
        <v>29.200800000000164</v>
      </c>
      <c r="AF51" s="67">
        <f t="shared" si="13"/>
        <v>4.8668000000000271</v>
      </c>
      <c r="AG51" s="61">
        <v>40</v>
      </c>
      <c r="AH51" s="62">
        <v>1</v>
      </c>
      <c r="AI51" s="48">
        <f t="shared" si="14"/>
        <v>0.12167000000000068</v>
      </c>
      <c r="AJ51" s="100">
        <v>13.140360000000076</v>
      </c>
      <c r="AK51" s="67">
        <f t="shared" si="15"/>
        <v>2.1900600000000128</v>
      </c>
      <c r="AL51" s="61">
        <v>130</v>
      </c>
      <c r="AM51" s="62">
        <v>1</v>
      </c>
      <c r="AN51" s="60">
        <f t="shared" si="16"/>
        <v>1.6846615384615484E-2</v>
      </c>
      <c r="AO51" s="47">
        <f t="shared" si="17"/>
        <v>1</v>
      </c>
      <c r="AP51" s="100">
        <v>41.611140000000233</v>
      </c>
      <c r="AQ51" s="67">
        <f t="shared" si="18"/>
        <v>6.9351900000000386</v>
      </c>
      <c r="AR51" s="61">
        <v>225</v>
      </c>
      <c r="AS51" s="62">
        <v>1</v>
      </c>
      <c r="AT51" s="49">
        <f t="shared" si="19"/>
        <v>3.0823066666666839E-2</v>
      </c>
      <c r="AU51" s="50">
        <f t="shared" si="20"/>
        <v>3.5</v>
      </c>
      <c r="AV51" s="100">
        <v>14.600400000000082</v>
      </c>
      <c r="AW51" s="67">
        <f t="shared" si="21"/>
        <v>2.4334000000000136</v>
      </c>
      <c r="AX51" s="51">
        <v>40</v>
      </c>
      <c r="AY51" s="62">
        <v>1</v>
      </c>
      <c r="AZ51" s="49">
        <f t="shared" si="22"/>
        <v>6.083500000000034E-2</v>
      </c>
      <c r="BA51" s="100">
        <v>16.060440000000092</v>
      </c>
      <c r="BB51" s="67">
        <f t="shared" si="23"/>
        <v>2.6767400000000152</v>
      </c>
      <c r="BC51" s="61">
        <v>130</v>
      </c>
      <c r="BD51" s="62">
        <v>1</v>
      </c>
      <c r="BE51" s="60">
        <f t="shared" si="24"/>
        <v>2.059030769230781E-2</v>
      </c>
      <c r="BF51" s="47">
        <f t="shared" si="25"/>
        <v>2</v>
      </c>
      <c r="BG51" s="33"/>
      <c r="BH51" s="33"/>
      <c r="BI51" s="52"/>
      <c r="BJ51" s="53"/>
      <c r="BK51" s="54"/>
      <c r="BL51" s="100">
        <v>55.043508000000308</v>
      </c>
      <c r="BM51" s="67">
        <f t="shared" si="26"/>
        <v>9.173918000000052</v>
      </c>
      <c r="BN51" s="51">
        <v>35</v>
      </c>
      <c r="BO51" s="62">
        <v>1</v>
      </c>
      <c r="BP51" s="60">
        <f t="shared" si="27"/>
        <v>0.26211194285714434</v>
      </c>
      <c r="BQ51" s="100">
        <v>9.344256000000053</v>
      </c>
      <c r="BR51" s="67">
        <f t="shared" si="28"/>
        <v>1.5573760000000088</v>
      </c>
      <c r="BS51" s="55">
        <v>3.4</v>
      </c>
      <c r="BT51" s="62">
        <v>1</v>
      </c>
      <c r="BU51" s="49">
        <f t="shared" si="29"/>
        <v>0.45805176470588493</v>
      </c>
      <c r="BV51" s="100">
        <v>50.079372000000284</v>
      </c>
      <c r="BW51" s="67">
        <f t="shared" si="30"/>
        <v>8.3465620000000467</v>
      </c>
      <c r="BX51" s="61">
        <v>125</v>
      </c>
      <c r="BY51" s="62">
        <v>1</v>
      </c>
      <c r="BZ51" s="60">
        <f t="shared" si="31"/>
        <v>6.6772496000000375E-2</v>
      </c>
      <c r="CA51" s="47">
        <f t="shared" si="32"/>
        <v>3</v>
      </c>
      <c r="CB51" s="56">
        <f t="shared" si="33"/>
        <v>6</v>
      </c>
      <c r="CC51" s="100">
        <v>18.031494000000102</v>
      </c>
      <c r="CD51" s="67">
        <f t="shared" si="34"/>
        <v>3.0052490000000169</v>
      </c>
      <c r="CE51" s="61">
        <v>165</v>
      </c>
      <c r="CF51" s="62">
        <v>1</v>
      </c>
      <c r="CG51" s="49">
        <f t="shared" si="35"/>
        <v>1.8213630303030404E-2</v>
      </c>
      <c r="CH51" s="100">
        <v>24.455670000000136</v>
      </c>
      <c r="CI51" s="67">
        <f t="shared" si="36"/>
        <v>4.075945000000023</v>
      </c>
      <c r="CJ51" s="61">
        <v>150</v>
      </c>
      <c r="CK51" s="62">
        <v>1</v>
      </c>
      <c r="CL51" s="49">
        <f t="shared" si="37"/>
        <v>2.7172966666666819E-2</v>
      </c>
      <c r="CM51" s="100">
        <v>148.92408000000083</v>
      </c>
      <c r="CN51" s="67">
        <f t="shared" si="38"/>
        <v>24.820680000000138</v>
      </c>
      <c r="CO51" s="51">
        <v>320</v>
      </c>
      <c r="CP51" s="62">
        <v>1</v>
      </c>
      <c r="CQ51" s="49">
        <f t="shared" si="39"/>
        <v>7.7564625000000428E-2</v>
      </c>
      <c r="CR51" s="100">
        <v>446.77224000000251</v>
      </c>
      <c r="CS51" s="67">
        <f t="shared" si="40"/>
        <v>74.462040000000414</v>
      </c>
      <c r="CT51" s="51">
        <v>8000</v>
      </c>
      <c r="CU51" s="62">
        <v>1</v>
      </c>
      <c r="CV51" s="49">
        <f t="shared" si="41"/>
        <v>9.3077550000000512E-3</v>
      </c>
      <c r="CW51" s="100">
        <v>297.84816000000166</v>
      </c>
      <c r="CX51" s="67">
        <f t="shared" si="42"/>
        <v>49.641360000000276</v>
      </c>
      <c r="CY51" s="51">
        <v>300</v>
      </c>
      <c r="CZ51" s="62">
        <v>1</v>
      </c>
      <c r="DA51" s="49">
        <f t="shared" si="43"/>
        <v>0.16547120000000093</v>
      </c>
      <c r="DB51" s="57">
        <f t="shared" si="44"/>
        <v>36.501000000000204</v>
      </c>
      <c r="DC51" s="67">
        <f t="shared" si="45"/>
        <v>6.0835000000000337</v>
      </c>
      <c r="DD51" s="58">
        <v>50</v>
      </c>
      <c r="DE51" s="62">
        <v>1</v>
      </c>
      <c r="DF51" s="49">
        <f t="shared" si="46"/>
        <v>0.12167000000000067</v>
      </c>
      <c r="DG51" s="59">
        <f t="shared" si="47"/>
        <v>0.5</v>
      </c>
      <c r="DH51" s="94">
        <f t="shared" si="48"/>
        <v>3.5</v>
      </c>
      <c r="DI51" s="94">
        <f t="shared" si="49"/>
        <v>6</v>
      </c>
      <c r="DJ51" s="94">
        <f t="shared" si="50"/>
        <v>0.5</v>
      </c>
      <c r="DK51" s="96">
        <f t="shared" si="57"/>
        <v>10</v>
      </c>
      <c r="DL51" s="28">
        <f t="shared" si="51"/>
        <v>6</v>
      </c>
      <c r="DM51" s="94">
        <f t="shared" si="52"/>
        <v>60</v>
      </c>
      <c r="DN51" s="117">
        <f t="shared" si="53"/>
        <v>61</v>
      </c>
      <c r="DO51" s="117"/>
      <c r="DP51" s="44">
        <f t="shared" si="54"/>
        <v>3.1770833333333335</v>
      </c>
      <c r="DQ51" s="26"/>
      <c r="DR51" s="26"/>
      <c r="DS51" s="26"/>
      <c r="DT51" s="26"/>
      <c r="DU51" s="26"/>
    </row>
    <row r="52" spans="2:125" s="1" customFormat="1" ht="17.25" customHeight="1">
      <c r="B52" s="104">
        <v>44</v>
      </c>
      <c r="C52" s="101" t="s">
        <v>153</v>
      </c>
      <c r="D52" s="99" t="s">
        <v>154</v>
      </c>
      <c r="E52" s="99"/>
      <c r="F52" s="64" t="s">
        <v>82</v>
      </c>
      <c r="G52" s="64" t="s">
        <v>18</v>
      </c>
      <c r="H52" s="63">
        <v>255</v>
      </c>
      <c r="I52" s="98">
        <v>15929.744000000001</v>
      </c>
      <c r="J52" s="98">
        <v>15972.893</v>
      </c>
      <c r="K52" s="45">
        <f t="shared" si="55"/>
        <v>43.148999999999432</v>
      </c>
      <c r="L52" s="45" t="s">
        <v>47</v>
      </c>
      <c r="M52" s="71">
        <v>7</v>
      </c>
      <c r="N52" s="45">
        <f t="shared" si="56"/>
        <v>6.1641428571427763</v>
      </c>
      <c r="O52" s="48">
        <v>1</v>
      </c>
      <c r="P52" s="100">
        <v>96.22226999999873</v>
      </c>
      <c r="Q52" s="67">
        <f t="shared" si="7"/>
        <v>13.746038571428389</v>
      </c>
      <c r="R52" s="46">
        <v>53.9</v>
      </c>
      <c r="S52" s="62">
        <v>1</v>
      </c>
      <c r="T52" s="48">
        <f t="shared" si="8"/>
        <v>0.25502854492445992</v>
      </c>
      <c r="U52" s="100">
        <v>318.00812999999584</v>
      </c>
      <c r="V52" s="67">
        <f t="shared" si="9"/>
        <v>45.429732857142263</v>
      </c>
      <c r="W52" s="75">
        <v>190</v>
      </c>
      <c r="X52" s="62">
        <v>1</v>
      </c>
      <c r="Y52" s="48">
        <f t="shared" si="10"/>
        <v>0.23910385714285401</v>
      </c>
      <c r="Z52" s="100">
        <v>57.819659999999246</v>
      </c>
      <c r="AA52" s="67">
        <f t="shared" si="11"/>
        <v>8.2599514285713216</v>
      </c>
      <c r="AB52" s="61">
        <v>42</v>
      </c>
      <c r="AC52" s="62">
        <v>1</v>
      </c>
      <c r="AD52" s="48">
        <f t="shared" si="12"/>
        <v>0.49666551020407906</v>
      </c>
      <c r="AE52" s="100">
        <v>34.51919999999955</v>
      </c>
      <c r="AF52" s="67">
        <f t="shared" si="13"/>
        <v>4.9313142857142216</v>
      </c>
      <c r="AG52" s="61">
        <v>40</v>
      </c>
      <c r="AH52" s="62">
        <v>1</v>
      </c>
      <c r="AI52" s="48">
        <f t="shared" si="14"/>
        <v>0.12328285714285554</v>
      </c>
      <c r="AJ52" s="100">
        <v>15.533639999999798</v>
      </c>
      <c r="AK52" s="67">
        <f t="shared" si="15"/>
        <v>2.2190914285713998</v>
      </c>
      <c r="AL52" s="61">
        <v>130</v>
      </c>
      <c r="AM52" s="62">
        <v>1</v>
      </c>
      <c r="AN52" s="60">
        <f t="shared" si="16"/>
        <v>1.7069934065933844E-2</v>
      </c>
      <c r="AO52" s="47">
        <f t="shared" si="17"/>
        <v>1</v>
      </c>
      <c r="AP52" s="100">
        <v>81.983099999998927</v>
      </c>
      <c r="AQ52" s="67">
        <f t="shared" si="18"/>
        <v>11.711871428571275</v>
      </c>
      <c r="AR52" s="61">
        <v>225</v>
      </c>
      <c r="AS52" s="62">
        <v>1</v>
      </c>
      <c r="AT52" s="49">
        <f t="shared" si="19"/>
        <v>5.205276190476122E-2</v>
      </c>
      <c r="AU52" s="50">
        <f t="shared" si="20"/>
        <v>3.5</v>
      </c>
      <c r="AV52" s="100">
        <v>17.259599999999775</v>
      </c>
      <c r="AW52" s="67">
        <f t="shared" si="21"/>
        <v>2.4656571428571108</v>
      </c>
      <c r="AX52" s="51">
        <v>40</v>
      </c>
      <c r="AY52" s="62">
        <v>1</v>
      </c>
      <c r="AZ52" s="49">
        <f t="shared" si="22"/>
        <v>6.1641428571427771E-2</v>
      </c>
      <c r="BA52" s="100">
        <v>18.985559999999754</v>
      </c>
      <c r="BB52" s="67">
        <f t="shared" si="23"/>
        <v>2.7122228571428222</v>
      </c>
      <c r="BC52" s="61">
        <v>130</v>
      </c>
      <c r="BD52" s="62">
        <v>1</v>
      </c>
      <c r="BE52" s="60">
        <f t="shared" si="24"/>
        <v>2.0863252747252477E-2</v>
      </c>
      <c r="BF52" s="47">
        <f t="shared" si="25"/>
        <v>2</v>
      </c>
      <c r="BG52" s="33"/>
      <c r="BH52" s="33"/>
      <c r="BI52" s="52"/>
      <c r="BJ52" s="53"/>
      <c r="BK52" s="54"/>
      <c r="BL52" s="100">
        <v>65.068691999999146</v>
      </c>
      <c r="BM52" s="67">
        <f t="shared" si="26"/>
        <v>9.2955274285713063</v>
      </c>
      <c r="BN52" s="51">
        <v>35</v>
      </c>
      <c r="BO52" s="62">
        <v>1</v>
      </c>
      <c r="BP52" s="60">
        <f t="shared" si="27"/>
        <v>0.26558649795918016</v>
      </c>
      <c r="BQ52" s="100">
        <v>11.046143999999854</v>
      </c>
      <c r="BR52" s="67">
        <f t="shared" si="28"/>
        <v>1.5780205714285507</v>
      </c>
      <c r="BS52" s="55">
        <v>3.4</v>
      </c>
      <c r="BT52" s="62">
        <v>1</v>
      </c>
      <c r="BU52" s="49">
        <f t="shared" si="29"/>
        <v>0.46412369747898552</v>
      </c>
      <c r="BV52" s="100">
        <v>59.200427999999228</v>
      </c>
      <c r="BW52" s="67">
        <f t="shared" si="30"/>
        <v>8.4572039999998889</v>
      </c>
      <c r="BX52" s="61">
        <v>125</v>
      </c>
      <c r="BY52" s="62">
        <v>1</v>
      </c>
      <c r="BZ52" s="60">
        <f t="shared" si="31"/>
        <v>6.7657631999999107E-2</v>
      </c>
      <c r="CA52" s="47">
        <f t="shared" si="32"/>
        <v>3</v>
      </c>
      <c r="CB52" s="56">
        <f t="shared" si="33"/>
        <v>6</v>
      </c>
      <c r="CC52" s="100">
        <v>40.516910999999467</v>
      </c>
      <c r="CD52" s="67">
        <f t="shared" si="34"/>
        <v>5.7881301428570664</v>
      </c>
      <c r="CE52" s="61">
        <v>165</v>
      </c>
      <c r="CF52" s="62">
        <v>1</v>
      </c>
      <c r="CG52" s="49">
        <f t="shared" si="35"/>
        <v>3.5079576623376157E-2</v>
      </c>
      <c r="CH52" s="100">
        <v>56.784083999999254</v>
      </c>
      <c r="CI52" s="67">
        <f t="shared" si="36"/>
        <v>8.1120119999998934</v>
      </c>
      <c r="CJ52" s="61">
        <v>150</v>
      </c>
      <c r="CK52" s="62">
        <v>1</v>
      </c>
      <c r="CL52" s="49">
        <f t="shared" si="37"/>
        <v>5.4080079999999288E-2</v>
      </c>
      <c r="CM52" s="100">
        <v>340.0141199999955</v>
      </c>
      <c r="CN52" s="67">
        <f t="shared" si="38"/>
        <v>48.573445714285072</v>
      </c>
      <c r="CO52" s="51">
        <v>320</v>
      </c>
      <c r="CP52" s="62">
        <v>1</v>
      </c>
      <c r="CQ52" s="49">
        <f t="shared" si="39"/>
        <v>0.15179201785714086</v>
      </c>
      <c r="CR52" s="100">
        <v>1020.0423599999865</v>
      </c>
      <c r="CS52" s="67">
        <f t="shared" si="40"/>
        <v>145.72033714285521</v>
      </c>
      <c r="CT52" s="51">
        <v>8000</v>
      </c>
      <c r="CU52" s="62">
        <v>1</v>
      </c>
      <c r="CV52" s="49">
        <f t="shared" si="41"/>
        <v>1.8215042142856901E-2</v>
      </c>
      <c r="CW52" s="100">
        <v>680.028239999991</v>
      </c>
      <c r="CX52" s="67">
        <f t="shared" si="42"/>
        <v>97.146891428570143</v>
      </c>
      <c r="CY52" s="51">
        <v>300</v>
      </c>
      <c r="CZ52" s="62">
        <v>1</v>
      </c>
      <c r="DA52" s="49">
        <f t="shared" si="43"/>
        <v>0.32382297142856714</v>
      </c>
      <c r="DB52" s="57">
        <f t="shared" si="44"/>
        <v>43.148999999999432</v>
      </c>
      <c r="DC52" s="67">
        <f t="shared" si="45"/>
        <v>6.1641428571427763</v>
      </c>
      <c r="DD52" s="58">
        <v>50</v>
      </c>
      <c r="DE52" s="62">
        <v>1</v>
      </c>
      <c r="DF52" s="49">
        <f t="shared" si="46"/>
        <v>0.12328285714285553</v>
      </c>
      <c r="DG52" s="59">
        <f t="shared" si="47"/>
        <v>1</v>
      </c>
      <c r="DH52" s="94">
        <f t="shared" si="48"/>
        <v>3.5</v>
      </c>
      <c r="DI52" s="94">
        <f t="shared" si="49"/>
        <v>6</v>
      </c>
      <c r="DJ52" s="94">
        <f t="shared" si="50"/>
        <v>1</v>
      </c>
      <c r="DK52" s="96">
        <f t="shared" si="57"/>
        <v>11</v>
      </c>
      <c r="DL52" s="28">
        <f t="shared" si="51"/>
        <v>7</v>
      </c>
      <c r="DM52" s="94">
        <f t="shared" si="52"/>
        <v>77</v>
      </c>
      <c r="DN52" s="117">
        <f t="shared" si="53"/>
        <v>78</v>
      </c>
      <c r="DO52" s="117"/>
      <c r="DP52" s="44">
        <f t="shared" si="54"/>
        <v>4.0625</v>
      </c>
      <c r="DQ52" s="26"/>
      <c r="DR52" s="26"/>
      <c r="DS52" s="26"/>
      <c r="DT52" s="26"/>
      <c r="DU52" s="26"/>
    </row>
    <row r="53" spans="2:125" s="1" customFormat="1" ht="17.25" customHeight="1">
      <c r="B53" s="104">
        <v>45</v>
      </c>
      <c r="C53" s="101" t="s">
        <v>155</v>
      </c>
      <c r="D53" s="99" t="s">
        <v>156</v>
      </c>
      <c r="E53" s="99"/>
      <c r="F53" s="64" t="s">
        <v>82</v>
      </c>
      <c r="G53" s="64" t="s">
        <v>18</v>
      </c>
      <c r="H53" s="63">
        <v>255</v>
      </c>
      <c r="I53" s="98">
        <v>16344.446</v>
      </c>
      <c r="J53" s="98">
        <v>16385.758999999998</v>
      </c>
      <c r="K53" s="45">
        <f t="shared" si="55"/>
        <v>41.312999999998283</v>
      </c>
      <c r="L53" s="45" t="s">
        <v>47</v>
      </c>
      <c r="M53" s="71">
        <v>6</v>
      </c>
      <c r="N53" s="45">
        <f t="shared" si="56"/>
        <v>6.8854999999997135</v>
      </c>
      <c r="O53" s="48">
        <v>1</v>
      </c>
      <c r="P53" s="100">
        <v>62.382629999997405</v>
      </c>
      <c r="Q53" s="67">
        <f t="shared" si="7"/>
        <v>10.397104999999568</v>
      </c>
      <c r="R53" s="46">
        <v>53.9</v>
      </c>
      <c r="S53" s="62">
        <v>1</v>
      </c>
      <c r="T53" s="48">
        <f t="shared" si="8"/>
        <v>0.19289619666047436</v>
      </c>
      <c r="U53" s="100">
        <v>228.04775999999055</v>
      </c>
      <c r="V53" s="67">
        <f t="shared" si="9"/>
        <v>38.007959999998427</v>
      </c>
      <c r="W53" s="75">
        <v>190</v>
      </c>
      <c r="X53" s="62">
        <v>1</v>
      </c>
      <c r="Y53" s="48">
        <f t="shared" si="10"/>
        <v>0.20004189473683381</v>
      </c>
      <c r="Z53" s="100">
        <v>55.359419999997705</v>
      </c>
      <c r="AA53" s="67">
        <f t="shared" si="11"/>
        <v>9.2265699999996169</v>
      </c>
      <c r="AB53" s="61">
        <v>42</v>
      </c>
      <c r="AC53" s="62">
        <v>1</v>
      </c>
      <c r="AD53" s="48">
        <f t="shared" si="12"/>
        <v>0.51968023809522901</v>
      </c>
      <c r="AE53" s="100">
        <v>33.050399999998625</v>
      </c>
      <c r="AF53" s="67">
        <f t="shared" si="13"/>
        <v>5.5083999999997708</v>
      </c>
      <c r="AG53" s="61">
        <v>40</v>
      </c>
      <c r="AH53" s="62">
        <v>1</v>
      </c>
      <c r="AI53" s="48">
        <f t="shared" si="14"/>
        <v>0.13770999999999428</v>
      </c>
      <c r="AJ53" s="100">
        <v>14.872679999999384</v>
      </c>
      <c r="AK53" s="67">
        <f t="shared" si="15"/>
        <v>2.4787799999998974</v>
      </c>
      <c r="AL53" s="61">
        <v>130</v>
      </c>
      <c r="AM53" s="62">
        <v>1</v>
      </c>
      <c r="AN53" s="60">
        <f t="shared" si="16"/>
        <v>1.9067538461537671E-2</v>
      </c>
      <c r="AO53" s="47">
        <f t="shared" si="17"/>
        <v>1</v>
      </c>
      <c r="AP53" s="100">
        <v>47.096819999998047</v>
      </c>
      <c r="AQ53" s="67">
        <f t="shared" si="18"/>
        <v>7.8494699999996742</v>
      </c>
      <c r="AR53" s="61">
        <v>225</v>
      </c>
      <c r="AS53" s="62">
        <v>1</v>
      </c>
      <c r="AT53" s="49">
        <f t="shared" si="19"/>
        <v>3.4886533333331887E-2</v>
      </c>
      <c r="AU53" s="50">
        <f t="shared" si="20"/>
        <v>3.5</v>
      </c>
      <c r="AV53" s="100">
        <v>16.525199999999312</v>
      </c>
      <c r="AW53" s="67">
        <f t="shared" si="21"/>
        <v>2.7541999999998854</v>
      </c>
      <c r="AX53" s="51">
        <v>40</v>
      </c>
      <c r="AY53" s="62">
        <v>1</v>
      </c>
      <c r="AZ53" s="49">
        <f t="shared" si="22"/>
        <v>6.8854999999997141E-2</v>
      </c>
      <c r="BA53" s="100">
        <v>18.177719999999248</v>
      </c>
      <c r="BB53" s="67">
        <f t="shared" si="23"/>
        <v>3.0296199999998747</v>
      </c>
      <c r="BC53" s="61">
        <v>130</v>
      </c>
      <c r="BD53" s="62">
        <v>1</v>
      </c>
      <c r="BE53" s="60">
        <f t="shared" si="24"/>
        <v>2.3304769230768269E-2</v>
      </c>
      <c r="BF53" s="47">
        <f t="shared" si="25"/>
        <v>2</v>
      </c>
      <c r="BG53" s="33"/>
      <c r="BH53" s="33"/>
      <c r="BI53" s="52"/>
      <c r="BJ53" s="53"/>
      <c r="BK53" s="54"/>
      <c r="BL53" s="100">
        <v>62.300003999997408</v>
      </c>
      <c r="BM53" s="67">
        <f t="shared" si="26"/>
        <v>10.383333999999568</v>
      </c>
      <c r="BN53" s="51">
        <v>35</v>
      </c>
      <c r="BO53" s="62">
        <v>1</v>
      </c>
      <c r="BP53" s="60">
        <f t="shared" si="27"/>
        <v>0.29666668571427335</v>
      </c>
      <c r="BQ53" s="100">
        <v>10.57612799999956</v>
      </c>
      <c r="BR53" s="67">
        <f t="shared" si="28"/>
        <v>1.7626879999999268</v>
      </c>
      <c r="BS53" s="55">
        <v>3.4</v>
      </c>
      <c r="BT53" s="62">
        <v>1</v>
      </c>
      <c r="BU53" s="49">
        <f t="shared" si="29"/>
        <v>0.51843764705880202</v>
      </c>
      <c r="BV53" s="100">
        <v>56.681435999997646</v>
      </c>
      <c r="BW53" s="67">
        <f t="shared" si="30"/>
        <v>9.4469059999996077</v>
      </c>
      <c r="BX53" s="61">
        <v>125</v>
      </c>
      <c r="BY53" s="62">
        <v>1</v>
      </c>
      <c r="BZ53" s="60">
        <f t="shared" si="31"/>
        <v>7.5575247999996861E-2</v>
      </c>
      <c r="CA53" s="47">
        <f t="shared" si="32"/>
        <v>3</v>
      </c>
      <c r="CB53" s="56">
        <f t="shared" si="33"/>
        <v>6</v>
      </c>
      <c r="CC53" s="100">
        <v>20.408621999999152</v>
      </c>
      <c r="CD53" s="67">
        <f t="shared" si="34"/>
        <v>3.4014369999998588</v>
      </c>
      <c r="CE53" s="61">
        <v>165</v>
      </c>
      <c r="CF53" s="62">
        <v>1</v>
      </c>
      <c r="CG53" s="49">
        <f t="shared" si="35"/>
        <v>2.0614769696968842E-2</v>
      </c>
      <c r="CH53" s="100">
        <v>27.679709999998853</v>
      </c>
      <c r="CI53" s="67">
        <f t="shared" si="36"/>
        <v>4.6132849999998085</v>
      </c>
      <c r="CJ53" s="61">
        <v>150</v>
      </c>
      <c r="CK53" s="62">
        <v>1</v>
      </c>
      <c r="CL53" s="49">
        <f t="shared" si="37"/>
        <v>3.0755233333332056E-2</v>
      </c>
      <c r="CM53" s="100">
        <v>168.55703999999301</v>
      </c>
      <c r="CN53" s="67">
        <f t="shared" si="38"/>
        <v>28.092839999998834</v>
      </c>
      <c r="CO53" s="51">
        <v>320</v>
      </c>
      <c r="CP53" s="62">
        <v>1</v>
      </c>
      <c r="CQ53" s="49">
        <f t="shared" si="39"/>
        <v>8.7790124999996361E-2</v>
      </c>
      <c r="CR53" s="100">
        <v>505.67111999997906</v>
      </c>
      <c r="CS53" s="67">
        <f t="shared" si="40"/>
        <v>84.278519999996504</v>
      </c>
      <c r="CT53" s="51">
        <v>8000</v>
      </c>
      <c r="CU53" s="62">
        <v>1</v>
      </c>
      <c r="CV53" s="49">
        <f t="shared" si="41"/>
        <v>1.0534814999999562E-2</v>
      </c>
      <c r="CW53" s="100">
        <v>337.11407999998602</v>
      </c>
      <c r="CX53" s="67">
        <f t="shared" si="42"/>
        <v>56.185679999997667</v>
      </c>
      <c r="CY53" s="51">
        <v>300</v>
      </c>
      <c r="CZ53" s="62">
        <v>1</v>
      </c>
      <c r="DA53" s="49">
        <f t="shared" si="43"/>
        <v>0.18728559999999222</v>
      </c>
      <c r="DB53" s="57">
        <f t="shared" si="44"/>
        <v>41.312999999998283</v>
      </c>
      <c r="DC53" s="67">
        <f t="shared" si="45"/>
        <v>6.8854999999997135</v>
      </c>
      <c r="DD53" s="58">
        <v>50</v>
      </c>
      <c r="DE53" s="62">
        <v>1</v>
      </c>
      <c r="DF53" s="49">
        <f t="shared" si="46"/>
        <v>0.13770999999999428</v>
      </c>
      <c r="DG53" s="59">
        <f t="shared" si="47"/>
        <v>0.5</v>
      </c>
      <c r="DH53" s="94">
        <f t="shared" si="48"/>
        <v>3.5</v>
      </c>
      <c r="DI53" s="94">
        <f t="shared" si="49"/>
        <v>6</v>
      </c>
      <c r="DJ53" s="94">
        <f t="shared" si="50"/>
        <v>0.5</v>
      </c>
      <c r="DK53" s="96">
        <f t="shared" si="57"/>
        <v>10</v>
      </c>
      <c r="DL53" s="28">
        <f t="shared" si="51"/>
        <v>6</v>
      </c>
      <c r="DM53" s="94">
        <f t="shared" si="52"/>
        <v>60</v>
      </c>
      <c r="DN53" s="117">
        <f t="shared" si="53"/>
        <v>61</v>
      </c>
      <c r="DO53" s="117"/>
      <c r="DP53" s="44">
        <f t="shared" si="54"/>
        <v>3.1770833333333335</v>
      </c>
      <c r="DQ53" s="26"/>
      <c r="DR53" s="26"/>
      <c r="DS53" s="26"/>
      <c r="DT53" s="26"/>
      <c r="DU53" s="26"/>
    </row>
    <row r="54" spans="2:125" s="1" customFormat="1" ht="17.25" customHeight="1">
      <c r="B54" s="109">
        <v>46</v>
      </c>
      <c r="C54" s="108" t="s">
        <v>169</v>
      </c>
      <c r="D54" s="99" t="s">
        <v>65</v>
      </c>
      <c r="E54" s="99"/>
      <c r="F54" s="64" t="s">
        <v>176</v>
      </c>
      <c r="G54" s="64" t="s">
        <v>177</v>
      </c>
      <c r="H54" s="63">
        <v>255</v>
      </c>
      <c r="I54" s="98">
        <v>16652.909</v>
      </c>
      <c r="J54" s="98">
        <v>16716.703000000001</v>
      </c>
      <c r="K54" s="45">
        <f t="shared" si="55"/>
        <v>63.794000000001688</v>
      </c>
      <c r="L54" s="45" t="s">
        <v>178</v>
      </c>
      <c r="M54" s="71">
        <v>7</v>
      </c>
      <c r="N54" s="45">
        <f t="shared" si="56"/>
        <v>9.1134285714288126</v>
      </c>
      <c r="O54" s="48">
        <v>1</v>
      </c>
      <c r="P54" s="100">
        <v>136.86350000000436</v>
      </c>
      <c r="Q54" s="67">
        <f t="shared" si="7"/>
        <v>19.551928571429194</v>
      </c>
      <c r="R54" s="46">
        <v>53.9</v>
      </c>
      <c r="S54" s="62">
        <v>1</v>
      </c>
      <c r="T54" s="48">
        <f t="shared" si="8"/>
        <v>0.36274450039757317</v>
      </c>
      <c r="U54" s="100">
        <v>456.29418000001397</v>
      </c>
      <c r="V54" s="67">
        <f t="shared" si="9"/>
        <v>65.184882857144856</v>
      </c>
      <c r="W54" s="75">
        <v>190</v>
      </c>
      <c r="X54" s="62">
        <v>1</v>
      </c>
      <c r="Y54" s="48">
        <f t="shared" si="10"/>
        <v>0.34307833082707817</v>
      </c>
      <c r="Z54" s="100">
        <v>85.48396000000227</v>
      </c>
      <c r="AA54" s="67">
        <f t="shared" si="11"/>
        <v>12.21199428571461</v>
      </c>
      <c r="AB54" s="61">
        <v>42</v>
      </c>
      <c r="AC54" s="62">
        <v>1</v>
      </c>
      <c r="AD54" s="48">
        <f t="shared" si="12"/>
        <v>0.59076176870749064</v>
      </c>
      <c r="AE54" s="100">
        <v>51.035200000001353</v>
      </c>
      <c r="AF54" s="67">
        <f t="shared" si="13"/>
        <v>7.2907428571430506</v>
      </c>
      <c r="AG54" s="61">
        <v>40</v>
      </c>
      <c r="AH54" s="62">
        <v>1</v>
      </c>
      <c r="AI54" s="48">
        <f t="shared" si="14"/>
        <v>0.18226857142857628</v>
      </c>
      <c r="AJ54" s="100">
        <v>22.965840000000608</v>
      </c>
      <c r="AK54" s="67">
        <f t="shared" si="15"/>
        <v>3.2808342857143726</v>
      </c>
      <c r="AL54" s="61">
        <v>130</v>
      </c>
      <c r="AM54" s="62">
        <v>1</v>
      </c>
      <c r="AN54" s="60">
        <f t="shared" si="16"/>
        <v>2.5237186813187481E-2</v>
      </c>
      <c r="AO54" s="47">
        <f t="shared" si="17"/>
        <v>1</v>
      </c>
      <c r="AP54" s="100">
        <v>115.51164000000384</v>
      </c>
      <c r="AQ54" s="67">
        <f t="shared" si="18"/>
        <v>16.501662857143405</v>
      </c>
      <c r="AR54" s="61">
        <v>225</v>
      </c>
      <c r="AS54" s="62">
        <v>1</v>
      </c>
      <c r="AT54" s="49">
        <f t="shared" si="19"/>
        <v>7.3340723809526248E-2</v>
      </c>
      <c r="AU54" s="50">
        <f t="shared" si="20"/>
        <v>4</v>
      </c>
      <c r="AV54" s="100">
        <v>25.517600000000677</v>
      </c>
      <c r="AW54" s="67">
        <f t="shared" si="21"/>
        <v>3.6453714285715253</v>
      </c>
      <c r="AX54" s="51">
        <v>40</v>
      </c>
      <c r="AY54" s="62">
        <v>1</v>
      </c>
      <c r="AZ54" s="49">
        <f t="shared" si="22"/>
        <v>9.1134285714288138E-2</v>
      </c>
      <c r="BA54" s="100">
        <v>28.069360000000746</v>
      </c>
      <c r="BB54" s="67">
        <f t="shared" si="23"/>
        <v>4.009908571428678</v>
      </c>
      <c r="BC54" s="61">
        <v>130</v>
      </c>
      <c r="BD54" s="62">
        <v>1</v>
      </c>
      <c r="BE54" s="60">
        <f t="shared" si="24"/>
        <v>3.084545054945137E-2</v>
      </c>
      <c r="BF54" s="47">
        <f t="shared" si="25"/>
        <v>2</v>
      </c>
      <c r="BG54" s="33"/>
      <c r="BH54" s="33"/>
      <c r="BI54" s="52"/>
      <c r="BJ54" s="53"/>
      <c r="BK54" s="54"/>
      <c r="BL54" s="100">
        <v>96.201352000002544</v>
      </c>
      <c r="BM54" s="67">
        <f t="shared" si="26"/>
        <v>13.743050285714649</v>
      </c>
      <c r="BN54" s="51">
        <v>35</v>
      </c>
      <c r="BO54" s="62">
        <v>1</v>
      </c>
      <c r="BP54" s="60">
        <f t="shared" si="27"/>
        <v>0.39265857959184708</v>
      </c>
      <c r="BQ54" s="100">
        <v>16.331264000000434</v>
      </c>
      <c r="BR54" s="67">
        <f t="shared" si="28"/>
        <v>2.3330377142857763</v>
      </c>
      <c r="BS54" s="55">
        <v>3.4</v>
      </c>
      <c r="BT54" s="62">
        <v>1</v>
      </c>
      <c r="BU54" s="49">
        <f t="shared" si="29"/>
        <v>0.68618756302522832</v>
      </c>
      <c r="BV54" s="100">
        <v>87.525368000002331</v>
      </c>
      <c r="BW54" s="67">
        <f t="shared" si="30"/>
        <v>12.503624000000332</v>
      </c>
      <c r="BX54" s="61">
        <v>125</v>
      </c>
      <c r="BY54" s="62">
        <v>1</v>
      </c>
      <c r="BZ54" s="60">
        <f t="shared" si="31"/>
        <v>0.10002899200000266</v>
      </c>
      <c r="CA54" s="47">
        <f t="shared" si="32"/>
        <v>3</v>
      </c>
      <c r="CB54" s="56">
        <f t="shared" si="33"/>
        <v>6.5</v>
      </c>
      <c r="CC54" s="100">
        <v>87.525368000002331</v>
      </c>
      <c r="CD54" s="67">
        <f t="shared" si="34"/>
        <v>12.503624000000332</v>
      </c>
      <c r="CE54" s="61">
        <v>165</v>
      </c>
      <c r="CF54" s="62">
        <v>1</v>
      </c>
      <c r="CG54" s="49">
        <f t="shared" si="35"/>
        <v>7.5779539393941414E-2</v>
      </c>
      <c r="CH54" s="100">
        <v>79.110488000002746</v>
      </c>
      <c r="CI54" s="67">
        <f t="shared" si="36"/>
        <v>11.301498285714677</v>
      </c>
      <c r="CJ54" s="61">
        <v>150</v>
      </c>
      <c r="CK54" s="62">
        <v>1</v>
      </c>
      <c r="CL54" s="49">
        <f t="shared" si="37"/>
        <v>7.5343321904764518E-2</v>
      </c>
      <c r="CM54" s="100">
        <v>474.21192000001639</v>
      </c>
      <c r="CN54" s="67">
        <f t="shared" si="38"/>
        <v>67.744560000002338</v>
      </c>
      <c r="CO54" s="51">
        <v>320</v>
      </c>
      <c r="CP54" s="62">
        <v>1</v>
      </c>
      <c r="CQ54" s="49">
        <f t="shared" si="39"/>
        <v>0.21170175000000729</v>
      </c>
      <c r="CR54" s="100">
        <v>1422.6357600000492</v>
      </c>
      <c r="CS54" s="67">
        <f t="shared" si="40"/>
        <v>203.23368000000704</v>
      </c>
      <c r="CT54" s="51">
        <v>8000</v>
      </c>
      <c r="CU54" s="62">
        <v>1</v>
      </c>
      <c r="CV54" s="49">
        <f t="shared" si="41"/>
        <v>2.5404210000000881E-2</v>
      </c>
      <c r="CW54" s="100">
        <v>948.42384000003278</v>
      </c>
      <c r="CX54" s="67">
        <f t="shared" si="42"/>
        <v>135.48912000000468</v>
      </c>
      <c r="CY54" s="51">
        <v>300</v>
      </c>
      <c r="CZ54" s="62">
        <v>1</v>
      </c>
      <c r="DA54" s="49">
        <f t="shared" si="43"/>
        <v>0.45163040000001559</v>
      </c>
      <c r="DB54" s="57">
        <f t="shared" si="44"/>
        <v>63.794000000001688</v>
      </c>
      <c r="DC54" s="67">
        <f t="shared" si="45"/>
        <v>9.1134285714288126</v>
      </c>
      <c r="DD54" s="58">
        <v>50</v>
      </c>
      <c r="DE54" s="62">
        <v>1</v>
      </c>
      <c r="DF54" s="49">
        <f t="shared" si="46"/>
        <v>0.18226857142857625</v>
      </c>
      <c r="DG54" s="59">
        <f t="shared" si="47"/>
        <v>1.5</v>
      </c>
      <c r="DH54" s="94">
        <f t="shared" si="48"/>
        <v>4</v>
      </c>
      <c r="DI54" s="94">
        <f t="shared" si="49"/>
        <v>6.5</v>
      </c>
      <c r="DJ54" s="94">
        <f t="shared" si="50"/>
        <v>1.5</v>
      </c>
      <c r="DK54" s="96">
        <f t="shared" si="57"/>
        <v>12</v>
      </c>
      <c r="DL54" s="28">
        <f t="shared" si="51"/>
        <v>7</v>
      </c>
      <c r="DM54" s="94">
        <f t="shared" si="52"/>
        <v>84</v>
      </c>
      <c r="DN54" s="117">
        <f t="shared" si="53"/>
        <v>85</v>
      </c>
      <c r="DO54" s="117"/>
      <c r="DP54" s="44">
        <f t="shared" si="54"/>
        <v>4.4270833333333339</v>
      </c>
      <c r="DQ54" s="26"/>
      <c r="DR54" s="26"/>
      <c r="DS54" s="26"/>
      <c r="DT54" s="26"/>
      <c r="DU54" s="26"/>
    </row>
    <row r="55" spans="2:125" s="1" customFormat="1" ht="17.25" customHeight="1">
      <c r="B55" s="66">
        <v>47</v>
      </c>
      <c r="C55" s="35" t="s">
        <v>157</v>
      </c>
      <c r="D55" s="68" t="s">
        <v>158</v>
      </c>
      <c r="E55" s="68" t="s">
        <v>64</v>
      </c>
      <c r="F55" s="64" t="s">
        <v>88</v>
      </c>
      <c r="G55" s="64" t="s">
        <v>18</v>
      </c>
      <c r="H55" s="63"/>
      <c r="I55" s="98">
        <v>16970.12</v>
      </c>
      <c r="J55" s="98">
        <v>17019.753000000001</v>
      </c>
      <c r="K55" s="45">
        <f t="shared" si="55"/>
        <v>49.63300000000163</v>
      </c>
      <c r="L55" s="45" t="s">
        <v>47</v>
      </c>
      <c r="M55" s="71">
        <v>7</v>
      </c>
      <c r="N55" s="45">
        <f t="shared" si="56"/>
        <v>7.090428571428804</v>
      </c>
      <c r="O55" s="48">
        <v>1</v>
      </c>
      <c r="P55" s="100">
        <v>106.07713000000258</v>
      </c>
      <c r="Q55" s="67">
        <f t="shared" si="7"/>
        <v>15.153875714286084</v>
      </c>
      <c r="R55" s="46">
        <v>53.9</v>
      </c>
      <c r="S55" s="62">
        <v>1</v>
      </c>
      <c r="T55" s="48">
        <f t="shared" si="8"/>
        <v>0.28114797243573442</v>
      </c>
      <c r="U55" s="100">
        <v>353.70066000000929</v>
      </c>
      <c r="V55" s="67">
        <f t="shared" si="9"/>
        <v>50.528665714287044</v>
      </c>
      <c r="W55" s="75">
        <v>190</v>
      </c>
      <c r="X55" s="62">
        <v>1</v>
      </c>
      <c r="Y55" s="48">
        <f t="shared" si="10"/>
        <v>0.26594034586466864</v>
      </c>
      <c r="Z55" s="100">
        <v>66.508220000002183</v>
      </c>
      <c r="AA55" s="67">
        <f t="shared" si="11"/>
        <v>9.5011742857145975</v>
      </c>
      <c r="AB55" s="61">
        <v>42</v>
      </c>
      <c r="AC55" s="62">
        <v>1</v>
      </c>
      <c r="AD55" s="48">
        <f t="shared" si="12"/>
        <v>0.52621843537415702</v>
      </c>
      <c r="AE55" s="100">
        <v>39.706400000001302</v>
      </c>
      <c r="AF55" s="67">
        <f t="shared" si="13"/>
        <v>5.6723428571430432</v>
      </c>
      <c r="AG55" s="61">
        <v>40</v>
      </c>
      <c r="AH55" s="62">
        <v>1</v>
      </c>
      <c r="AI55" s="48">
        <f t="shared" si="14"/>
        <v>0.14180857142857609</v>
      </c>
      <c r="AJ55" s="100">
        <v>17.867880000000589</v>
      </c>
      <c r="AK55" s="67">
        <f t="shared" si="15"/>
        <v>2.5525542857143697</v>
      </c>
      <c r="AL55" s="61">
        <v>130</v>
      </c>
      <c r="AM55" s="62">
        <v>1</v>
      </c>
      <c r="AN55" s="60">
        <f t="shared" si="16"/>
        <v>1.9635032967033613E-2</v>
      </c>
      <c r="AO55" s="47">
        <f t="shared" si="17"/>
        <v>1</v>
      </c>
      <c r="AP55" s="100">
        <v>89.231520000001979</v>
      </c>
      <c r="AQ55" s="67">
        <f t="shared" si="18"/>
        <v>12.747360000000283</v>
      </c>
      <c r="AR55" s="61">
        <v>225</v>
      </c>
      <c r="AS55" s="62">
        <v>1</v>
      </c>
      <c r="AT55" s="49">
        <f t="shared" si="19"/>
        <v>5.6654933333334594E-2</v>
      </c>
      <c r="AU55" s="50">
        <f t="shared" si="20"/>
        <v>3.5</v>
      </c>
      <c r="AV55" s="100">
        <v>19.853200000000651</v>
      </c>
      <c r="AW55" s="67">
        <f t="shared" si="21"/>
        <v>2.8361714285715216</v>
      </c>
      <c r="AX55" s="51">
        <v>40</v>
      </c>
      <c r="AY55" s="62">
        <v>1</v>
      </c>
      <c r="AZ55" s="49">
        <f t="shared" si="22"/>
        <v>7.0904285714288043E-2</v>
      </c>
      <c r="BA55" s="100">
        <v>21.83852000000072</v>
      </c>
      <c r="BB55" s="67">
        <f t="shared" si="23"/>
        <v>3.1197885714286744</v>
      </c>
      <c r="BC55" s="61">
        <v>130</v>
      </c>
      <c r="BD55" s="62">
        <v>1</v>
      </c>
      <c r="BE55" s="60">
        <f t="shared" si="24"/>
        <v>2.3998373626374418E-2</v>
      </c>
      <c r="BF55" s="47">
        <f t="shared" si="25"/>
        <v>2</v>
      </c>
      <c r="BG55" s="33"/>
      <c r="BH55" s="33"/>
      <c r="BI55" s="52"/>
      <c r="BJ55" s="53"/>
      <c r="BK55" s="54"/>
      <c r="BL55" s="100">
        <v>74.846564000002459</v>
      </c>
      <c r="BM55" s="67">
        <f t="shared" si="26"/>
        <v>10.692366285714638</v>
      </c>
      <c r="BN55" s="51">
        <v>35</v>
      </c>
      <c r="BO55" s="62">
        <v>1</v>
      </c>
      <c r="BP55" s="60">
        <f t="shared" si="27"/>
        <v>0.30549617959184677</v>
      </c>
      <c r="BQ55" s="100">
        <v>12.706048000000417</v>
      </c>
      <c r="BR55" s="67">
        <f t="shared" si="28"/>
        <v>1.8151497142857738</v>
      </c>
      <c r="BS55" s="55">
        <v>3.4</v>
      </c>
      <c r="BT55" s="62">
        <v>1</v>
      </c>
      <c r="BU55" s="49">
        <f t="shared" si="29"/>
        <v>0.53386756302522764</v>
      </c>
      <c r="BV55" s="100">
        <v>68.096476000002241</v>
      </c>
      <c r="BW55" s="67">
        <f t="shared" si="30"/>
        <v>9.7280680000003201</v>
      </c>
      <c r="BX55" s="61">
        <v>125</v>
      </c>
      <c r="BY55" s="62">
        <v>1</v>
      </c>
      <c r="BZ55" s="60">
        <f t="shared" si="31"/>
        <v>7.7824544000002563E-2</v>
      </c>
      <c r="CA55" s="47">
        <f t="shared" si="32"/>
        <v>3</v>
      </c>
      <c r="CB55" s="56">
        <f t="shared" si="33"/>
        <v>6.5</v>
      </c>
      <c r="CC55" s="100">
        <v>43.61509700000088</v>
      </c>
      <c r="CD55" s="67">
        <f t="shared" si="34"/>
        <v>6.2307281428572683</v>
      </c>
      <c r="CE55" s="61">
        <v>165</v>
      </c>
      <c r="CF55" s="62">
        <v>1</v>
      </c>
      <c r="CG55" s="49">
        <f t="shared" si="35"/>
        <v>3.7761988744589504E-2</v>
      </c>
      <c r="CH55" s="100">
        <v>61.006525000001197</v>
      </c>
      <c r="CI55" s="67">
        <f t="shared" si="36"/>
        <v>8.7152178571430277</v>
      </c>
      <c r="CJ55" s="61">
        <v>150</v>
      </c>
      <c r="CK55" s="62">
        <v>1</v>
      </c>
      <c r="CL55" s="49">
        <f t="shared" si="37"/>
        <v>5.8101452380953517E-2</v>
      </c>
      <c r="CM55" s="100">
        <v>365.75214000000733</v>
      </c>
      <c r="CN55" s="67">
        <f t="shared" si="38"/>
        <v>52.25030571428676</v>
      </c>
      <c r="CO55" s="51">
        <v>320</v>
      </c>
      <c r="CP55" s="62">
        <v>1</v>
      </c>
      <c r="CQ55" s="49">
        <f t="shared" si="39"/>
        <v>0.16328220535714613</v>
      </c>
      <c r="CR55" s="100">
        <v>1097.256420000022</v>
      </c>
      <c r="CS55" s="67">
        <f t="shared" si="40"/>
        <v>156.75091714286029</v>
      </c>
      <c r="CT55" s="51">
        <v>8000</v>
      </c>
      <c r="CU55" s="62">
        <v>1</v>
      </c>
      <c r="CV55" s="49">
        <f t="shared" si="41"/>
        <v>1.9593864642857537E-2</v>
      </c>
      <c r="CW55" s="100">
        <v>731.50428000001466</v>
      </c>
      <c r="CX55" s="67">
        <f t="shared" si="42"/>
        <v>104.50061142857352</v>
      </c>
      <c r="CY55" s="51">
        <v>300</v>
      </c>
      <c r="CZ55" s="62">
        <v>1</v>
      </c>
      <c r="DA55" s="49">
        <f t="shared" si="43"/>
        <v>0.3483353714285784</v>
      </c>
      <c r="DB55" s="57">
        <f t="shared" si="44"/>
        <v>49.63300000000163</v>
      </c>
      <c r="DC55" s="67">
        <f t="shared" si="45"/>
        <v>7.090428571428804</v>
      </c>
      <c r="DD55" s="58">
        <v>50</v>
      </c>
      <c r="DE55" s="62">
        <v>1</v>
      </c>
      <c r="DF55" s="49">
        <f t="shared" si="46"/>
        <v>0.14180857142857609</v>
      </c>
      <c r="DG55" s="59">
        <f t="shared" si="47"/>
        <v>1</v>
      </c>
      <c r="DH55" s="94">
        <f t="shared" si="48"/>
        <v>3.5</v>
      </c>
      <c r="DI55" s="94">
        <f t="shared" si="49"/>
        <v>6.5</v>
      </c>
      <c r="DJ55" s="94">
        <f t="shared" si="50"/>
        <v>1</v>
      </c>
      <c r="DK55" s="96">
        <f t="shared" si="57"/>
        <v>11</v>
      </c>
      <c r="DL55" s="28">
        <f t="shared" si="51"/>
        <v>7</v>
      </c>
      <c r="DM55" s="94">
        <f t="shared" si="52"/>
        <v>77</v>
      </c>
      <c r="DN55" s="117">
        <f t="shared" si="53"/>
        <v>78</v>
      </c>
      <c r="DO55" s="117"/>
      <c r="DP55" s="44">
        <f t="shared" si="54"/>
        <v>4.0625</v>
      </c>
      <c r="DQ55" s="26"/>
      <c r="DR55" s="26"/>
      <c r="DS55" s="26"/>
      <c r="DT55" s="26"/>
      <c r="DU55" s="26"/>
    </row>
    <row r="56" spans="2:125" s="1" customFormat="1" ht="17.25" customHeight="1">
      <c r="B56" s="104">
        <v>48</v>
      </c>
      <c r="C56" s="101" t="s">
        <v>159</v>
      </c>
      <c r="D56" s="99" t="s">
        <v>160</v>
      </c>
      <c r="E56" s="68"/>
      <c r="F56" s="64" t="s">
        <v>58</v>
      </c>
      <c r="G56" s="64" t="s">
        <v>18</v>
      </c>
      <c r="H56" s="63">
        <v>255</v>
      </c>
      <c r="I56" s="98">
        <v>17354.048999999999</v>
      </c>
      <c r="J56" s="98">
        <v>17390.616999999998</v>
      </c>
      <c r="K56" s="45">
        <f t="shared" si="55"/>
        <v>36.567999999999302</v>
      </c>
      <c r="L56" s="45" t="s">
        <v>47</v>
      </c>
      <c r="M56" s="71">
        <v>5</v>
      </c>
      <c r="N56" s="45">
        <f t="shared" si="56"/>
        <v>7.3135999999998607</v>
      </c>
      <c r="O56" s="48">
        <v>1</v>
      </c>
      <c r="P56" s="100">
        <v>81.546639999998447</v>
      </c>
      <c r="Q56" s="67">
        <f t="shared" si="7"/>
        <v>16.309327999999688</v>
      </c>
      <c r="R56" s="46">
        <v>53.9</v>
      </c>
      <c r="S56" s="62">
        <v>1</v>
      </c>
      <c r="T56" s="48">
        <f t="shared" si="8"/>
        <v>0.30258493506492928</v>
      </c>
      <c r="U56" s="100">
        <v>269.50615999999485</v>
      </c>
      <c r="V56" s="67">
        <f t="shared" si="9"/>
        <v>53.90123199999897</v>
      </c>
      <c r="W56" s="75">
        <v>190</v>
      </c>
      <c r="X56" s="62">
        <v>1</v>
      </c>
      <c r="Y56" s="48">
        <f t="shared" si="10"/>
        <v>0.28369069473683667</v>
      </c>
      <c r="Z56" s="100">
        <v>49.001119999999069</v>
      </c>
      <c r="AA56" s="67">
        <f t="shared" si="11"/>
        <v>9.8002239999998135</v>
      </c>
      <c r="AB56" s="61">
        <v>42</v>
      </c>
      <c r="AC56" s="62">
        <v>1</v>
      </c>
      <c r="AD56" s="48">
        <f t="shared" si="12"/>
        <v>0.53333866666666219</v>
      </c>
      <c r="AE56" s="100">
        <v>29.254399999999443</v>
      </c>
      <c r="AF56" s="67">
        <f t="shared" si="13"/>
        <v>5.8508799999998882</v>
      </c>
      <c r="AG56" s="61">
        <v>40</v>
      </c>
      <c r="AH56" s="62">
        <v>1</v>
      </c>
      <c r="AI56" s="48">
        <f t="shared" si="14"/>
        <v>0.14627199999999721</v>
      </c>
      <c r="AJ56" s="100">
        <v>13.164479999999751</v>
      </c>
      <c r="AK56" s="67">
        <f t="shared" si="15"/>
        <v>2.6328959999999499</v>
      </c>
      <c r="AL56" s="61">
        <v>130</v>
      </c>
      <c r="AM56" s="62">
        <v>1</v>
      </c>
      <c r="AN56" s="60">
        <f t="shared" si="16"/>
        <v>2.025304615384577E-2</v>
      </c>
      <c r="AO56" s="47">
        <f t="shared" si="17"/>
        <v>1</v>
      </c>
      <c r="AP56" s="100">
        <v>69.479199999998684</v>
      </c>
      <c r="AQ56" s="67">
        <f t="shared" si="18"/>
        <v>13.895839999999737</v>
      </c>
      <c r="AR56" s="61">
        <v>225</v>
      </c>
      <c r="AS56" s="62">
        <v>1</v>
      </c>
      <c r="AT56" s="49">
        <f t="shared" si="19"/>
        <v>6.1759288888887716E-2</v>
      </c>
      <c r="AU56" s="50">
        <f t="shared" si="20"/>
        <v>3.5</v>
      </c>
      <c r="AV56" s="100">
        <v>14.627199999999721</v>
      </c>
      <c r="AW56" s="67">
        <f t="shared" si="21"/>
        <v>2.9254399999999441</v>
      </c>
      <c r="AX56" s="51">
        <v>40</v>
      </c>
      <c r="AY56" s="62">
        <v>1</v>
      </c>
      <c r="AZ56" s="49">
        <f t="shared" si="22"/>
        <v>7.3135999999998605E-2</v>
      </c>
      <c r="BA56" s="100">
        <v>16.089919999999694</v>
      </c>
      <c r="BB56" s="67">
        <f t="shared" si="23"/>
        <v>3.2179839999999387</v>
      </c>
      <c r="BC56" s="61">
        <v>130</v>
      </c>
      <c r="BD56" s="62">
        <v>1</v>
      </c>
      <c r="BE56" s="60">
        <f t="shared" si="24"/>
        <v>2.4753723076922605E-2</v>
      </c>
      <c r="BF56" s="47">
        <f t="shared" si="25"/>
        <v>2</v>
      </c>
      <c r="BG56" s="33"/>
      <c r="BH56" s="33"/>
      <c r="BI56" s="52"/>
      <c r="BJ56" s="53"/>
      <c r="BK56" s="54"/>
      <c r="BL56" s="100">
        <v>55.144543999998945</v>
      </c>
      <c r="BM56" s="67">
        <f t="shared" si="26"/>
        <v>11.028908799999789</v>
      </c>
      <c r="BN56" s="51">
        <v>35</v>
      </c>
      <c r="BO56" s="62">
        <v>1</v>
      </c>
      <c r="BP56" s="60">
        <f t="shared" si="27"/>
        <v>0.31511167999999395</v>
      </c>
      <c r="BQ56" s="100">
        <v>9.3614079999998214</v>
      </c>
      <c r="BR56" s="67">
        <f t="shared" si="28"/>
        <v>1.8722815999999642</v>
      </c>
      <c r="BS56" s="55">
        <v>3.4</v>
      </c>
      <c r="BT56" s="62">
        <v>1</v>
      </c>
      <c r="BU56" s="49">
        <f t="shared" si="29"/>
        <v>0.55067105882351886</v>
      </c>
      <c r="BV56" s="100">
        <v>50.171295999999046</v>
      </c>
      <c r="BW56" s="67">
        <f t="shared" si="30"/>
        <v>10.034259199999809</v>
      </c>
      <c r="BX56" s="61">
        <v>125</v>
      </c>
      <c r="BY56" s="62">
        <v>1</v>
      </c>
      <c r="BZ56" s="60">
        <f t="shared" si="31"/>
        <v>8.0274073599998469E-2</v>
      </c>
      <c r="CA56" s="47">
        <f t="shared" si="32"/>
        <v>3</v>
      </c>
      <c r="CB56" s="56">
        <f t="shared" si="33"/>
        <v>6.5</v>
      </c>
      <c r="CC56" s="100">
        <v>34.337351999999342</v>
      </c>
      <c r="CD56" s="67">
        <f t="shared" si="34"/>
        <v>6.8674703999998687</v>
      </c>
      <c r="CE56" s="61">
        <v>165</v>
      </c>
      <c r="CF56" s="62">
        <v>1</v>
      </c>
      <c r="CG56" s="49">
        <f t="shared" si="35"/>
        <v>4.1621032727271932E-2</v>
      </c>
      <c r="CH56" s="100">
        <v>48.123487999999085</v>
      </c>
      <c r="CI56" s="67">
        <f t="shared" si="36"/>
        <v>9.6246975999998163</v>
      </c>
      <c r="CJ56" s="61">
        <v>150</v>
      </c>
      <c r="CK56" s="62">
        <v>1</v>
      </c>
      <c r="CL56" s="49">
        <f t="shared" si="37"/>
        <v>6.4164650666665449E-2</v>
      </c>
      <c r="CM56" s="100">
        <v>288.1558399999945</v>
      </c>
      <c r="CN56" s="67">
        <f t="shared" si="38"/>
        <v>57.631167999998901</v>
      </c>
      <c r="CO56" s="51">
        <v>320</v>
      </c>
      <c r="CP56" s="62">
        <v>1</v>
      </c>
      <c r="CQ56" s="49">
        <f t="shared" si="39"/>
        <v>0.18009739999999658</v>
      </c>
      <c r="CR56" s="100">
        <v>864.46751999998355</v>
      </c>
      <c r="CS56" s="67">
        <f t="shared" si="40"/>
        <v>172.89350399999671</v>
      </c>
      <c r="CT56" s="51">
        <v>8000</v>
      </c>
      <c r="CU56" s="62">
        <v>1</v>
      </c>
      <c r="CV56" s="49">
        <f t="shared" si="41"/>
        <v>2.1611687999999588E-2</v>
      </c>
      <c r="CW56" s="100">
        <v>576.311679999989</v>
      </c>
      <c r="CX56" s="67">
        <f t="shared" si="42"/>
        <v>115.2623359999978</v>
      </c>
      <c r="CY56" s="51">
        <v>300</v>
      </c>
      <c r="CZ56" s="62">
        <v>1</v>
      </c>
      <c r="DA56" s="49">
        <f t="shared" si="43"/>
        <v>0.38420778666665933</v>
      </c>
      <c r="DB56" s="57">
        <f t="shared" si="44"/>
        <v>36.567999999999302</v>
      </c>
      <c r="DC56" s="67">
        <f t="shared" si="45"/>
        <v>7.3135999999998607</v>
      </c>
      <c r="DD56" s="58">
        <v>50</v>
      </c>
      <c r="DE56" s="62">
        <v>1</v>
      </c>
      <c r="DF56" s="49">
        <f t="shared" si="46"/>
        <v>0.14627199999999721</v>
      </c>
      <c r="DG56" s="59">
        <f t="shared" si="47"/>
        <v>1</v>
      </c>
      <c r="DH56" s="94">
        <f t="shared" si="48"/>
        <v>3.5</v>
      </c>
      <c r="DI56" s="94">
        <f t="shared" si="49"/>
        <v>6.5</v>
      </c>
      <c r="DJ56" s="94">
        <f t="shared" si="50"/>
        <v>1</v>
      </c>
      <c r="DK56" s="96">
        <f t="shared" si="57"/>
        <v>11</v>
      </c>
      <c r="DL56" s="28">
        <f t="shared" si="51"/>
        <v>5</v>
      </c>
      <c r="DM56" s="94">
        <f t="shared" si="52"/>
        <v>55</v>
      </c>
      <c r="DN56" s="117">
        <f t="shared" si="53"/>
        <v>56</v>
      </c>
      <c r="DO56" s="117"/>
      <c r="DP56" s="44">
        <f t="shared" si="54"/>
        <v>2.916666666666667</v>
      </c>
      <c r="DQ56" s="26"/>
      <c r="DR56" s="26"/>
      <c r="DS56" s="26"/>
      <c r="DT56" s="26"/>
      <c r="DU56" s="26"/>
    </row>
    <row r="57" spans="2:125" s="1" customFormat="1" ht="17.25" customHeight="1">
      <c r="B57" s="104">
        <v>49</v>
      </c>
      <c r="C57" s="101" t="s">
        <v>161</v>
      </c>
      <c r="D57" s="99" t="s">
        <v>162</v>
      </c>
      <c r="E57" s="68" t="s">
        <v>163</v>
      </c>
      <c r="F57" s="64" t="s">
        <v>164</v>
      </c>
      <c r="G57" s="64" t="s">
        <v>18</v>
      </c>
      <c r="H57" s="63"/>
      <c r="I57" s="98">
        <v>17572.289000000001</v>
      </c>
      <c r="J57" s="98">
        <v>17634.507000000001</v>
      </c>
      <c r="K57" s="45">
        <f t="shared" si="55"/>
        <v>62.218000000000757</v>
      </c>
      <c r="L57" s="45" t="s">
        <v>47</v>
      </c>
      <c r="M57" s="71">
        <v>9</v>
      </c>
      <c r="N57" s="45">
        <f t="shared" si="56"/>
        <v>6.9131111111111956</v>
      </c>
      <c r="O57" s="48">
        <v>1</v>
      </c>
      <c r="P57" s="100">
        <v>100.17098000000122</v>
      </c>
      <c r="Q57" s="67">
        <f t="shared" si="7"/>
        <v>11.130108888889024</v>
      </c>
      <c r="R57" s="46">
        <v>53.9</v>
      </c>
      <c r="S57" s="62">
        <v>1</v>
      </c>
      <c r="T57" s="48">
        <f t="shared" si="8"/>
        <v>0.20649552669552923</v>
      </c>
      <c r="U57" s="100">
        <v>358.99786000000438</v>
      </c>
      <c r="V57" s="67">
        <f t="shared" si="9"/>
        <v>39.888651111111599</v>
      </c>
      <c r="W57" s="75">
        <v>190</v>
      </c>
      <c r="X57" s="62">
        <v>1</v>
      </c>
      <c r="Y57" s="48">
        <f t="shared" si="10"/>
        <v>0.20994026900585053</v>
      </c>
      <c r="Z57" s="100">
        <v>83.372120000001019</v>
      </c>
      <c r="AA57" s="67">
        <f t="shared" si="11"/>
        <v>9.2635688888890027</v>
      </c>
      <c r="AB57" s="61">
        <v>42</v>
      </c>
      <c r="AC57" s="62">
        <v>1</v>
      </c>
      <c r="AD57" s="48">
        <f t="shared" si="12"/>
        <v>0.5205611640211667</v>
      </c>
      <c r="AE57" s="100">
        <v>49.774400000000611</v>
      </c>
      <c r="AF57" s="67">
        <f t="shared" si="13"/>
        <v>5.5304888888889572</v>
      </c>
      <c r="AG57" s="61">
        <v>40</v>
      </c>
      <c r="AH57" s="62">
        <v>1</v>
      </c>
      <c r="AI57" s="48">
        <f t="shared" si="14"/>
        <v>0.13826222222222392</v>
      </c>
      <c r="AJ57" s="100">
        <v>22.398480000000276</v>
      </c>
      <c r="AK57" s="67">
        <f t="shared" si="15"/>
        <v>2.4887200000000309</v>
      </c>
      <c r="AL57" s="61">
        <v>130</v>
      </c>
      <c r="AM57" s="62">
        <v>1</v>
      </c>
      <c r="AN57" s="60">
        <f t="shared" si="16"/>
        <v>1.9144000000000237E-2</v>
      </c>
      <c r="AO57" s="47">
        <f t="shared" si="17"/>
        <v>1</v>
      </c>
      <c r="AP57" s="100">
        <v>77.150320000000946</v>
      </c>
      <c r="AQ57" s="67">
        <f t="shared" si="18"/>
        <v>8.5722577777778834</v>
      </c>
      <c r="AR57" s="61">
        <v>225</v>
      </c>
      <c r="AS57" s="62">
        <v>1</v>
      </c>
      <c r="AT57" s="49">
        <f t="shared" si="19"/>
        <v>3.8098923456790591E-2</v>
      </c>
      <c r="AU57" s="50">
        <f t="shared" si="20"/>
        <v>3.5</v>
      </c>
      <c r="AV57" s="100">
        <v>24.887200000000306</v>
      </c>
      <c r="AW57" s="67">
        <f t="shared" si="21"/>
        <v>2.7652444444444786</v>
      </c>
      <c r="AX57" s="51">
        <v>40</v>
      </c>
      <c r="AY57" s="62">
        <v>1</v>
      </c>
      <c r="AZ57" s="49">
        <f t="shared" si="22"/>
        <v>6.9131111111111962E-2</v>
      </c>
      <c r="BA57" s="100">
        <v>27.375920000000338</v>
      </c>
      <c r="BB57" s="67">
        <f t="shared" si="23"/>
        <v>3.0417688888889263</v>
      </c>
      <c r="BC57" s="61">
        <v>130</v>
      </c>
      <c r="BD57" s="62">
        <v>1</v>
      </c>
      <c r="BE57" s="60">
        <f t="shared" si="24"/>
        <v>2.3398222222222511E-2</v>
      </c>
      <c r="BF57" s="47">
        <f t="shared" si="25"/>
        <v>2</v>
      </c>
      <c r="BG57" s="33"/>
      <c r="BH57" s="33"/>
      <c r="BI57" s="52"/>
      <c r="BJ57" s="53"/>
      <c r="BK57" s="54"/>
      <c r="BL57" s="100">
        <v>93.824744000001147</v>
      </c>
      <c r="BM57" s="67">
        <f t="shared" si="26"/>
        <v>10.424971555555683</v>
      </c>
      <c r="BN57" s="51">
        <v>35</v>
      </c>
      <c r="BO57" s="62">
        <v>1</v>
      </c>
      <c r="BP57" s="60">
        <f t="shared" si="27"/>
        <v>0.29785633015873381</v>
      </c>
      <c r="BQ57" s="100">
        <v>15.927808000000194</v>
      </c>
      <c r="BR57" s="67">
        <f t="shared" si="28"/>
        <v>1.769756444444466</v>
      </c>
      <c r="BS57" s="55">
        <v>3.4</v>
      </c>
      <c r="BT57" s="62">
        <v>1</v>
      </c>
      <c r="BU57" s="49">
        <f t="shared" si="29"/>
        <v>0.5205166013071959</v>
      </c>
      <c r="BV57" s="100">
        <v>85.36309600000105</v>
      </c>
      <c r="BW57" s="67">
        <f t="shared" si="30"/>
        <v>9.4847884444445612</v>
      </c>
      <c r="BX57" s="61">
        <v>125</v>
      </c>
      <c r="BY57" s="62">
        <v>1</v>
      </c>
      <c r="BZ57" s="60">
        <f t="shared" si="31"/>
        <v>7.5878307555556496E-2</v>
      </c>
      <c r="CA57" s="47">
        <f t="shared" si="32"/>
        <v>3</v>
      </c>
      <c r="CB57" s="56">
        <f t="shared" si="33"/>
        <v>6</v>
      </c>
      <c r="CC57" s="100">
        <v>34.406554000000419</v>
      </c>
      <c r="CD57" s="67">
        <f t="shared" si="34"/>
        <v>3.8229504444444911</v>
      </c>
      <c r="CE57" s="61">
        <v>165</v>
      </c>
      <c r="CF57" s="62">
        <v>1</v>
      </c>
      <c r="CG57" s="49">
        <f t="shared" si="35"/>
        <v>2.3169396632996917E-2</v>
      </c>
      <c r="CH57" s="100">
        <v>46.974590000000575</v>
      </c>
      <c r="CI57" s="67">
        <f t="shared" si="36"/>
        <v>5.2193988888889526</v>
      </c>
      <c r="CJ57" s="61">
        <v>150</v>
      </c>
      <c r="CK57" s="62">
        <v>1</v>
      </c>
      <c r="CL57" s="49">
        <f t="shared" si="37"/>
        <v>3.4795992592593021E-2</v>
      </c>
      <c r="CM57" s="100">
        <v>284.95844000000346</v>
      </c>
      <c r="CN57" s="67">
        <f t="shared" si="38"/>
        <v>31.662048888889274</v>
      </c>
      <c r="CO57" s="51">
        <v>320</v>
      </c>
      <c r="CP57" s="62">
        <v>1</v>
      </c>
      <c r="CQ57" s="49">
        <f t="shared" si="39"/>
        <v>9.894390277777898E-2</v>
      </c>
      <c r="CR57" s="100">
        <v>854.87532000001033</v>
      </c>
      <c r="CS57" s="67">
        <f t="shared" si="40"/>
        <v>94.986146666667821</v>
      </c>
      <c r="CT57" s="51">
        <v>8000</v>
      </c>
      <c r="CU57" s="62">
        <v>1</v>
      </c>
      <c r="CV57" s="49">
        <f t="shared" si="41"/>
        <v>1.1873268333333478E-2</v>
      </c>
      <c r="CW57" s="100">
        <v>569.91688000000693</v>
      </c>
      <c r="CX57" s="67">
        <f t="shared" si="42"/>
        <v>63.324097777778547</v>
      </c>
      <c r="CY57" s="51">
        <v>300</v>
      </c>
      <c r="CZ57" s="62">
        <v>1</v>
      </c>
      <c r="DA57" s="49">
        <f t="shared" si="43"/>
        <v>0.21108032592592849</v>
      </c>
      <c r="DB57" s="57">
        <f t="shared" si="44"/>
        <v>62.218000000000757</v>
      </c>
      <c r="DC57" s="67">
        <f t="shared" si="45"/>
        <v>6.9131111111111956</v>
      </c>
      <c r="DD57" s="58">
        <v>50</v>
      </c>
      <c r="DE57" s="62">
        <v>1</v>
      </c>
      <c r="DF57" s="49">
        <f t="shared" si="46"/>
        <v>0.13826222222222392</v>
      </c>
      <c r="DG57" s="59">
        <f t="shared" si="47"/>
        <v>1</v>
      </c>
      <c r="DH57" s="94">
        <f t="shared" si="48"/>
        <v>3.5</v>
      </c>
      <c r="DI57" s="94">
        <f t="shared" si="49"/>
        <v>6</v>
      </c>
      <c r="DJ57" s="94">
        <f t="shared" si="50"/>
        <v>1</v>
      </c>
      <c r="DK57" s="96">
        <f t="shared" si="57"/>
        <v>11</v>
      </c>
      <c r="DL57" s="28">
        <f t="shared" si="51"/>
        <v>9</v>
      </c>
      <c r="DM57" s="94">
        <f t="shared" si="52"/>
        <v>99</v>
      </c>
      <c r="DN57" s="117">
        <f t="shared" si="53"/>
        <v>100</v>
      </c>
      <c r="DO57" s="117"/>
      <c r="DP57" s="44">
        <f t="shared" si="54"/>
        <v>5.2083333333333339</v>
      </c>
      <c r="DQ57" s="26"/>
      <c r="DR57" s="26"/>
      <c r="DS57" s="26"/>
      <c r="DT57" s="26"/>
      <c r="DU57" s="26"/>
    </row>
    <row r="58" spans="2:125" s="12" customFormat="1" ht="17.25" customHeight="1">
      <c r="B58" s="13"/>
      <c r="C58" s="13"/>
      <c r="D58" s="13"/>
      <c r="E58" s="13"/>
      <c r="F58" s="13"/>
      <c r="G58" s="13"/>
      <c r="H58" s="14"/>
      <c r="I58" s="10"/>
      <c r="J58" s="10"/>
      <c r="K58" s="15"/>
      <c r="L58" s="15"/>
      <c r="M58" s="27"/>
      <c r="N58" s="25"/>
      <c r="O58" s="14"/>
      <c r="P58" s="11"/>
      <c r="Q58" s="11"/>
      <c r="R58" s="16"/>
      <c r="S58" s="17"/>
      <c r="T58" s="18"/>
      <c r="U58" s="11"/>
      <c r="V58" s="11"/>
      <c r="W58" s="19"/>
      <c r="X58" s="17"/>
      <c r="Y58" s="18"/>
      <c r="Z58" s="11"/>
      <c r="AA58" s="11"/>
      <c r="AB58" s="19"/>
      <c r="AC58" s="17"/>
      <c r="AD58" s="18"/>
      <c r="AE58" s="11"/>
      <c r="AF58" s="11"/>
      <c r="AG58" s="19"/>
      <c r="AH58" s="17"/>
      <c r="AI58" s="18"/>
      <c r="AJ58" s="11"/>
      <c r="AK58" s="11"/>
      <c r="AL58" s="19"/>
      <c r="AM58" s="17"/>
      <c r="AN58" s="18"/>
      <c r="AO58" s="14"/>
      <c r="AP58" s="11"/>
      <c r="AQ58" s="11"/>
      <c r="AR58" s="19"/>
      <c r="AS58" s="17"/>
      <c r="AT58" s="18"/>
      <c r="AU58" s="20"/>
      <c r="AV58" s="11"/>
      <c r="AW58" s="11"/>
      <c r="AX58" s="21"/>
      <c r="AY58" s="17"/>
      <c r="AZ58" s="18"/>
      <c r="BA58" s="11"/>
      <c r="BB58" s="11"/>
      <c r="BC58" s="19"/>
      <c r="BD58" s="17"/>
      <c r="BE58" s="18"/>
      <c r="BF58" s="14"/>
      <c r="BG58" s="11"/>
      <c r="BH58" s="11"/>
      <c r="BI58" s="22"/>
      <c r="BJ58" s="17"/>
      <c r="BK58" s="18"/>
      <c r="BL58" s="11"/>
      <c r="BM58" s="11"/>
      <c r="BN58" s="21"/>
      <c r="BO58" s="17"/>
      <c r="BP58" s="18"/>
      <c r="BQ58" s="11"/>
      <c r="BR58" s="11"/>
      <c r="BS58" s="23"/>
      <c r="BT58" s="17"/>
      <c r="BU58" s="18"/>
      <c r="BV58" s="11"/>
      <c r="BW58" s="11"/>
      <c r="BX58" s="19"/>
      <c r="BY58" s="17"/>
      <c r="BZ58" s="18"/>
      <c r="CA58" s="14"/>
      <c r="CB58" s="20"/>
      <c r="CC58" s="11"/>
      <c r="CD58" s="11"/>
      <c r="CE58" s="19"/>
      <c r="CF58" s="17"/>
      <c r="CG58" s="18"/>
      <c r="CH58" s="11"/>
      <c r="CI58" s="11"/>
      <c r="CJ58" s="19"/>
      <c r="CK58" s="17"/>
      <c r="CL58" s="18"/>
      <c r="CM58" s="11"/>
      <c r="CN58" s="11"/>
      <c r="CO58" s="21"/>
      <c r="CP58" s="17"/>
      <c r="CQ58" s="18"/>
      <c r="CR58" s="11"/>
      <c r="CS58" s="11"/>
      <c r="CT58" s="21"/>
      <c r="CU58" s="17"/>
      <c r="CV58" s="18"/>
      <c r="CW58" s="11"/>
      <c r="CX58" s="11"/>
      <c r="CY58" s="21"/>
      <c r="CZ58" s="17"/>
      <c r="DA58" s="18"/>
      <c r="DB58" s="15"/>
      <c r="DC58" s="15"/>
      <c r="DD58" s="22"/>
      <c r="DE58" s="17"/>
      <c r="DF58" s="18"/>
      <c r="DG58" s="24"/>
      <c r="DH58" s="31"/>
      <c r="DI58" s="31"/>
      <c r="DJ58" s="31"/>
      <c r="DK58" s="31"/>
      <c r="DL58" s="31"/>
      <c r="DM58" s="32"/>
      <c r="DN58" s="32"/>
      <c r="DO58" s="32"/>
      <c r="DP58" s="13"/>
      <c r="DQ58" s="13"/>
      <c r="DR58" s="13"/>
      <c r="DS58" s="13"/>
      <c r="DT58" s="13"/>
      <c r="DU58" s="13"/>
    </row>
    <row r="59" spans="2:125" s="12" customFormat="1" ht="17.25" customHeight="1">
      <c r="B59" s="13"/>
      <c r="C59" s="13"/>
      <c r="D59" s="13"/>
      <c r="E59" s="13"/>
      <c r="F59" s="13"/>
      <c r="G59" s="13"/>
      <c r="H59" s="14"/>
      <c r="I59" s="10"/>
      <c r="J59" s="10"/>
      <c r="K59" s="15"/>
      <c r="L59" s="15"/>
      <c r="M59" s="27"/>
      <c r="N59" s="25"/>
      <c r="O59" s="14"/>
      <c r="P59" s="11"/>
      <c r="Q59" s="11"/>
      <c r="R59" s="16"/>
      <c r="S59" s="17"/>
      <c r="T59" s="18"/>
      <c r="U59" s="11"/>
      <c r="V59" s="11"/>
      <c r="W59" s="19"/>
      <c r="X59" s="17"/>
      <c r="Y59" s="18"/>
      <c r="Z59" s="11"/>
      <c r="AA59" s="11"/>
      <c r="AB59" s="19"/>
      <c r="AC59" s="17"/>
      <c r="AD59" s="18"/>
      <c r="AE59" s="11"/>
      <c r="AF59" s="11"/>
      <c r="AG59" s="19"/>
      <c r="AH59" s="17"/>
      <c r="AI59" s="18"/>
      <c r="AJ59" s="11"/>
      <c r="AK59" s="11"/>
      <c r="AL59" s="19"/>
      <c r="AM59" s="17"/>
      <c r="AN59" s="18"/>
      <c r="AO59" s="14"/>
      <c r="AP59" s="11"/>
      <c r="AQ59" s="11"/>
      <c r="AR59" s="19"/>
      <c r="AS59" s="17"/>
      <c r="AT59" s="18"/>
      <c r="AU59" s="20"/>
      <c r="AV59" s="11"/>
      <c r="AW59" s="11"/>
      <c r="AX59" s="21"/>
      <c r="AY59" s="17"/>
      <c r="AZ59" s="18"/>
      <c r="BA59" s="11"/>
      <c r="BB59" s="11"/>
      <c r="BC59" s="19"/>
      <c r="BD59" s="17"/>
      <c r="BE59" s="18"/>
      <c r="BF59" s="14"/>
      <c r="BG59" s="11"/>
      <c r="BH59" s="11"/>
      <c r="BI59" s="22"/>
      <c r="BJ59" s="17"/>
      <c r="BK59" s="18"/>
      <c r="BL59" s="11"/>
      <c r="BM59" s="11"/>
      <c r="BN59" s="21"/>
      <c r="BO59" s="17"/>
      <c r="BP59" s="18"/>
      <c r="BQ59" s="11"/>
      <c r="BR59" s="11"/>
      <c r="BS59" s="23"/>
      <c r="BT59" s="17"/>
      <c r="BU59" s="18"/>
      <c r="BV59" s="11"/>
      <c r="BW59" s="11"/>
      <c r="BX59" s="19"/>
      <c r="BY59" s="17"/>
      <c r="BZ59" s="18"/>
      <c r="CA59" s="14"/>
      <c r="CB59" s="20"/>
      <c r="CC59" s="11"/>
      <c r="CD59" s="11"/>
      <c r="CE59" s="19"/>
      <c r="CF59" s="17"/>
      <c r="CG59" s="18"/>
      <c r="CH59" s="11"/>
      <c r="CI59" s="11"/>
      <c r="CJ59" s="19"/>
      <c r="CK59" s="17"/>
      <c r="CL59" s="18"/>
      <c r="CM59" s="11"/>
      <c r="CN59" s="11"/>
      <c r="CO59" s="21"/>
      <c r="CP59" s="17"/>
      <c r="CQ59" s="18"/>
      <c r="CR59" s="11"/>
      <c r="CS59" s="11"/>
      <c r="CT59" s="21"/>
      <c r="CU59" s="17"/>
      <c r="CV59" s="18"/>
      <c r="CW59" s="11"/>
      <c r="CX59" s="11"/>
      <c r="CY59" s="21"/>
      <c r="CZ59" s="17"/>
      <c r="DA59" s="18"/>
      <c r="DB59" s="15"/>
      <c r="DC59" s="15"/>
      <c r="DD59" s="22"/>
      <c r="DE59" s="17"/>
      <c r="DF59" s="18"/>
      <c r="DG59" s="24"/>
      <c r="DH59" s="31"/>
      <c r="DI59" s="31"/>
      <c r="DJ59" s="31"/>
      <c r="DK59" s="31"/>
      <c r="DL59" s="31"/>
      <c r="DM59" s="32"/>
      <c r="DN59" s="32"/>
      <c r="DO59" s="32"/>
      <c r="DP59" s="13"/>
      <c r="DQ59" s="13"/>
      <c r="DR59" s="13"/>
      <c r="DS59" s="13"/>
      <c r="DT59" s="13"/>
      <c r="DU59" s="13"/>
    </row>
    <row r="60" spans="2:125" s="12" customFormat="1" ht="17.25" customHeight="1">
      <c r="B60" s="13"/>
      <c r="C60" s="13"/>
      <c r="D60" s="13"/>
      <c r="E60" s="13"/>
      <c r="F60" s="13"/>
      <c r="G60" s="13"/>
      <c r="H60" s="14"/>
      <c r="I60" s="10"/>
      <c r="J60" s="10"/>
      <c r="K60" s="15"/>
      <c r="L60" s="15"/>
      <c r="M60" s="27"/>
      <c r="N60" s="25"/>
      <c r="O60" s="14"/>
      <c r="P60" s="11"/>
      <c r="Q60" s="11"/>
      <c r="R60" s="16"/>
      <c r="S60" s="17"/>
      <c r="T60" s="18"/>
      <c r="U60" s="11"/>
      <c r="V60" s="11"/>
      <c r="W60" s="19"/>
      <c r="X60" s="17"/>
      <c r="Y60" s="18"/>
      <c r="Z60" s="11"/>
      <c r="AA60" s="11"/>
      <c r="AB60" s="19"/>
      <c r="AC60" s="17"/>
      <c r="AD60" s="18"/>
      <c r="AE60" s="11"/>
      <c r="AF60" s="11"/>
      <c r="AG60" s="19"/>
      <c r="AH60" s="17"/>
      <c r="AI60" s="18"/>
      <c r="AJ60" s="11"/>
      <c r="AK60" s="11"/>
      <c r="AL60" s="19"/>
      <c r="AM60" s="17"/>
      <c r="AN60" s="18"/>
      <c r="AO60" s="14"/>
      <c r="AP60" s="11"/>
      <c r="AQ60" s="11"/>
      <c r="AR60" s="19"/>
      <c r="AS60" s="17"/>
      <c r="AT60" s="18"/>
      <c r="AU60" s="20"/>
      <c r="AV60" s="11"/>
      <c r="AW60" s="11"/>
      <c r="AX60" s="21"/>
      <c r="AY60" s="17"/>
      <c r="AZ60" s="18"/>
      <c r="BA60" s="11"/>
      <c r="BB60" s="11"/>
      <c r="BC60" s="19"/>
      <c r="BD60" s="17"/>
      <c r="BE60" s="18"/>
      <c r="BF60" s="14"/>
      <c r="BG60" s="11"/>
      <c r="BH60" s="11"/>
      <c r="BI60" s="22"/>
      <c r="BJ60" s="17"/>
      <c r="BK60" s="18"/>
      <c r="BL60" s="11"/>
      <c r="BM60" s="11"/>
      <c r="BN60" s="21"/>
      <c r="BO60" s="17"/>
      <c r="BP60" s="18"/>
      <c r="BQ60" s="11"/>
      <c r="BR60" s="11"/>
      <c r="BS60" s="23"/>
      <c r="BT60" s="17"/>
      <c r="BU60" s="18"/>
      <c r="BV60" s="11"/>
      <c r="BW60" s="11"/>
      <c r="BX60" s="19"/>
      <c r="BY60" s="17"/>
      <c r="BZ60" s="18"/>
      <c r="CA60" s="14"/>
      <c r="CB60" s="20"/>
      <c r="CC60" s="11"/>
      <c r="CD60" s="11"/>
      <c r="CE60" s="19"/>
      <c r="CF60" s="17"/>
      <c r="CG60" s="18"/>
      <c r="CH60" s="11"/>
      <c r="CI60" s="11"/>
      <c r="CJ60" s="19"/>
      <c r="CK60" s="17"/>
      <c r="CL60" s="18"/>
      <c r="CM60" s="11"/>
      <c r="CN60" s="11"/>
      <c r="CO60" s="21"/>
      <c r="CP60" s="17"/>
      <c r="CQ60" s="18"/>
      <c r="CR60" s="11"/>
      <c r="CS60" s="11"/>
      <c r="CT60" s="21"/>
      <c r="CU60" s="17"/>
      <c r="CV60" s="18"/>
      <c r="CW60" s="11"/>
      <c r="CX60" s="11"/>
      <c r="CY60" s="21"/>
      <c r="CZ60" s="17"/>
      <c r="DA60" s="18"/>
      <c r="DB60" s="15"/>
      <c r="DC60" s="15"/>
      <c r="DD60" s="22"/>
      <c r="DE60" s="17"/>
      <c r="DF60" s="18"/>
      <c r="DG60" s="24"/>
      <c r="DH60" s="31"/>
      <c r="DI60" s="31"/>
      <c r="DJ60" s="31"/>
      <c r="DK60" s="31"/>
      <c r="DL60" s="31"/>
      <c r="DM60" s="32"/>
      <c r="DN60" s="32"/>
      <c r="DO60" s="32"/>
      <c r="DP60" s="13"/>
      <c r="DQ60" s="13"/>
      <c r="DR60" s="13"/>
      <c r="DS60" s="13"/>
      <c r="DT60" s="13"/>
      <c r="DU60" s="13"/>
    </row>
    <row r="61" spans="2:125" s="12" customFormat="1" ht="17.25" customHeight="1">
      <c r="B61" s="13"/>
      <c r="C61" s="13"/>
      <c r="D61" s="13"/>
      <c r="E61" s="13"/>
      <c r="F61" s="13"/>
      <c r="G61" s="13"/>
      <c r="H61" s="14"/>
      <c r="I61" s="10"/>
      <c r="J61" s="10"/>
      <c r="K61" s="15"/>
      <c r="L61" s="15"/>
      <c r="M61" s="27"/>
      <c r="N61" s="25"/>
      <c r="O61" s="14"/>
      <c r="P61" s="11"/>
      <c r="Q61" s="11"/>
      <c r="R61" s="16"/>
      <c r="S61" s="17"/>
      <c r="T61" s="18"/>
      <c r="U61" s="11"/>
      <c r="V61" s="11"/>
      <c r="W61" s="19"/>
      <c r="X61" s="17"/>
      <c r="Y61" s="18"/>
      <c r="Z61" s="11"/>
      <c r="AA61" s="11"/>
      <c r="AB61" s="19"/>
      <c r="AC61" s="17"/>
      <c r="AD61" s="18"/>
      <c r="AE61" s="11"/>
      <c r="AF61" s="11"/>
      <c r="AG61" s="19"/>
      <c r="AH61" s="17"/>
      <c r="AI61" s="18"/>
      <c r="AJ61" s="11"/>
      <c r="AK61" s="11"/>
      <c r="AL61" s="19"/>
      <c r="AM61" s="17"/>
      <c r="AN61" s="18"/>
      <c r="AO61" s="14"/>
      <c r="AP61" s="11"/>
      <c r="AQ61" s="11"/>
      <c r="AR61" s="19"/>
      <c r="AS61" s="17"/>
      <c r="AT61" s="18"/>
      <c r="AU61" s="20"/>
      <c r="AV61" s="11"/>
      <c r="AW61" s="11"/>
      <c r="AX61" s="21"/>
      <c r="AY61" s="17"/>
      <c r="AZ61" s="18"/>
      <c r="BA61" s="11"/>
      <c r="BB61" s="11"/>
      <c r="BC61" s="19"/>
      <c r="BD61" s="17"/>
      <c r="BE61" s="18"/>
      <c r="BF61" s="14"/>
      <c r="BG61" s="11"/>
      <c r="BH61" s="11"/>
      <c r="BI61" s="22"/>
      <c r="BJ61" s="17"/>
      <c r="BK61" s="18"/>
      <c r="BL61" s="11"/>
      <c r="BM61" s="11"/>
      <c r="BN61" s="21"/>
      <c r="BO61" s="17"/>
      <c r="BP61" s="18"/>
      <c r="BQ61" s="11"/>
      <c r="BR61" s="11"/>
      <c r="BS61" s="23"/>
      <c r="BT61" s="17"/>
      <c r="BU61" s="18"/>
      <c r="BV61" s="11"/>
      <c r="BW61" s="11"/>
      <c r="BX61" s="19"/>
      <c r="BY61" s="17"/>
      <c r="BZ61" s="18"/>
      <c r="CA61" s="14"/>
      <c r="CB61" s="20"/>
      <c r="CC61" s="11"/>
      <c r="CD61" s="11"/>
      <c r="CE61" s="19"/>
      <c r="CF61" s="17"/>
      <c r="CG61" s="18"/>
      <c r="CH61" s="11"/>
      <c r="CI61" s="11"/>
      <c r="CJ61" s="19"/>
      <c r="CK61" s="17"/>
      <c r="CL61" s="18"/>
      <c r="CM61" s="11"/>
      <c r="CN61" s="11"/>
      <c r="CO61" s="21"/>
      <c r="CP61" s="17"/>
      <c r="CQ61" s="18"/>
      <c r="CR61" s="11"/>
      <c r="CS61" s="11"/>
      <c r="CT61" s="21"/>
      <c r="CU61" s="17"/>
      <c r="CV61" s="18"/>
      <c r="CW61" s="11"/>
      <c r="CX61" s="11"/>
      <c r="CY61" s="21"/>
      <c r="CZ61" s="17"/>
      <c r="DA61" s="18"/>
      <c r="DB61" s="15"/>
      <c r="DC61" s="15"/>
      <c r="DD61" s="22"/>
      <c r="DE61" s="17"/>
      <c r="DF61" s="18"/>
      <c r="DG61" s="24"/>
      <c r="DH61" s="31"/>
      <c r="DI61" s="31"/>
      <c r="DJ61" s="31"/>
      <c r="DK61" s="31"/>
      <c r="DL61" s="31"/>
      <c r="DM61" s="32"/>
      <c r="DN61" s="32"/>
      <c r="DO61" s="32"/>
      <c r="DP61" s="13"/>
      <c r="DQ61" s="13"/>
      <c r="DR61" s="13"/>
      <c r="DS61" s="13"/>
      <c r="DT61" s="13"/>
      <c r="DU61" s="13"/>
    </row>
    <row r="62" spans="2:125" s="12" customFormat="1" ht="17.25" customHeight="1">
      <c r="B62" s="13"/>
      <c r="C62" s="13"/>
      <c r="D62" s="13"/>
      <c r="E62" s="13"/>
      <c r="F62" s="13"/>
      <c r="G62" s="13"/>
      <c r="H62" s="14"/>
      <c r="I62" s="10"/>
      <c r="J62" s="10"/>
      <c r="K62" s="15"/>
      <c r="L62" s="15"/>
      <c r="M62" s="27"/>
      <c r="N62" s="25"/>
      <c r="O62" s="14"/>
      <c r="P62" s="11"/>
      <c r="Q62" s="11"/>
      <c r="R62" s="16"/>
      <c r="S62" s="17"/>
      <c r="T62" s="18"/>
      <c r="U62" s="11"/>
      <c r="V62" s="11"/>
      <c r="W62" s="19"/>
      <c r="X62" s="17"/>
      <c r="Y62" s="18"/>
      <c r="Z62" s="11"/>
      <c r="AA62" s="11"/>
      <c r="AB62" s="19"/>
      <c r="AC62" s="17"/>
      <c r="AD62" s="18"/>
      <c r="AE62" s="11"/>
      <c r="AF62" s="11"/>
      <c r="AG62" s="19"/>
      <c r="AH62" s="17"/>
      <c r="AI62" s="18"/>
      <c r="AJ62" s="11"/>
      <c r="AK62" s="11"/>
      <c r="AL62" s="19"/>
      <c r="AM62" s="17"/>
      <c r="AN62" s="18"/>
      <c r="AO62" s="14"/>
      <c r="AP62" s="11"/>
      <c r="AQ62" s="11"/>
      <c r="AR62" s="19"/>
      <c r="AS62" s="17"/>
      <c r="AT62" s="18"/>
      <c r="AU62" s="20"/>
      <c r="AV62" s="11"/>
      <c r="AW62" s="11"/>
      <c r="AX62" s="21"/>
      <c r="AY62" s="17"/>
      <c r="AZ62" s="18"/>
      <c r="BA62" s="11"/>
      <c r="BB62" s="11"/>
      <c r="BC62" s="19"/>
      <c r="BD62" s="17"/>
      <c r="BE62" s="18"/>
      <c r="BF62" s="14"/>
      <c r="BG62" s="11"/>
      <c r="BH62" s="11"/>
      <c r="BI62" s="22"/>
      <c r="BJ62" s="17"/>
      <c r="BK62" s="18"/>
      <c r="BL62" s="11"/>
      <c r="BM62" s="11"/>
      <c r="BN62" s="21"/>
      <c r="BO62" s="17"/>
      <c r="BP62" s="18"/>
      <c r="BQ62" s="11"/>
      <c r="BR62" s="11"/>
      <c r="BS62" s="23"/>
      <c r="BT62" s="17"/>
      <c r="BU62" s="18"/>
      <c r="BV62" s="11"/>
      <c r="BW62" s="11"/>
      <c r="BX62" s="19"/>
      <c r="BY62" s="17"/>
      <c r="BZ62" s="18"/>
      <c r="CA62" s="14"/>
      <c r="CB62" s="20"/>
      <c r="CC62" s="11"/>
      <c r="CD62" s="11"/>
      <c r="CE62" s="19"/>
      <c r="CF62" s="17"/>
      <c r="CG62" s="18"/>
      <c r="CH62" s="11"/>
      <c r="CI62" s="11"/>
      <c r="CJ62" s="19"/>
      <c r="CK62" s="17"/>
      <c r="CL62" s="18"/>
      <c r="CM62" s="11"/>
      <c r="CN62" s="11"/>
      <c r="CO62" s="21"/>
      <c r="CP62" s="17"/>
      <c r="CQ62" s="18"/>
      <c r="CR62" s="11"/>
      <c r="CS62" s="11"/>
      <c r="CT62" s="21"/>
      <c r="CU62" s="17"/>
      <c r="CV62" s="18"/>
      <c r="CW62" s="11"/>
      <c r="CX62" s="11"/>
      <c r="CY62" s="21"/>
      <c r="CZ62" s="17"/>
      <c r="DA62" s="18"/>
      <c r="DB62" s="15"/>
      <c r="DC62" s="15"/>
      <c r="DD62" s="22"/>
      <c r="DE62" s="17"/>
      <c r="DF62" s="18"/>
      <c r="DG62" s="24"/>
      <c r="DH62" s="31"/>
      <c r="DI62" s="31"/>
      <c r="DJ62" s="31"/>
      <c r="DK62" s="31"/>
      <c r="DL62" s="31"/>
      <c r="DM62" s="32"/>
      <c r="DN62" s="32"/>
      <c r="DO62" s="32"/>
      <c r="DP62" s="13"/>
      <c r="DQ62" s="13"/>
      <c r="DR62" s="13"/>
      <c r="DS62" s="13"/>
      <c r="DT62" s="13"/>
      <c r="DU62" s="13"/>
    </row>
    <row r="63" spans="2:125" s="12" customFormat="1" ht="17.25" customHeight="1">
      <c r="B63" s="13"/>
      <c r="C63" s="13"/>
      <c r="D63" s="13"/>
      <c r="E63" s="13"/>
      <c r="F63" s="13"/>
      <c r="G63" s="13"/>
      <c r="H63" s="14"/>
      <c r="I63" s="10"/>
      <c r="J63" s="10"/>
      <c r="K63" s="15"/>
      <c r="L63" s="15"/>
      <c r="M63" s="27"/>
      <c r="N63" s="25"/>
      <c r="O63" s="14"/>
      <c r="P63" s="11"/>
      <c r="Q63" s="11"/>
      <c r="R63" s="16"/>
      <c r="S63" s="17"/>
      <c r="T63" s="18"/>
      <c r="U63" s="11"/>
      <c r="V63" s="11"/>
      <c r="W63" s="19"/>
      <c r="X63" s="17"/>
      <c r="Y63" s="18"/>
      <c r="Z63" s="11"/>
      <c r="AA63" s="11"/>
      <c r="AB63" s="19"/>
      <c r="AC63" s="17"/>
      <c r="AD63" s="18"/>
      <c r="AE63" s="11"/>
      <c r="AF63" s="11"/>
      <c r="AG63" s="19"/>
      <c r="AH63" s="17"/>
      <c r="AI63" s="18"/>
      <c r="AJ63" s="11"/>
      <c r="AK63" s="11"/>
      <c r="AL63" s="19"/>
      <c r="AM63" s="17"/>
      <c r="AN63" s="18"/>
      <c r="AO63" s="14"/>
      <c r="AP63" s="11"/>
      <c r="AQ63" s="11"/>
      <c r="AR63" s="19"/>
      <c r="AS63" s="17"/>
      <c r="AT63" s="18"/>
      <c r="AU63" s="20"/>
      <c r="AV63" s="11"/>
      <c r="AW63" s="11"/>
      <c r="AX63" s="21"/>
      <c r="AY63" s="17"/>
      <c r="AZ63" s="18"/>
      <c r="BA63" s="11"/>
      <c r="BB63" s="11"/>
      <c r="BC63" s="19"/>
      <c r="BD63" s="17"/>
      <c r="BE63" s="18"/>
      <c r="BF63" s="14"/>
      <c r="BG63" s="11"/>
      <c r="BH63" s="11"/>
      <c r="BI63" s="22"/>
      <c r="BJ63" s="17"/>
      <c r="BK63" s="18"/>
      <c r="BL63" s="11"/>
      <c r="BM63" s="11"/>
      <c r="BN63" s="21"/>
      <c r="BO63" s="17"/>
      <c r="BP63" s="18"/>
      <c r="BQ63" s="11"/>
      <c r="BR63" s="11"/>
      <c r="BS63" s="23"/>
      <c r="BT63" s="17"/>
      <c r="BU63" s="18"/>
      <c r="BV63" s="11"/>
      <c r="BW63" s="11"/>
      <c r="BX63" s="19"/>
      <c r="BY63" s="17"/>
      <c r="BZ63" s="18"/>
      <c r="CA63" s="14"/>
      <c r="CB63" s="20"/>
      <c r="CC63" s="11"/>
      <c r="CD63" s="11"/>
      <c r="CE63" s="19"/>
      <c r="CF63" s="17"/>
      <c r="CG63" s="18"/>
      <c r="CH63" s="11"/>
      <c r="CI63" s="11"/>
      <c r="CJ63" s="19"/>
      <c r="CK63" s="17"/>
      <c r="CL63" s="18"/>
      <c r="CM63" s="11"/>
      <c r="CN63" s="11"/>
      <c r="CO63" s="21"/>
      <c r="CP63" s="17"/>
      <c r="CQ63" s="18"/>
      <c r="CR63" s="11"/>
      <c r="CS63" s="11"/>
      <c r="CT63" s="21"/>
      <c r="CU63" s="17"/>
      <c r="CV63" s="18"/>
      <c r="CW63" s="11"/>
      <c r="CX63" s="11"/>
      <c r="CY63" s="21"/>
      <c r="CZ63" s="17"/>
      <c r="DA63" s="18"/>
      <c r="DB63" s="15"/>
      <c r="DC63" s="15"/>
      <c r="DD63" s="22"/>
      <c r="DE63" s="17"/>
      <c r="DF63" s="18"/>
      <c r="DG63" s="24"/>
      <c r="DH63" s="31"/>
      <c r="DI63" s="31"/>
      <c r="DJ63" s="31"/>
      <c r="DK63" s="31"/>
      <c r="DL63" s="31"/>
      <c r="DM63" s="32"/>
      <c r="DN63" s="32"/>
      <c r="DO63" s="32"/>
      <c r="DP63" s="13"/>
      <c r="DQ63" s="13"/>
      <c r="DR63" s="13"/>
      <c r="DS63" s="13"/>
      <c r="DT63" s="13"/>
      <c r="DU63" s="13"/>
    </row>
    <row r="64" spans="2:125" s="12" customFormat="1" ht="17.25" customHeight="1">
      <c r="B64" s="13"/>
      <c r="C64" s="13"/>
      <c r="D64" s="13"/>
      <c r="E64" s="13"/>
      <c r="F64" s="13"/>
      <c r="G64" s="13"/>
      <c r="H64" s="14"/>
      <c r="I64" s="10"/>
      <c r="J64" s="10"/>
      <c r="K64" s="15"/>
      <c r="L64" s="15"/>
      <c r="M64" s="27"/>
      <c r="N64" s="25"/>
      <c r="O64" s="14"/>
      <c r="P64" s="11"/>
      <c r="Q64" s="11"/>
      <c r="R64" s="16"/>
      <c r="S64" s="17"/>
      <c r="T64" s="18"/>
      <c r="U64" s="11"/>
      <c r="V64" s="11"/>
      <c r="W64" s="19"/>
      <c r="X64" s="17"/>
      <c r="Y64" s="18"/>
      <c r="Z64" s="11"/>
      <c r="AA64" s="11"/>
      <c r="AB64" s="19"/>
      <c r="AC64" s="17"/>
      <c r="AD64" s="18"/>
      <c r="AE64" s="11"/>
      <c r="AF64" s="11"/>
      <c r="AG64" s="19"/>
      <c r="AH64" s="17"/>
      <c r="AI64" s="18"/>
      <c r="AJ64" s="11"/>
      <c r="AK64" s="11"/>
      <c r="AL64" s="19"/>
      <c r="AM64" s="17"/>
      <c r="AN64" s="18"/>
      <c r="AO64" s="14"/>
      <c r="AP64" s="11"/>
      <c r="AQ64" s="11"/>
      <c r="AR64" s="19"/>
      <c r="AS64" s="17"/>
      <c r="AT64" s="18"/>
      <c r="AU64" s="20"/>
      <c r="AV64" s="11"/>
      <c r="AW64" s="11"/>
      <c r="AX64" s="21"/>
      <c r="AY64" s="17"/>
      <c r="AZ64" s="18"/>
      <c r="BA64" s="11"/>
      <c r="BB64" s="11"/>
      <c r="BC64" s="19"/>
      <c r="BD64" s="17"/>
      <c r="BE64" s="18"/>
      <c r="BF64" s="14"/>
      <c r="BG64" s="11"/>
      <c r="BH64" s="11"/>
      <c r="BI64" s="22"/>
      <c r="BJ64" s="17"/>
      <c r="BK64" s="18"/>
      <c r="BL64" s="11"/>
      <c r="BM64" s="11"/>
      <c r="BN64" s="21"/>
      <c r="BO64" s="17"/>
      <c r="BP64" s="18"/>
      <c r="BQ64" s="11"/>
      <c r="BR64" s="11"/>
      <c r="BS64" s="23"/>
      <c r="BT64" s="17"/>
      <c r="BU64" s="18"/>
      <c r="BV64" s="11"/>
      <c r="BW64" s="11"/>
      <c r="BX64" s="19"/>
      <c r="BY64" s="17"/>
      <c r="BZ64" s="18"/>
      <c r="CA64" s="14"/>
      <c r="CB64" s="20"/>
      <c r="CC64" s="11"/>
      <c r="CD64" s="11"/>
      <c r="CE64" s="19"/>
      <c r="CF64" s="17"/>
      <c r="CG64" s="18"/>
      <c r="CH64" s="11"/>
      <c r="CI64" s="11"/>
      <c r="CJ64" s="19"/>
      <c r="CK64" s="17"/>
      <c r="CL64" s="18"/>
      <c r="CM64" s="11"/>
      <c r="CN64" s="11"/>
      <c r="CO64" s="21"/>
      <c r="CP64" s="17"/>
      <c r="CQ64" s="18"/>
      <c r="CR64" s="11"/>
      <c r="CS64" s="11"/>
      <c r="CT64" s="21"/>
      <c r="CU64" s="17"/>
      <c r="CV64" s="18"/>
      <c r="CW64" s="11"/>
      <c r="CX64" s="11"/>
      <c r="CY64" s="21"/>
      <c r="CZ64" s="17"/>
      <c r="DA64" s="18"/>
      <c r="DB64" s="15"/>
      <c r="DC64" s="15"/>
      <c r="DD64" s="22"/>
      <c r="DE64" s="17"/>
      <c r="DF64" s="18"/>
      <c r="DG64" s="24"/>
      <c r="DH64" s="31"/>
      <c r="DI64" s="31"/>
      <c r="DJ64" s="31"/>
      <c r="DK64" s="31"/>
      <c r="DL64" s="31"/>
      <c r="DM64" s="32"/>
      <c r="DN64" s="32"/>
      <c r="DO64" s="32"/>
      <c r="DP64" s="13"/>
      <c r="DQ64" s="13"/>
      <c r="DR64" s="13"/>
      <c r="DS64" s="13"/>
      <c r="DT64" s="13"/>
      <c r="DU64" s="13"/>
    </row>
    <row r="65" spans="2:125" s="12" customFormat="1" ht="17.25" customHeight="1">
      <c r="B65" s="13"/>
      <c r="C65" s="13"/>
      <c r="D65" s="13"/>
      <c r="E65" s="13"/>
      <c r="F65" s="13"/>
      <c r="G65" s="13"/>
      <c r="H65" s="14"/>
      <c r="I65" s="10"/>
      <c r="J65" s="10"/>
      <c r="K65" s="15"/>
      <c r="L65" s="15"/>
      <c r="M65" s="27"/>
      <c r="N65" s="25"/>
      <c r="O65" s="14"/>
      <c r="P65" s="11"/>
      <c r="Q65" s="11"/>
      <c r="R65" s="16"/>
      <c r="S65" s="17"/>
      <c r="T65" s="18"/>
      <c r="U65" s="11"/>
      <c r="V65" s="11"/>
      <c r="W65" s="19"/>
      <c r="X65" s="17"/>
      <c r="Y65" s="18"/>
      <c r="Z65" s="11"/>
      <c r="AA65" s="11"/>
      <c r="AB65" s="19"/>
      <c r="AC65" s="17"/>
      <c r="AD65" s="18"/>
      <c r="AE65" s="11"/>
      <c r="AF65" s="11"/>
      <c r="AG65" s="19"/>
      <c r="AH65" s="17"/>
      <c r="AI65" s="18"/>
      <c r="AJ65" s="11"/>
      <c r="AK65" s="11"/>
      <c r="AL65" s="19"/>
      <c r="AM65" s="17"/>
      <c r="AN65" s="18"/>
      <c r="AO65" s="14"/>
      <c r="AP65" s="11"/>
      <c r="AQ65" s="11"/>
      <c r="AR65" s="19"/>
      <c r="AS65" s="17"/>
      <c r="AT65" s="18"/>
      <c r="AU65" s="20"/>
      <c r="AV65" s="11"/>
      <c r="AW65" s="11"/>
      <c r="AX65" s="21"/>
      <c r="AY65" s="17"/>
      <c r="AZ65" s="18"/>
      <c r="BA65" s="11"/>
      <c r="BB65" s="11"/>
      <c r="BC65" s="19"/>
      <c r="BD65" s="17"/>
      <c r="BE65" s="18"/>
      <c r="BF65" s="14"/>
      <c r="BG65" s="11"/>
      <c r="BH65" s="11"/>
      <c r="BI65" s="22"/>
      <c r="BJ65" s="17"/>
      <c r="BK65" s="18"/>
      <c r="BL65" s="11"/>
      <c r="BM65" s="11"/>
      <c r="BN65" s="21"/>
      <c r="BO65" s="17"/>
      <c r="BP65" s="18"/>
      <c r="BQ65" s="11"/>
      <c r="BR65" s="11"/>
      <c r="BS65" s="23"/>
      <c r="BT65" s="17"/>
      <c r="BU65" s="18"/>
      <c r="BV65" s="11"/>
      <c r="BW65" s="11"/>
      <c r="BX65" s="19"/>
      <c r="BY65" s="17"/>
      <c r="BZ65" s="18"/>
      <c r="CA65" s="14"/>
      <c r="CB65" s="20"/>
      <c r="CC65" s="11"/>
      <c r="CD65" s="11"/>
      <c r="CE65" s="19"/>
      <c r="CF65" s="17"/>
      <c r="CG65" s="18"/>
      <c r="CH65" s="11"/>
      <c r="CI65" s="11"/>
      <c r="CJ65" s="19"/>
      <c r="CK65" s="17"/>
      <c r="CL65" s="18"/>
      <c r="CM65" s="11"/>
      <c r="CN65" s="11"/>
      <c r="CO65" s="21"/>
      <c r="CP65" s="17"/>
      <c r="CQ65" s="18"/>
      <c r="CR65" s="11"/>
      <c r="CS65" s="11"/>
      <c r="CT65" s="21"/>
      <c r="CU65" s="17"/>
      <c r="CV65" s="18"/>
      <c r="CW65" s="11"/>
      <c r="CX65" s="11"/>
      <c r="CY65" s="21"/>
      <c r="CZ65" s="17"/>
      <c r="DA65" s="18"/>
      <c r="DB65" s="15"/>
      <c r="DC65" s="15"/>
      <c r="DD65" s="22"/>
      <c r="DE65" s="17"/>
      <c r="DF65" s="18"/>
      <c r="DG65" s="24"/>
      <c r="DH65" s="31"/>
      <c r="DI65" s="31"/>
      <c r="DJ65" s="31"/>
      <c r="DK65" s="31"/>
      <c r="DL65" s="31"/>
      <c r="DM65" s="32"/>
      <c r="DN65" s="32"/>
      <c r="DO65" s="32"/>
      <c r="DP65" s="13"/>
      <c r="DQ65" s="13"/>
      <c r="DR65" s="13"/>
      <c r="DS65" s="13"/>
      <c r="DT65" s="13"/>
      <c r="DU65" s="13"/>
    </row>
    <row r="66" spans="2:125" s="12" customFormat="1" ht="17.25" customHeight="1">
      <c r="B66" s="13"/>
      <c r="C66" s="13"/>
      <c r="D66" s="13"/>
      <c r="E66" s="13"/>
      <c r="F66" s="13"/>
      <c r="G66" s="13"/>
      <c r="H66" s="14"/>
      <c r="I66" s="10"/>
      <c r="J66" s="10"/>
      <c r="K66" s="15"/>
      <c r="L66" s="15"/>
      <c r="M66" s="27"/>
      <c r="N66" s="25"/>
      <c r="O66" s="14"/>
      <c r="P66" s="11"/>
      <c r="Q66" s="11"/>
      <c r="R66" s="16"/>
      <c r="S66" s="17"/>
      <c r="T66" s="18"/>
      <c r="U66" s="11"/>
      <c r="V66" s="11"/>
      <c r="W66" s="19"/>
      <c r="X66" s="17"/>
      <c r="Y66" s="18"/>
      <c r="Z66" s="11"/>
      <c r="AA66" s="11"/>
      <c r="AB66" s="19"/>
      <c r="AC66" s="17"/>
      <c r="AD66" s="18"/>
      <c r="AE66" s="11"/>
      <c r="AF66" s="11"/>
      <c r="AG66" s="19"/>
      <c r="AH66" s="17"/>
      <c r="AI66" s="18"/>
      <c r="AJ66" s="11"/>
      <c r="AK66" s="11"/>
      <c r="AL66" s="19"/>
      <c r="AM66" s="17"/>
      <c r="AN66" s="18"/>
      <c r="AO66" s="14"/>
      <c r="AP66" s="11"/>
      <c r="AQ66" s="11"/>
      <c r="AR66" s="19"/>
      <c r="AS66" s="17"/>
      <c r="AT66" s="18"/>
      <c r="AU66" s="20"/>
      <c r="AV66" s="11"/>
      <c r="AW66" s="11"/>
      <c r="AX66" s="21"/>
      <c r="AY66" s="17"/>
      <c r="AZ66" s="18"/>
      <c r="BA66" s="11"/>
      <c r="BB66" s="11"/>
      <c r="BC66" s="19"/>
      <c r="BD66" s="17"/>
      <c r="BE66" s="18"/>
      <c r="BF66" s="14"/>
      <c r="BG66" s="11"/>
      <c r="BH66" s="11"/>
      <c r="BI66" s="22"/>
      <c r="BJ66" s="17"/>
      <c r="BK66" s="18"/>
      <c r="BL66" s="11"/>
      <c r="BM66" s="11"/>
      <c r="BN66" s="21"/>
      <c r="BO66" s="17"/>
      <c r="BP66" s="18"/>
      <c r="BQ66" s="11"/>
      <c r="BR66" s="11"/>
      <c r="BS66" s="23"/>
      <c r="BT66" s="17"/>
      <c r="BU66" s="18"/>
      <c r="BV66" s="11"/>
      <c r="BW66" s="11"/>
      <c r="BX66" s="19"/>
      <c r="BY66" s="17"/>
      <c r="BZ66" s="18"/>
      <c r="CA66" s="14"/>
      <c r="CB66" s="20"/>
      <c r="CC66" s="11"/>
      <c r="CD66" s="11"/>
      <c r="CE66" s="19"/>
      <c r="CF66" s="17"/>
      <c r="CG66" s="18"/>
      <c r="CH66" s="11"/>
      <c r="CI66" s="11"/>
      <c r="CJ66" s="19"/>
      <c r="CK66" s="17"/>
      <c r="CL66" s="18"/>
      <c r="CM66" s="11"/>
      <c r="CN66" s="11"/>
      <c r="CO66" s="21"/>
      <c r="CP66" s="17"/>
      <c r="CQ66" s="18"/>
      <c r="CR66" s="11"/>
      <c r="CS66" s="11"/>
      <c r="CT66" s="21"/>
      <c r="CU66" s="17"/>
      <c r="CV66" s="18"/>
      <c r="CW66" s="11"/>
      <c r="CX66" s="11"/>
      <c r="CY66" s="21"/>
      <c r="CZ66" s="17"/>
      <c r="DA66" s="18"/>
      <c r="DB66" s="15"/>
      <c r="DC66" s="15"/>
      <c r="DD66" s="22"/>
      <c r="DE66" s="17"/>
      <c r="DF66" s="18"/>
      <c r="DG66" s="24"/>
      <c r="DH66" s="31"/>
      <c r="DI66" s="31"/>
      <c r="DJ66" s="31"/>
      <c r="DK66" s="31"/>
      <c r="DL66" s="31"/>
      <c r="DM66" s="32"/>
      <c r="DN66" s="32"/>
      <c r="DO66" s="32"/>
      <c r="DP66" s="13"/>
      <c r="DQ66" s="13"/>
      <c r="DR66" s="13"/>
      <c r="DS66" s="13"/>
      <c r="DT66" s="13"/>
      <c r="DU66" s="13"/>
    </row>
    <row r="67" spans="2:125" s="12" customFormat="1" ht="17.25" customHeight="1">
      <c r="B67" s="13"/>
      <c r="C67" s="13"/>
      <c r="D67" s="13"/>
      <c r="E67" s="13"/>
      <c r="F67" s="13"/>
      <c r="G67" s="13"/>
      <c r="H67" s="14"/>
      <c r="I67" s="10"/>
      <c r="J67" s="10"/>
      <c r="K67" s="15"/>
      <c r="L67" s="15"/>
      <c r="M67" s="27"/>
      <c r="N67" s="25"/>
      <c r="O67" s="14"/>
      <c r="P67" s="11"/>
      <c r="Q67" s="11"/>
      <c r="R67" s="16"/>
      <c r="S67" s="17"/>
      <c r="T67" s="18"/>
      <c r="U67" s="11"/>
      <c r="V67" s="11"/>
      <c r="W67" s="19"/>
      <c r="X67" s="17"/>
      <c r="Y67" s="18"/>
      <c r="Z67" s="11"/>
      <c r="AA67" s="11"/>
      <c r="AB67" s="19"/>
      <c r="AC67" s="17"/>
      <c r="AD67" s="18"/>
      <c r="AE67" s="11"/>
      <c r="AF67" s="11"/>
      <c r="AG67" s="19"/>
      <c r="AH67" s="17"/>
      <c r="AI67" s="18"/>
      <c r="AJ67" s="11"/>
      <c r="AK67" s="11"/>
      <c r="AL67" s="19"/>
      <c r="AM67" s="17"/>
      <c r="AN67" s="18"/>
      <c r="AO67" s="14"/>
      <c r="AP67" s="11"/>
      <c r="AQ67" s="11"/>
      <c r="AR67" s="19"/>
      <c r="AS67" s="17"/>
      <c r="AT67" s="18"/>
      <c r="AU67" s="20"/>
      <c r="AV67" s="11"/>
      <c r="AW67" s="11"/>
      <c r="AX67" s="21"/>
      <c r="AY67" s="17"/>
      <c r="AZ67" s="18"/>
      <c r="BA67" s="11"/>
      <c r="BB67" s="11"/>
      <c r="BC67" s="19"/>
      <c r="BD67" s="17"/>
      <c r="BE67" s="18"/>
      <c r="BF67" s="14"/>
      <c r="BG67" s="11"/>
      <c r="BH67" s="11"/>
      <c r="BI67" s="22"/>
      <c r="BJ67" s="17"/>
      <c r="BK67" s="18"/>
      <c r="BL67" s="11"/>
      <c r="BM67" s="11"/>
      <c r="BN67" s="21"/>
      <c r="BO67" s="17"/>
      <c r="BP67" s="18"/>
      <c r="BQ67" s="11"/>
      <c r="BR67" s="11"/>
      <c r="BS67" s="23"/>
      <c r="BT67" s="17"/>
      <c r="BU67" s="18"/>
      <c r="BV67" s="11"/>
      <c r="BW67" s="11"/>
      <c r="BX67" s="19"/>
      <c r="BY67" s="17"/>
      <c r="BZ67" s="18"/>
      <c r="CA67" s="14"/>
      <c r="CB67" s="20"/>
      <c r="CC67" s="11"/>
      <c r="CD67" s="11"/>
      <c r="CE67" s="19"/>
      <c r="CF67" s="17"/>
      <c r="CG67" s="18"/>
      <c r="CH67" s="11"/>
      <c r="CI67" s="11"/>
      <c r="CJ67" s="19"/>
      <c r="CK67" s="17"/>
      <c r="CL67" s="18"/>
      <c r="CM67" s="11"/>
      <c r="CN67" s="11"/>
      <c r="CO67" s="21"/>
      <c r="CP67" s="17"/>
      <c r="CQ67" s="18"/>
      <c r="CR67" s="11"/>
      <c r="CS67" s="11"/>
      <c r="CT67" s="21"/>
      <c r="CU67" s="17"/>
      <c r="CV67" s="18"/>
      <c r="CW67" s="11"/>
      <c r="CX67" s="11"/>
      <c r="CY67" s="21"/>
      <c r="CZ67" s="17"/>
      <c r="DA67" s="18"/>
      <c r="DB67" s="15"/>
      <c r="DC67" s="15"/>
      <c r="DD67" s="22"/>
      <c r="DE67" s="17"/>
      <c r="DF67" s="18"/>
      <c r="DG67" s="24"/>
      <c r="DH67" s="31"/>
      <c r="DI67" s="31"/>
      <c r="DJ67" s="31"/>
      <c r="DK67" s="31"/>
      <c r="DL67" s="31"/>
      <c r="DM67" s="32"/>
      <c r="DN67" s="32"/>
      <c r="DO67" s="32"/>
      <c r="DP67" s="13"/>
      <c r="DQ67" s="13"/>
      <c r="DR67" s="13"/>
      <c r="DS67" s="13"/>
      <c r="DT67" s="13"/>
      <c r="DU67" s="13"/>
    </row>
    <row r="68" spans="2:125" s="12" customFormat="1" ht="17.25" customHeight="1">
      <c r="B68" s="13"/>
      <c r="C68" s="13"/>
      <c r="D68" s="13"/>
      <c r="E68" s="13"/>
      <c r="F68" s="13"/>
      <c r="G68" s="13"/>
      <c r="H68" s="14"/>
      <c r="I68" s="10"/>
      <c r="J68" s="10"/>
      <c r="K68" s="15"/>
      <c r="L68" s="15"/>
      <c r="M68" s="27"/>
      <c r="N68" s="25"/>
      <c r="O68" s="14"/>
      <c r="P68" s="11"/>
      <c r="Q68" s="11"/>
      <c r="R68" s="16"/>
      <c r="S68" s="17"/>
      <c r="T68" s="18"/>
      <c r="U68" s="11"/>
      <c r="V68" s="11"/>
      <c r="W68" s="19"/>
      <c r="X68" s="17"/>
      <c r="Y68" s="18"/>
      <c r="Z68" s="11"/>
      <c r="AA68" s="11"/>
      <c r="AB68" s="19"/>
      <c r="AC68" s="17"/>
      <c r="AD68" s="18"/>
      <c r="AE68" s="11"/>
      <c r="AF68" s="11"/>
      <c r="AG68" s="19"/>
      <c r="AH68" s="17"/>
      <c r="AI68" s="18"/>
      <c r="AJ68" s="11"/>
      <c r="AK68" s="11"/>
      <c r="AL68" s="19"/>
      <c r="AM68" s="17"/>
      <c r="AN68" s="18"/>
      <c r="AO68" s="14"/>
      <c r="AP68" s="11"/>
      <c r="AQ68" s="11"/>
      <c r="AR68" s="19"/>
      <c r="AS68" s="17"/>
      <c r="AT68" s="18"/>
      <c r="AU68" s="20"/>
      <c r="AV68" s="11"/>
      <c r="AW68" s="11"/>
      <c r="AX68" s="21"/>
      <c r="AY68" s="17"/>
      <c r="AZ68" s="18"/>
      <c r="BA68" s="11"/>
      <c r="BB68" s="11"/>
      <c r="BC68" s="19"/>
      <c r="BD68" s="17"/>
      <c r="BE68" s="18"/>
      <c r="BF68" s="14"/>
      <c r="BG68" s="11"/>
      <c r="BH68" s="11"/>
      <c r="BI68" s="22"/>
      <c r="BJ68" s="17"/>
      <c r="BK68" s="18"/>
      <c r="BL68" s="11"/>
      <c r="BM68" s="11"/>
      <c r="BN68" s="21"/>
      <c r="BO68" s="17"/>
      <c r="BP68" s="18"/>
      <c r="BQ68" s="11"/>
      <c r="BR68" s="11"/>
      <c r="BS68" s="23"/>
      <c r="BT68" s="17"/>
      <c r="BU68" s="18"/>
      <c r="BV68" s="11"/>
      <c r="BW68" s="11"/>
      <c r="BX68" s="19"/>
      <c r="BY68" s="17"/>
      <c r="BZ68" s="18"/>
      <c r="CA68" s="14"/>
      <c r="CB68" s="20"/>
      <c r="CC68" s="11"/>
      <c r="CD68" s="11"/>
      <c r="CE68" s="19"/>
      <c r="CF68" s="17"/>
      <c r="CG68" s="18"/>
      <c r="CH68" s="11"/>
      <c r="CI68" s="11"/>
      <c r="CJ68" s="19"/>
      <c r="CK68" s="17"/>
      <c r="CL68" s="18"/>
      <c r="CM68" s="11"/>
      <c r="CN68" s="11"/>
      <c r="CO68" s="21"/>
      <c r="CP68" s="17"/>
      <c r="CQ68" s="18"/>
      <c r="CR68" s="11"/>
      <c r="CS68" s="11"/>
      <c r="CT68" s="21"/>
      <c r="CU68" s="17"/>
      <c r="CV68" s="18"/>
      <c r="CW68" s="11"/>
      <c r="CX68" s="11"/>
      <c r="CY68" s="21"/>
      <c r="CZ68" s="17"/>
      <c r="DA68" s="18"/>
      <c r="DB68" s="15"/>
      <c r="DC68" s="15"/>
      <c r="DD68" s="22"/>
      <c r="DE68" s="17"/>
      <c r="DF68" s="18"/>
      <c r="DG68" s="24"/>
      <c r="DH68" s="31"/>
      <c r="DI68" s="31"/>
      <c r="DJ68" s="31"/>
      <c r="DK68" s="31"/>
      <c r="DL68" s="31"/>
      <c r="DM68" s="32"/>
      <c r="DN68" s="32"/>
      <c r="DO68" s="32"/>
      <c r="DP68" s="13"/>
      <c r="DQ68" s="13"/>
      <c r="DR68" s="13"/>
      <c r="DS68" s="13"/>
      <c r="DT68" s="13"/>
      <c r="DU68" s="13"/>
    </row>
    <row r="69" spans="2:125" s="12" customFormat="1" ht="17.25" customHeight="1">
      <c r="B69" s="13"/>
      <c r="C69" s="13"/>
      <c r="D69" s="13"/>
      <c r="E69" s="13"/>
      <c r="F69" s="13"/>
      <c r="G69" s="13"/>
      <c r="H69" s="14"/>
      <c r="I69" s="10"/>
      <c r="J69" s="10"/>
      <c r="K69" s="15"/>
      <c r="L69" s="15"/>
      <c r="M69" s="27"/>
      <c r="N69" s="25"/>
      <c r="O69" s="14"/>
      <c r="P69" s="11"/>
      <c r="Q69" s="11"/>
      <c r="R69" s="16"/>
      <c r="S69" s="17"/>
      <c r="T69" s="18"/>
      <c r="U69" s="11"/>
      <c r="V69" s="11"/>
      <c r="W69" s="19"/>
      <c r="X69" s="17"/>
      <c r="Y69" s="18"/>
      <c r="Z69" s="11"/>
      <c r="AA69" s="11"/>
      <c r="AB69" s="19"/>
      <c r="AC69" s="17"/>
      <c r="AD69" s="18"/>
      <c r="AE69" s="11"/>
      <c r="AF69" s="11"/>
      <c r="AG69" s="19"/>
      <c r="AH69" s="17"/>
      <c r="AI69" s="18"/>
      <c r="AJ69" s="11"/>
      <c r="AK69" s="11"/>
      <c r="AL69" s="19"/>
      <c r="AM69" s="17"/>
      <c r="AN69" s="18"/>
      <c r="AO69" s="14"/>
      <c r="AP69" s="11"/>
      <c r="AQ69" s="11"/>
      <c r="AR69" s="19"/>
      <c r="AS69" s="17"/>
      <c r="AT69" s="18"/>
      <c r="AU69" s="20"/>
      <c r="AV69" s="11"/>
      <c r="AW69" s="11"/>
      <c r="AX69" s="21"/>
      <c r="AY69" s="17"/>
      <c r="AZ69" s="18"/>
      <c r="BA69" s="11"/>
      <c r="BB69" s="11"/>
      <c r="BC69" s="19"/>
      <c r="BD69" s="17"/>
      <c r="BE69" s="18"/>
      <c r="BF69" s="14"/>
      <c r="BG69" s="11"/>
      <c r="BH69" s="11"/>
      <c r="BI69" s="22"/>
      <c r="BJ69" s="17"/>
      <c r="BK69" s="18"/>
      <c r="BL69" s="11"/>
      <c r="BM69" s="11"/>
      <c r="BN69" s="21"/>
      <c r="BO69" s="17"/>
      <c r="BP69" s="18"/>
      <c r="BQ69" s="11"/>
      <c r="BR69" s="11"/>
      <c r="BS69" s="23"/>
      <c r="BT69" s="17"/>
      <c r="BU69" s="18"/>
      <c r="BV69" s="11"/>
      <c r="BW69" s="11"/>
      <c r="BX69" s="19"/>
      <c r="BY69" s="17"/>
      <c r="BZ69" s="18"/>
      <c r="CA69" s="14"/>
      <c r="CB69" s="20"/>
      <c r="CC69" s="11"/>
      <c r="CD69" s="11"/>
      <c r="CE69" s="19"/>
      <c r="CF69" s="17"/>
      <c r="CG69" s="18"/>
      <c r="CH69" s="11"/>
      <c r="CI69" s="11"/>
      <c r="CJ69" s="19"/>
      <c r="CK69" s="17"/>
      <c r="CL69" s="18"/>
      <c r="CM69" s="11"/>
      <c r="CN69" s="11"/>
      <c r="CO69" s="21"/>
      <c r="CP69" s="17"/>
      <c r="CQ69" s="18"/>
      <c r="CR69" s="11"/>
      <c r="CS69" s="11"/>
      <c r="CT69" s="21"/>
      <c r="CU69" s="17"/>
      <c r="CV69" s="18"/>
      <c r="CW69" s="11"/>
      <c r="CX69" s="11"/>
      <c r="CY69" s="21"/>
      <c r="CZ69" s="17"/>
      <c r="DA69" s="18"/>
      <c r="DB69" s="15"/>
      <c r="DC69" s="15"/>
      <c r="DD69" s="22"/>
      <c r="DE69" s="17"/>
      <c r="DF69" s="18"/>
      <c r="DG69" s="24"/>
      <c r="DH69" s="31"/>
      <c r="DI69" s="31"/>
      <c r="DJ69" s="31"/>
      <c r="DK69" s="31"/>
      <c r="DL69" s="31"/>
      <c r="DM69" s="32"/>
      <c r="DN69" s="32"/>
      <c r="DO69" s="32"/>
      <c r="DP69" s="13"/>
      <c r="DQ69" s="13"/>
      <c r="DR69" s="13"/>
      <c r="DS69" s="13"/>
      <c r="DT69" s="13"/>
      <c r="DU69" s="13"/>
    </row>
    <row r="70" spans="2:125" s="12" customFormat="1" ht="17.25" customHeight="1">
      <c r="B70" s="13"/>
      <c r="C70" s="13"/>
      <c r="D70" s="13"/>
      <c r="E70" s="13"/>
      <c r="F70" s="13"/>
      <c r="G70" s="13"/>
      <c r="H70" s="14"/>
      <c r="I70" s="10"/>
      <c r="J70" s="10"/>
      <c r="K70" s="15"/>
      <c r="L70" s="15"/>
      <c r="M70" s="27"/>
      <c r="N70" s="25"/>
      <c r="O70" s="14"/>
      <c r="P70" s="11"/>
      <c r="Q70" s="11"/>
      <c r="R70" s="16"/>
      <c r="S70" s="17"/>
      <c r="T70" s="18"/>
      <c r="U70" s="11"/>
      <c r="V70" s="11"/>
      <c r="W70" s="19"/>
      <c r="X70" s="17"/>
      <c r="Y70" s="18"/>
      <c r="Z70" s="11"/>
      <c r="AA70" s="11"/>
      <c r="AB70" s="19"/>
      <c r="AC70" s="17"/>
      <c r="AD70" s="18"/>
      <c r="AE70" s="11"/>
      <c r="AF70" s="11"/>
      <c r="AG70" s="19"/>
      <c r="AH70" s="17"/>
      <c r="AI70" s="18"/>
      <c r="AJ70" s="11"/>
      <c r="AK70" s="11"/>
      <c r="AL70" s="19"/>
      <c r="AM70" s="17"/>
      <c r="AN70" s="18"/>
      <c r="AO70" s="14"/>
      <c r="AP70" s="11"/>
      <c r="AQ70" s="11"/>
      <c r="AR70" s="19"/>
      <c r="AS70" s="17"/>
      <c r="AT70" s="18"/>
      <c r="AU70" s="20"/>
      <c r="AV70" s="11"/>
      <c r="AW70" s="11"/>
      <c r="AX70" s="21"/>
      <c r="AY70" s="17"/>
      <c r="AZ70" s="18"/>
      <c r="BA70" s="11"/>
      <c r="BB70" s="11"/>
      <c r="BC70" s="19"/>
      <c r="BD70" s="17"/>
      <c r="BE70" s="18"/>
      <c r="BF70" s="14"/>
      <c r="BG70" s="11"/>
      <c r="BH70" s="11"/>
      <c r="BI70" s="22"/>
      <c r="BJ70" s="17"/>
      <c r="BK70" s="18"/>
      <c r="BL70" s="11"/>
      <c r="BM70" s="11"/>
      <c r="BN70" s="21"/>
      <c r="BO70" s="17"/>
      <c r="BP70" s="18"/>
      <c r="BQ70" s="11"/>
      <c r="BR70" s="11"/>
      <c r="BS70" s="23"/>
      <c r="BT70" s="17"/>
      <c r="BU70" s="18"/>
      <c r="BV70" s="11"/>
      <c r="BW70" s="11"/>
      <c r="BX70" s="19"/>
      <c r="BY70" s="17"/>
      <c r="BZ70" s="18"/>
      <c r="CA70" s="14"/>
      <c r="CB70" s="20"/>
      <c r="CC70" s="11"/>
      <c r="CD70" s="11"/>
      <c r="CE70" s="19"/>
      <c r="CF70" s="17"/>
      <c r="CG70" s="18"/>
      <c r="CH70" s="11"/>
      <c r="CI70" s="11"/>
      <c r="CJ70" s="19"/>
      <c r="CK70" s="17"/>
      <c r="CL70" s="18"/>
      <c r="CM70" s="11"/>
      <c r="CN70" s="11"/>
      <c r="CO70" s="21"/>
      <c r="CP70" s="17"/>
      <c r="CQ70" s="18"/>
      <c r="CR70" s="11"/>
      <c r="CS70" s="11"/>
      <c r="CT70" s="21"/>
      <c r="CU70" s="17"/>
      <c r="CV70" s="18"/>
      <c r="CW70" s="11"/>
      <c r="CX70" s="11"/>
      <c r="CY70" s="21"/>
      <c r="CZ70" s="17"/>
      <c r="DA70" s="18"/>
      <c r="DB70" s="15"/>
      <c r="DC70" s="15"/>
      <c r="DD70" s="22"/>
      <c r="DE70" s="17"/>
      <c r="DF70" s="18"/>
      <c r="DG70" s="24"/>
      <c r="DH70" s="31"/>
      <c r="DI70" s="31"/>
      <c r="DJ70" s="31"/>
      <c r="DK70" s="31"/>
      <c r="DL70" s="31"/>
      <c r="DM70" s="32"/>
      <c r="DN70" s="32"/>
      <c r="DO70" s="32"/>
      <c r="DP70" s="13"/>
      <c r="DQ70" s="13"/>
      <c r="DR70" s="13"/>
      <c r="DS70" s="13"/>
      <c r="DT70" s="13"/>
      <c r="DU70" s="13"/>
    </row>
    <row r="71" spans="2:125" s="12" customFormat="1" ht="17.25" customHeight="1">
      <c r="B71" s="13"/>
      <c r="C71" s="13"/>
      <c r="D71" s="13"/>
      <c r="E71" s="13"/>
      <c r="F71" s="13"/>
      <c r="G71" s="13"/>
      <c r="H71" s="14"/>
      <c r="I71" s="10"/>
      <c r="J71" s="10"/>
      <c r="K71" s="15"/>
      <c r="L71" s="15"/>
      <c r="M71" s="27"/>
      <c r="N71" s="25"/>
      <c r="O71" s="14"/>
      <c r="P71" s="11"/>
      <c r="Q71" s="11"/>
      <c r="R71" s="16"/>
      <c r="S71" s="17"/>
      <c r="T71" s="18"/>
      <c r="U71" s="11"/>
      <c r="V71" s="11"/>
      <c r="W71" s="19"/>
      <c r="X71" s="17"/>
      <c r="Y71" s="18"/>
      <c r="Z71" s="11"/>
      <c r="AA71" s="11"/>
      <c r="AB71" s="19"/>
      <c r="AC71" s="17"/>
      <c r="AD71" s="18"/>
      <c r="AE71" s="11"/>
      <c r="AF71" s="11"/>
      <c r="AG71" s="19"/>
      <c r="AH71" s="17"/>
      <c r="AI71" s="18"/>
      <c r="AJ71" s="11"/>
      <c r="AK71" s="11"/>
      <c r="AL71" s="19"/>
      <c r="AM71" s="17"/>
      <c r="AN71" s="18"/>
      <c r="AO71" s="14"/>
      <c r="AP71" s="11"/>
      <c r="AQ71" s="11"/>
      <c r="AR71" s="19"/>
      <c r="AS71" s="17"/>
      <c r="AT71" s="18"/>
      <c r="AU71" s="20"/>
      <c r="AV71" s="11"/>
      <c r="AW71" s="11"/>
      <c r="AX71" s="21"/>
      <c r="AY71" s="17"/>
      <c r="AZ71" s="18"/>
      <c r="BA71" s="11"/>
      <c r="BB71" s="11"/>
      <c r="BC71" s="19"/>
      <c r="BD71" s="17"/>
      <c r="BE71" s="18"/>
      <c r="BF71" s="14"/>
      <c r="BG71" s="11"/>
      <c r="BH71" s="11"/>
      <c r="BI71" s="22"/>
      <c r="BJ71" s="17"/>
      <c r="BK71" s="18"/>
      <c r="BL71" s="11"/>
      <c r="BM71" s="11"/>
      <c r="BN71" s="21"/>
      <c r="BO71" s="17"/>
      <c r="BP71" s="18"/>
      <c r="BQ71" s="11"/>
      <c r="BR71" s="11"/>
      <c r="BS71" s="23"/>
      <c r="BT71" s="17"/>
      <c r="BU71" s="18"/>
      <c r="BV71" s="11"/>
      <c r="BW71" s="11"/>
      <c r="BX71" s="19"/>
      <c r="BY71" s="17"/>
      <c r="BZ71" s="18"/>
      <c r="CA71" s="14"/>
      <c r="CB71" s="20"/>
      <c r="CC71" s="11"/>
      <c r="CD71" s="11"/>
      <c r="CE71" s="19"/>
      <c r="CF71" s="17"/>
      <c r="CG71" s="18"/>
      <c r="CH71" s="11"/>
      <c r="CI71" s="11"/>
      <c r="CJ71" s="19"/>
      <c r="CK71" s="17"/>
      <c r="CL71" s="18"/>
      <c r="CM71" s="11"/>
      <c r="CN71" s="11"/>
      <c r="CO71" s="21"/>
      <c r="CP71" s="17"/>
      <c r="CQ71" s="18"/>
      <c r="CR71" s="11"/>
      <c r="CS71" s="11"/>
      <c r="CT71" s="21"/>
      <c r="CU71" s="17"/>
      <c r="CV71" s="18"/>
      <c r="CW71" s="11"/>
      <c r="CX71" s="11"/>
      <c r="CY71" s="21"/>
      <c r="CZ71" s="17"/>
      <c r="DA71" s="18"/>
      <c r="DB71" s="15"/>
      <c r="DC71" s="15"/>
      <c r="DD71" s="22"/>
      <c r="DE71" s="17"/>
      <c r="DF71" s="18"/>
      <c r="DG71" s="24"/>
      <c r="DH71" s="31"/>
      <c r="DI71" s="31"/>
      <c r="DJ71" s="31"/>
      <c r="DK71" s="31"/>
      <c r="DL71" s="31"/>
      <c r="DM71" s="32"/>
      <c r="DN71" s="32"/>
      <c r="DO71" s="32"/>
      <c r="DP71" s="13"/>
      <c r="DQ71" s="13"/>
      <c r="DR71" s="13"/>
      <c r="DS71" s="13"/>
      <c r="DT71" s="13"/>
      <c r="DU71" s="13"/>
    </row>
    <row r="72" spans="2:125" s="12" customFormat="1" ht="17.25" customHeight="1">
      <c r="B72" s="13"/>
      <c r="C72" s="13"/>
      <c r="D72" s="13"/>
      <c r="E72" s="13"/>
      <c r="F72" s="13"/>
      <c r="G72" s="13"/>
      <c r="H72" s="14"/>
      <c r="I72" s="10"/>
      <c r="J72" s="10"/>
      <c r="K72" s="15"/>
      <c r="L72" s="15"/>
      <c r="M72" s="27"/>
      <c r="N72" s="25"/>
      <c r="O72" s="14"/>
      <c r="P72" s="11"/>
      <c r="Q72" s="11"/>
      <c r="R72" s="16"/>
      <c r="S72" s="17"/>
      <c r="T72" s="18"/>
      <c r="U72" s="11"/>
      <c r="V72" s="11"/>
      <c r="W72" s="19"/>
      <c r="X72" s="17"/>
      <c r="Y72" s="18"/>
      <c r="Z72" s="11"/>
      <c r="AA72" s="11"/>
      <c r="AB72" s="19"/>
      <c r="AC72" s="17"/>
      <c r="AD72" s="18"/>
      <c r="AE72" s="11"/>
      <c r="AF72" s="11"/>
      <c r="AG72" s="19"/>
      <c r="AH72" s="17"/>
      <c r="AI72" s="18"/>
      <c r="AJ72" s="11"/>
      <c r="AK72" s="11"/>
      <c r="AL72" s="19"/>
      <c r="AM72" s="17"/>
      <c r="AN72" s="18"/>
      <c r="AO72" s="14"/>
      <c r="AP72" s="11"/>
      <c r="AQ72" s="11"/>
      <c r="AR72" s="19"/>
      <c r="AS72" s="17"/>
      <c r="AT72" s="18"/>
      <c r="AU72" s="20"/>
      <c r="AV72" s="11"/>
      <c r="AW72" s="11"/>
      <c r="AX72" s="21"/>
      <c r="AY72" s="17"/>
      <c r="AZ72" s="18"/>
      <c r="BA72" s="11"/>
      <c r="BB72" s="11"/>
      <c r="BC72" s="19"/>
      <c r="BD72" s="17"/>
      <c r="BE72" s="18"/>
      <c r="BF72" s="14"/>
      <c r="BG72" s="11"/>
      <c r="BH72" s="11"/>
      <c r="BI72" s="22"/>
      <c r="BJ72" s="17"/>
      <c r="BK72" s="18"/>
      <c r="BL72" s="11"/>
      <c r="BM72" s="11"/>
      <c r="BN72" s="21"/>
      <c r="BO72" s="17"/>
      <c r="BP72" s="18"/>
      <c r="BQ72" s="11"/>
      <c r="BR72" s="11"/>
      <c r="BS72" s="23"/>
      <c r="BT72" s="17"/>
      <c r="BU72" s="18"/>
      <c r="BV72" s="11"/>
      <c r="BW72" s="11"/>
      <c r="BX72" s="19"/>
      <c r="BY72" s="17"/>
      <c r="BZ72" s="18"/>
      <c r="CA72" s="14"/>
      <c r="CB72" s="20"/>
      <c r="CC72" s="11"/>
      <c r="CD72" s="11"/>
      <c r="CE72" s="19"/>
      <c r="CF72" s="17"/>
      <c r="CG72" s="18"/>
      <c r="CH72" s="11"/>
      <c r="CI72" s="11"/>
      <c r="CJ72" s="19"/>
      <c r="CK72" s="17"/>
      <c r="CL72" s="18"/>
      <c r="CM72" s="11"/>
      <c r="CN72" s="11"/>
      <c r="CO72" s="21"/>
      <c r="CP72" s="17"/>
      <c r="CQ72" s="18"/>
      <c r="CR72" s="11"/>
      <c r="CS72" s="11"/>
      <c r="CT72" s="21"/>
      <c r="CU72" s="17"/>
      <c r="CV72" s="18"/>
      <c r="CW72" s="11"/>
      <c r="CX72" s="11"/>
      <c r="CY72" s="21"/>
      <c r="CZ72" s="17"/>
      <c r="DA72" s="18"/>
      <c r="DB72" s="15"/>
      <c r="DC72" s="15"/>
      <c r="DD72" s="22"/>
      <c r="DE72" s="17"/>
      <c r="DF72" s="18"/>
      <c r="DG72" s="24"/>
      <c r="DH72" s="31"/>
      <c r="DI72" s="31"/>
      <c r="DJ72" s="31"/>
      <c r="DK72" s="31"/>
      <c r="DL72" s="31"/>
      <c r="DM72" s="32"/>
      <c r="DN72" s="32"/>
      <c r="DO72" s="32"/>
      <c r="DP72" s="13"/>
      <c r="DQ72" s="13"/>
      <c r="DR72" s="13"/>
      <c r="DS72" s="13"/>
      <c r="DT72" s="13"/>
      <c r="DU72" s="13"/>
    </row>
  </sheetData>
  <mergeCells count="99">
    <mergeCell ref="B2:H4"/>
    <mergeCell ref="DN7:DO7"/>
    <mergeCell ref="DN17:DO17"/>
    <mergeCell ref="DN18:DO18"/>
    <mergeCell ref="DN19:DO19"/>
    <mergeCell ref="DN20:DO20"/>
    <mergeCell ref="DN21:DO21"/>
    <mergeCell ref="DN22:DO22"/>
    <mergeCell ref="DN23:DO23"/>
    <mergeCell ref="M2:M3"/>
    <mergeCell ref="DL4:DL5"/>
    <mergeCell ref="AP3:AT4"/>
    <mergeCell ref="CR3:CV4"/>
    <mergeCell ref="CW3:DA4"/>
    <mergeCell ref="DB3:DF4"/>
    <mergeCell ref="DH4:DH5"/>
    <mergeCell ref="DI4:DI5"/>
    <mergeCell ref="DJ4:DJ5"/>
    <mergeCell ref="CC3:CG4"/>
    <mergeCell ref="DN9:DO9"/>
    <mergeCell ref="DN49:DO49"/>
    <mergeCell ref="DN50:DO50"/>
    <mergeCell ref="DN10:DO10"/>
    <mergeCell ref="DN11:DO11"/>
    <mergeCell ref="DN12:DO12"/>
    <mergeCell ref="DN13:DO13"/>
    <mergeCell ref="DN14:DO14"/>
    <mergeCell ref="DN15:DO15"/>
    <mergeCell ref="DN16:DO16"/>
    <mergeCell ref="DN44:DO44"/>
    <mergeCell ref="DN24:DO24"/>
    <mergeCell ref="DN51:DO51"/>
    <mergeCell ref="DN52:DO52"/>
    <mergeCell ref="DN53:DO53"/>
    <mergeCell ref="DN25:DO25"/>
    <mergeCell ref="DN26:DO26"/>
    <mergeCell ref="DN27:DO27"/>
    <mergeCell ref="DN28:DO28"/>
    <mergeCell ref="DN29:DO29"/>
    <mergeCell ref="DN30:DO30"/>
    <mergeCell ref="DN31:DO31"/>
    <mergeCell ref="DN32:DO32"/>
    <mergeCell ref="DN33:DO33"/>
    <mergeCell ref="DN34:DO34"/>
    <mergeCell ref="DN35:DO35"/>
    <mergeCell ref="DN36:DO36"/>
    <mergeCell ref="DN37:DO37"/>
    <mergeCell ref="DN38:DO38"/>
    <mergeCell ref="DN39:DO39"/>
    <mergeCell ref="DN40:DO40"/>
    <mergeCell ref="DN41:DO41"/>
    <mergeCell ref="DN42:DO42"/>
    <mergeCell ref="DN43:DO43"/>
    <mergeCell ref="DN54:DO54"/>
    <mergeCell ref="DN55:DO55"/>
    <mergeCell ref="DN56:DO56"/>
    <mergeCell ref="DN57:DO57"/>
    <mergeCell ref="BL4:BP4"/>
    <mergeCell ref="BG3:CA3"/>
    <mergeCell ref="A2:A4"/>
    <mergeCell ref="I2:J4"/>
    <mergeCell ref="K2:K5"/>
    <mergeCell ref="AV4:AZ4"/>
    <mergeCell ref="AE4:AI4"/>
    <mergeCell ref="AJ4:AN4"/>
    <mergeCell ref="AO4:AO5"/>
    <mergeCell ref="L2:L5"/>
    <mergeCell ref="Z4:AD4"/>
    <mergeCell ref="N2:N5"/>
    <mergeCell ref="O3:O5"/>
    <mergeCell ref="P3:T4"/>
    <mergeCell ref="U3:Y4"/>
    <mergeCell ref="Z3:AO3"/>
    <mergeCell ref="DN45:DO45"/>
    <mergeCell ref="DN46:DO46"/>
    <mergeCell ref="DN47:DO47"/>
    <mergeCell ref="DN48:DO48"/>
    <mergeCell ref="O2:AU2"/>
    <mergeCell ref="AU3:AU5"/>
    <mergeCell ref="BF4:BF5"/>
    <mergeCell ref="BA4:BE4"/>
    <mergeCell ref="DP4:DP5"/>
    <mergeCell ref="DH2:DP3"/>
    <mergeCell ref="B8:DP8"/>
    <mergeCell ref="CC2:DG2"/>
    <mergeCell ref="BQ4:BU4"/>
    <mergeCell ref="CA4:CA5"/>
    <mergeCell ref="CM3:CQ4"/>
    <mergeCell ref="DG3:DG5"/>
    <mergeCell ref="AV2:CB2"/>
    <mergeCell ref="AV3:BF3"/>
    <mergeCell ref="BG4:BK4"/>
    <mergeCell ref="BV4:BZ4"/>
    <mergeCell ref="DK4:DK5"/>
    <mergeCell ref="DM4:DM5"/>
    <mergeCell ref="DN4:DO5"/>
    <mergeCell ref="DN6:DO6"/>
    <mergeCell ref="CH3:CL4"/>
    <mergeCell ref="CB3:CB5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54" fitToHeight="0" pageOrder="overThenDown" orientation="landscape" verticalDpi="1200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기술제안 1공구 교차로 공기산출근거</vt:lpstr>
      <vt:lpstr>'기술제안 1공구 교차로 공기산출근거'!Print_Area</vt:lpstr>
      <vt:lpstr>'기술제안 1공구 교차로 공기산출근거'!Print_Titles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김민호</dc:creator>
  <cp:lastModifiedBy>(주)천우씨엠 이흥철 대표이사</cp:lastModifiedBy>
  <cp:lastPrinted>2026-08-06T01:33:45Z</cp:lastPrinted>
  <dcterms:created xsi:type="dcterms:W3CDTF">2026-06-17T10:35:32Z</dcterms:created>
  <dcterms:modified xsi:type="dcterms:W3CDTF">2026-08-06T01:34:20Z</dcterms:modified>
</cp:coreProperties>
</file>