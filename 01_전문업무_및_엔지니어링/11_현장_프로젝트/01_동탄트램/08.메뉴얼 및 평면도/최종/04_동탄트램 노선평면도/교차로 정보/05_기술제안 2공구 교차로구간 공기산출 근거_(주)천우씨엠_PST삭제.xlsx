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8440" windowHeight="11445"/>
  </bookViews>
  <sheets>
    <sheet name="기술제안2공구 교차로구간_260805" sheetId="9" r:id="rId1"/>
  </sheets>
  <definedNames>
    <definedName name="_xlnm.Print_Area" localSheetId="0">'기술제안2공구 교차로구간_260805'!$C$1:$DK$77</definedName>
    <definedName name="_xlnm.Print_Titles" localSheetId="0">'기술제안2공구 교차로구간_260805'!$C:$K</definedName>
  </definedNames>
  <calcPr calcId="145621"/>
</workbook>
</file>

<file path=xl/calcChain.xml><?xml version="1.0" encoding="utf-8"?>
<calcChain xmlns="http://schemas.openxmlformats.org/spreadsheetml/2006/main">
  <c r="DM54" i="9" l="1"/>
  <c r="CY54" i="9"/>
  <c r="DB54" i="9" s="1"/>
  <c r="CT54" i="9"/>
  <c r="CW54" i="9" s="1"/>
  <c r="CO54" i="9"/>
  <c r="CR54" i="9" s="1"/>
  <c r="CJ54" i="9"/>
  <c r="CM54" i="9" s="1"/>
  <c r="CE54" i="9"/>
  <c r="CH54" i="9" s="1"/>
  <c r="CB54" i="9"/>
  <c r="BX54" i="9"/>
  <c r="CA54" i="9" s="1"/>
  <c r="BS54" i="9"/>
  <c r="BV54" i="9" s="1"/>
  <c r="BN54" i="9"/>
  <c r="BQ54" i="9" s="1"/>
  <c r="BG54" i="9"/>
  <c r="BC54" i="9"/>
  <c r="BF54" i="9" s="1"/>
  <c r="AX54" i="9"/>
  <c r="BA54" i="9" s="1"/>
  <c r="AR54" i="9"/>
  <c r="AU54" i="9" s="1"/>
  <c r="AP54" i="9"/>
  <c r="AL54" i="9"/>
  <c r="AO54" i="9" s="1"/>
  <c r="AG54" i="9"/>
  <c r="AJ54" i="9" s="1"/>
  <c r="AB54" i="9"/>
  <c r="AE54" i="9" s="1"/>
  <c r="W54" i="9"/>
  <c r="Z54" i="9" s="1"/>
  <c r="R54" i="9"/>
  <c r="U54" i="9" s="1"/>
  <c r="DM48" i="9"/>
  <c r="CY48" i="9"/>
  <c r="DB48" i="9" s="1"/>
  <c r="CT48" i="9"/>
  <c r="CW48" i="9" s="1"/>
  <c r="CO48" i="9"/>
  <c r="CR48" i="9" s="1"/>
  <c r="CJ48" i="9"/>
  <c r="CM48" i="9" s="1"/>
  <c r="CE48" i="9"/>
  <c r="CH48" i="9" s="1"/>
  <c r="CB48" i="9"/>
  <c r="BX48" i="9"/>
  <c r="CA48" i="9" s="1"/>
  <c r="BS48" i="9"/>
  <c r="BV48" i="9" s="1"/>
  <c r="BN48" i="9"/>
  <c r="BQ48" i="9" s="1"/>
  <c r="BG48" i="9"/>
  <c r="BC48" i="9"/>
  <c r="BF48" i="9" s="1"/>
  <c r="AX48" i="9"/>
  <c r="BA48" i="9" s="1"/>
  <c r="AR48" i="9"/>
  <c r="AU48" i="9" s="1"/>
  <c r="AP48" i="9"/>
  <c r="AL48" i="9"/>
  <c r="AO48" i="9" s="1"/>
  <c r="AG48" i="9"/>
  <c r="AJ48" i="9" s="1"/>
  <c r="AB48" i="9"/>
  <c r="AE48" i="9" s="1"/>
  <c r="W48" i="9"/>
  <c r="Z48" i="9" s="1"/>
  <c r="R48" i="9"/>
  <c r="U48" i="9" s="1"/>
  <c r="DM45" i="9"/>
  <c r="CY45" i="9"/>
  <c r="DB45" i="9" s="1"/>
  <c r="CT45" i="9"/>
  <c r="CW45" i="9" s="1"/>
  <c r="CO45" i="9"/>
  <c r="CR45" i="9" s="1"/>
  <c r="CJ45" i="9"/>
  <c r="CM45" i="9" s="1"/>
  <c r="CE45" i="9"/>
  <c r="CH45" i="9" s="1"/>
  <c r="CB45" i="9"/>
  <c r="BX45" i="9"/>
  <c r="CA45" i="9" s="1"/>
  <c r="BS45" i="9"/>
  <c r="BV45" i="9" s="1"/>
  <c r="BN45" i="9"/>
  <c r="BQ45" i="9" s="1"/>
  <c r="BG45" i="9"/>
  <c r="BC45" i="9"/>
  <c r="BF45" i="9" s="1"/>
  <c r="BA45" i="9"/>
  <c r="AX45" i="9"/>
  <c r="AR45" i="9"/>
  <c r="AU45" i="9" s="1"/>
  <c r="AP45" i="9"/>
  <c r="AL45" i="9"/>
  <c r="AO45" i="9" s="1"/>
  <c r="AG45" i="9"/>
  <c r="AJ45" i="9" s="1"/>
  <c r="AB45" i="9"/>
  <c r="AE45" i="9" s="1"/>
  <c r="W45" i="9"/>
  <c r="Z45" i="9" s="1"/>
  <c r="R45" i="9"/>
  <c r="U45" i="9" s="1"/>
  <c r="DM35" i="9"/>
  <c r="CY35" i="9"/>
  <c r="DB35" i="9" s="1"/>
  <c r="CT35" i="9"/>
  <c r="CW35" i="9" s="1"/>
  <c r="CO35" i="9"/>
  <c r="CR35" i="9" s="1"/>
  <c r="CJ35" i="9"/>
  <c r="CM35" i="9" s="1"/>
  <c r="CH35" i="9"/>
  <c r="CE35" i="9"/>
  <c r="CB35" i="9"/>
  <c r="BX35" i="9"/>
  <c r="CA35" i="9" s="1"/>
  <c r="BS35" i="9"/>
  <c r="BV35" i="9" s="1"/>
  <c r="BN35" i="9"/>
  <c r="BQ35" i="9" s="1"/>
  <c r="BG35" i="9"/>
  <c r="BC35" i="9"/>
  <c r="BF35" i="9" s="1"/>
  <c r="AX35" i="9"/>
  <c r="BA35" i="9" s="1"/>
  <c r="AR35" i="9"/>
  <c r="AU35" i="9" s="1"/>
  <c r="AP35" i="9"/>
  <c r="AL35" i="9"/>
  <c r="AO35" i="9" s="1"/>
  <c r="AJ35" i="9"/>
  <c r="AG35" i="9"/>
  <c r="AB35" i="9"/>
  <c r="AE35" i="9" s="1"/>
  <c r="W35" i="9"/>
  <c r="Z35" i="9" s="1"/>
  <c r="R35" i="9"/>
  <c r="U35" i="9" s="1"/>
  <c r="DM10" i="9"/>
  <c r="CY10" i="9"/>
  <c r="DB10" i="9" s="1"/>
  <c r="CT10" i="9"/>
  <c r="CW10" i="9" s="1"/>
  <c r="CO10" i="9"/>
  <c r="CR10" i="9" s="1"/>
  <c r="CJ10" i="9"/>
  <c r="CM10" i="9" s="1"/>
  <c r="CE10" i="9"/>
  <c r="CH10" i="9" s="1"/>
  <c r="DH10" i="9" s="1"/>
  <c r="DK10" i="9" s="1"/>
  <c r="CB10" i="9"/>
  <c r="BX10" i="9"/>
  <c r="CA10" i="9" s="1"/>
  <c r="BS10" i="9"/>
  <c r="BV10" i="9" s="1"/>
  <c r="BN10" i="9"/>
  <c r="BQ10" i="9" s="1"/>
  <c r="BG10" i="9"/>
  <c r="BC10" i="9"/>
  <c r="BF10" i="9" s="1"/>
  <c r="AX10" i="9"/>
  <c r="BA10" i="9" s="1"/>
  <c r="CC10" i="9" s="1"/>
  <c r="DJ10" i="9" s="1"/>
  <c r="AR10" i="9"/>
  <c r="AU10" i="9" s="1"/>
  <c r="AP10" i="9"/>
  <c r="AL10" i="9"/>
  <c r="AO10" i="9" s="1"/>
  <c r="AG10" i="9"/>
  <c r="AJ10" i="9" s="1"/>
  <c r="AB10" i="9"/>
  <c r="AE10" i="9" s="1"/>
  <c r="W10" i="9"/>
  <c r="Z10" i="9" s="1"/>
  <c r="R10" i="9"/>
  <c r="U10" i="9" s="1"/>
  <c r="AV10" i="9" s="1"/>
  <c r="DI10" i="9" s="1"/>
  <c r="DL10" i="9" s="1"/>
  <c r="DN10" i="9" s="1"/>
  <c r="DO10" i="9" s="1"/>
  <c r="DQ10" i="9" s="1"/>
  <c r="DM15" i="9"/>
  <c r="CY15" i="9"/>
  <c r="DB15" i="9" s="1"/>
  <c r="CT15" i="9"/>
  <c r="CW15" i="9" s="1"/>
  <c r="CO15" i="9"/>
  <c r="CR15" i="9" s="1"/>
  <c r="CJ15" i="9"/>
  <c r="CM15" i="9" s="1"/>
  <c r="CE15" i="9"/>
  <c r="CH15" i="9" s="1"/>
  <c r="CB15" i="9"/>
  <c r="BX15" i="9"/>
  <c r="CA15" i="9" s="1"/>
  <c r="BS15" i="9"/>
  <c r="BV15" i="9" s="1"/>
  <c r="BQ15" i="9"/>
  <c r="BN15" i="9"/>
  <c r="BG15" i="9"/>
  <c r="BC15" i="9"/>
  <c r="BF15" i="9" s="1"/>
  <c r="AX15" i="9"/>
  <c r="BA15" i="9" s="1"/>
  <c r="AR15" i="9"/>
  <c r="AU15" i="9" s="1"/>
  <c r="AP15" i="9"/>
  <c r="AL15" i="9"/>
  <c r="AO15" i="9" s="1"/>
  <c r="AG15" i="9"/>
  <c r="AJ15" i="9" s="1"/>
  <c r="AB15" i="9"/>
  <c r="AE15" i="9" s="1"/>
  <c r="W15" i="9"/>
  <c r="Z15" i="9" s="1"/>
  <c r="R15" i="9"/>
  <c r="U15" i="9" s="1"/>
  <c r="R13" i="9"/>
  <c r="U13" i="9" s="1"/>
  <c r="W13" i="9"/>
  <c r="Z13" i="9" s="1"/>
  <c r="AB13" i="9"/>
  <c r="AE13" i="9" s="1"/>
  <c r="AG13" i="9"/>
  <c r="AJ13" i="9" s="1"/>
  <c r="AL13" i="9"/>
  <c r="AO13" i="9" s="1"/>
  <c r="AP13" i="9"/>
  <c r="AR13" i="9"/>
  <c r="AU13" i="9"/>
  <c r="AX13" i="9"/>
  <c r="BA13" i="9" s="1"/>
  <c r="BC13" i="9"/>
  <c r="BF13" i="9" s="1"/>
  <c r="BG13" i="9"/>
  <c r="AV13" i="9" l="1"/>
  <c r="AV48" i="9"/>
  <c r="DI48" i="9" s="1"/>
  <c r="AV35" i="9"/>
  <c r="DI35" i="9" s="1"/>
  <c r="CC35" i="9"/>
  <c r="DJ35" i="9" s="1"/>
  <c r="AV45" i="9"/>
  <c r="DI45" i="9" s="1"/>
  <c r="CC45" i="9"/>
  <c r="DJ45" i="9" s="1"/>
  <c r="AV54" i="9"/>
  <c r="DI54" i="9" s="1"/>
  <c r="CC54" i="9"/>
  <c r="DJ54" i="9" s="1"/>
  <c r="CC48" i="9"/>
  <c r="DJ48" i="9" s="1"/>
  <c r="CC15" i="9"/>
  <c r="DJ15" i="9" s="1"/>
  <c r="AV15" i="9"/>
  <c r="DI15" i="9" s="1"/>
  <c r="CO55" i="9"/>
  <c r="CR55" i="9" s="1"/>
  <c r="K48" i="9" l="1"/>
  <c r="K45" i="9"/>
  <c r="O45" i="9" l="1"/>
  <c r="DC45" i="9"/>
  <c r="DD45" i="9" s="1"/>
  <c r="DG45" i="9" s="1"/>
  <c r="DH45" i="9" s="1"/>
  <c r="DK45" i="9" s="1"/>
  <c r="O48" i="9"/>
  <c r="DC48" i="9"/>
  <c r="DD48" i="9" s="1"/>
  <c r="DG48" i="9" s="1"/>
  <c r="DH48" i="9" s="1"/>
  <c r="DK48" i="9" s="1"/>
  <c r="DM55" i="9"/>
  <c r="CY55" i="9"/>
  <c r="DB55" i="9" s="1"/>
  <c r="CT55" i="9"/>
  <c r="CW55" i="9" s="1"/>
  <c r="CJ55" i="9"/>
  <c r="CM55" i="9" s="1"/>
  <c r="CE55" i="9"/>
  <c r="CH55" i="9" s="1"/>
  <c r="CB55" i="9"/>
  <c r="BX55" i="9"/>
  <c r="CA55" i="9" s="1"/>
  <c r="BS55" i="9"/>
  <c r="BV55" i="9" s="1"/>
  <c r="BN55" i="9"/>
  <c r="BQ55" i="9" s="1"/>
  <c r="BG55" i="9"/>
  <c r="BC55" i="9"/>
  <c r="BF55" i="9" s="1"/>
  <c r="AX55" i="9"/>
  <c r="BA55" i="9" s="1"/>
  <c r="AR55" i="9"/>
  <c r="AU55" i="9" s="1"/>
  <c r="AP55" i="9"/>
  <c r="AL55" i="9"/>
  <c r="AO55" i="9" s="1"/>
  <c r="AG55" i="9"/>
  <c r="AJ55" i="9" s="1"/>
  <c r="AB55" i="9"/>
  <c r="AE55" i="9" s="1"/>
  <c r="W55" i="9"/>
  <c r="Z55" i="9" s="1"/>
  <c r="R55" i="9"/>
  <c r="U55" i="9" s="1"/>
  <c r="K55" i="9"/>
  <c r="DC55" i="9" s="1"/>
  <c r="DD55" i="9" s="1"/>
  <c r="DG55" i="9" s="1"/>
  <c r="K54" i="9"/>
  <c r="DM53" i="9"/>
  <c r="CY53" i="9"/>
  <c r="DB53" i="9" s="1"/>
  <c r="CT53" i="9"/>
  <c r="CW53" i="9" s="1"/>
  <c r="CO53" i="9"/>
  <c r="CR53" i="9" s="1"/>
  <c r="CJ53" i="9"/>
  <c r="CM53" i="9" s="1"/>
  <c r="CE53" i="9"/>
  <c r="CH53" i="9" s="1"/>
  <c r="CB53" i="9"/>
  <c r="BX53" i="9"/>
  <c r="CA53" i="9" s="1"/>
  <c r="BS53" i="9"/>
  <c r="BV53" i="9" s="1"/>
  <c r="BN53" i="9"/>
  <c r="BQ53" i="9" s="1"/>
  <c r="BG53" i="9"/>
  <c r="BC53" i="9"/>
  <c r="BF53" i="9" s="1"/>
  <c r="AX53" i="9"/>
  <c r="BA53" i="9" s="1"/>
  <c r="AR53" i="9"/>
  <c r="AU53" i="9" s="1"/>
  <c r="AP53" i="9"/>
  <c r="AL53" i="9"/>
  <c r="AO53" i="9" s="1"/>
  <c r="AG53" i="9"/>
  <c r="AJ53" i="9" s="1"/>
  <c r="AB53" i="9"/>
  <c r="AE53" i="9" s="1"/>
  <c r="W53" i="9"/>
  <c r="Z53" i="9" s="1"/>
  <c r="R53" i="9"/>
  <c r="U53" i="9" s="1"/>
  <c r="K53" i="9"/>
  <c r="O53" i="9" s="1"/>
  <c r="DM52" i="9"/>
  <c r="CY52" i="9"/>
  <c r="DB52" i="9" s="1"/>
  <c r="CT52" i="9"/>
  <c r="CW52" i="9" s="1"/>
  <c r="CO52" i="9"/>
  <c r="CR52" i="9" s="1"/>
  <c r="CJ52" i="9"/>
  <c r="CM52" i="9" s="1"/>
  <c r="CE52" i="9"/>
  <c r="CH52" i="9" s="1"/>
  <c r="CB52" i="9"/>
  <c r="BX52" i="9"/>
  <c r="CA52" i="9" s="1"/>
  <c r="BS52" i="9"/>
  <c r="BV52" i="9" s="1"/>
  <c r="BN52" i="9"/>
  <c r="BQ52" i="9" s="1"/>
  <c r="BG52" i="9"/>
  <c r="BC52" i="9"/>
  <c r="BF52" i="9" s="1"/>
  <c r="AX52" i="9"/>
  <c r="BA52" i="9" s="1"/>
  <c r="AR52" i="9"/>
  <c r="AU52" i="9" s="1"/>
  <c r="AP52" i="9"/>
  <c r="AL52" i="9"/>
  <c r="AO52" i="9" s="1"/>
  <c r="AG52" i="9"/>
  <c r="AJ52" i="9" s="1"/>
  <c r="AB52" i="9"/>
  <c r="AE52" i="9" s="1"/>
  <c r="W52" i="9"/>
  <c r="Z52" i="9" s="1"/>
  <c r="R52" i="9"/>
  <c r="U52" i="9" s="1"/>
  <c r="K52" i="9"/>
  <c r="O52" i="9" s="1"/>
  <c r="DM51" i="9"/>
  <c r="CY51" i="9"/>
  <c r="DB51" i="9" s="1"/>
  <c r="CT51" i="9"/>
  <c r="CW51" i="9" s="1"/>
  <c r="CO51" i="9"/>
  <c r="CR51" i="9" s="1"/>
  <c r="CJ51" i="9"/>
  <c r="CM51" i="9" s="1"/>
  <c r="CE51" i="9"/>
  <c r="CH51" i="9" s="1"/>
  <c r="CB51" i="9"/>
  <c r="BX51" i="9"/>
  <c r="CA51" i="9" s="1"/>
  <c r="BS51" i="9"/>
  <c r="BV51" i="9" s="1"/>
  <c r="BN51" i="9"/>
  <c r="BQ51" i="9" s="1"/>
  <c r="BG51" i="9"/>
  <c r="BC51" i="9"/>
  <c r="BF51" i="9" s="1"/>
  <c r="AX51" i="9"/>
  <c r="BA51" i="9" s="1"/>
  <c r="AR51" i="9"/>
  <c r="AU51" i="9" s="1"/>
  <c r="AP51" i="9"/>
  <c r="AL51" i="9"/>
  <c r="AO51" i="9" s="1"/>
  <c r="AG51" i="9"/>
  <c r="AJ51" i="9" s="1"/>
  <c r="AB51" i="9"/>
  <c r="AE51" i="9" s="1"/>
  <c r="W51" i="9"/>
  <c r="Z51" i="9" s="1"/>
  <c r="R51" i="9"/>
  <c r="U51" i="9" s="1"/>
  <c r="K51" i="9"/>
  <c r="DC51" i="9" s="1"/>
  <c r="DD51" i="9" s="1"/>
  <c r="DG51" i="9" s="1"/>
  <c r="DM50" i="9"/>
  <c r="CY50" i="9"/>
  <c r="DB50" i="9" s="1"/>
  <c r="CT50" i="9"/>
  <c r="CW50" i="9" s="1"/>
  <c r="CO50" i="9"/>
  <c r="CR50" i="9" s="1"/>
  <c r="CJ50" i="9"/>
  <c r="CM50" i="9" s="1"/>
  <c r="CE50" i="9"/>
  <c r="CH50" i="9" s="1"/>
  <c r="CB50" i="9"/>
  <c r="BX50" i="9"/>
  <c r="CA50" i="9" s="1"/>
  <c r="BS50" i="9"/>
  <c r="BV50" i="9" s="1"/>
  <c r="BN50" i="9"/>
  <c r="BQ50" i="9" s="1"/>
  <c r="BG50" i="9"/>
  <c r="BC50" i="9"/>
  <c r="BF50" i="9" s="1"/>
  <c r="AX50" i="9"/>
  <c r="BA50" i="9" s="1"/>
  <c r="AR50" i="9"/>
  <c r="AU50" i="9" s="1"/>
  <c r="AP50" i="9"/>
  <c r="AL50" i="9"/>
  <c r="AO50" i="9" s="1"/>
  <c r="AG50" i="9"/>
  <c r="AJ50" i="9" s="1"/>
  <c r="AB50" i="9"/>
  <c r="AE50" i="9" s="1"/>
  <c r="W50" i="9"/>
  <c r="Z50" i="9" s="1"/>
  <c r="R50" i="9"/>
  <c r="U50" i="9" s="1"/>
  <c r="K50" i="9"/>
  <c r="O50" i="9" s="1"/>
  <c r="DM49" i="9"/>
  <c r="CY49" i="9"/>
  <c r="DB49" i="9" s="1"/>
  <c r="CT49" i="9"/>
  <c r="CW49" i="9" s="1"/>
  <c r="CO49" i="9"/>
  <c r="CR49" i="9" s="1"/>
  <c r="CJ49" i="9"/>
  <c r="CM49" i="9" s="1"/>
  <c r="CE49" i="9"/>
  <c r="CH49" i="9" s="1"/>
  <c r="CB49" i="9"/>
  <c r="BX49" i="9"/>
  <c r="CA49" i="9" s="1"/>
  <c r="BS49" i="9"/>
  <c r="BV49" i="9" s="1"/>
  <c r="BN49" i="9"/>
  <c r="BQ49" i="9" s="1"/>
  <c r="BG49" i="9"/>
  <c r="BC49" i="9"/>
  <c r="BF49" i="9" s="1"/>
  <c r="AX49" i="9"/>
  <c r="BA49" i="9" s="1"/>
  <c r="AR49" i="9"/>
  <c r="AU49" i="9" s="1"/>
  <c r="AP49" i="9"/>
  <c r="AL49" i="9"/>
  <c r="AO49" i="9" s="1"/>
  <c r="AG49" i="9"/>
  <c r="AJ49" i="9" s="1"/>
  <c r="AB49" i="9"/>
  <c r="AE49" i="9" s="1"/>
  <c r="W49" i="9"/>
  <c r="Z49" i="9" s="1"/>
  <c r="R49" i="9"/>
  <c r="U49" i="9" s="1"/>
  <c r="K49" i="9"/>
  <c r="DC49" i="9" s="1"/>
  <c r="DD49" i="9" s="1"/>
  <c r="DG49" i="9" s="1"/>
  <c r="DM47" i="9"/>
  <c r="CY47" i="9"/>
  <c r="DB47" i="9" s="1"/>
  <c r="CT47" i="9"/>
  <c r="CW47" i="9" s="1"/>
  <c r="CO47" i="9"/>
  <c r="CR47" i="9" s="1"/>
  <c r="CJ47" i="9"/>
  <c r="CM47" i="9" s="1"/>
  <c r="CE47" i="9"/>
  <c r="CH47" i="9" s="1"/>
  <c r="CB47" i="9"/>
  <c r="BX47" i="9"/>
  <c r="CA47" i="9" s="1"/>
  <c r="BS47" i="9"/>
  <c r="BV47" i="9" s="1"/>
  <c r="BN47" i="9"/>
  <c r="BQ47" i="9" s="1"/>
  <c r="BG47" i="9"/>
  <c r="BC47" i="9"/>
  <c r="BF47" i="9" s="1"/>
  <c r="AX47" i="9"/>
  <c r="BA47" i="9" s="1"/>
  <c r="AR47" i="9"/>
  <c r="AU47" i="9" s="1"/>
  <c r="AP47" i="9"/>
  <c r="AL47" i="9"/>
  <c r="AO47" i="9" s="1"/>
  <c r="AG47" i="9"/>
  <c r="AJ47" i="9" s="1"/>
  <c r="AB47" i="9"/>
  <c r="AE47" i="9" s="1"/>
  <c r="W47" i="9"/>
  <c r="Z47" i="9" s="1"/>
  <c r="R47" i="9"/>
  <c r="U47" i="9" s="1"/>
  <c r="K47" i="9"/>
  <c r="O47" i="9" s="1"/>
  <c r="DM46" i="9"/>
  <c r="CY46" i="9"/>
  <c r="DB46" i="9" s="1"/>
  <c r="CT46" i="9"/>
  <c r="CW46" i="9" s="1"/>
  <c r="CO46" i="9"/>
  <c r="CR46" i="9" s="1"/>
  <c r="CJ46" i="9"/>
  <c r="CM46" i="9" s="1"/>
  <c r="CE46" i="9"/>
  <c r="CH46" i="9" s="1"/>
  <c r="CB46" i="9"/>
  <c r="BX46" i="9"/>
  <c r="CA46" i="9" s="1"/>
  <c r="BS46" i="9"/>
  <c r="BV46" i="9" s="1"/>
  <c r="BN46" i="9"/>
  <c r="BQ46" i="9" s="1"/>
  <c r="BG46" i="9"/>
  <c r="BC46" i="9"/>
  <c r="BF46" i="9" s="1"/>
  <c r="AX46" i="9"/>
  <c r="BA46" i="9" s="1"/>
  <c r="AR46" i="9"/>
  <c r="AU46" i="9" s="1"/>
  <c r="AP46" i="9"/>
  <c r="AL46" i="9"/>
  <c r="AO46" i="9" s="1"/>
  <c r="AG46" i="9"/>
  <c r="AJ46" i="9" s="1"/>
  <c r="AB46" i="9"/>
  <c r="AE46" i="9" s="1"/>
  <c r="W46" i="9"/>
  <c r="Z46" i="9" s="1"/>
  <c r="R46" i="9"/>
  <c r="U46" i="9" s="1"/>
  <c r="K46" i="9"/>
  <c r="O46" i="9" s="1"/>
  <c r="DM44" i="9"/>
  <c r="CY44" i="9"/>
  <c r="DB44" i="9" s="1"/>
  <c r="CT44" i="9"/>
  <c r="CW44" i="9" s="1"/>
  <c r="CO44" i="9"/>
  <c r="CR44" i="9" s="1"/>
  <c r="CJ44" i="9"/>
  <c r="CM44" i="9" s="1"/>
  <c r="CE44" i="9"/>
  <c r="CH44" i="9" s="1"/>
  <c r="CB44" i="9"/>
  <c r="BX44" i="9"/>
  <c r="CA44" i="9" s="1"/>
  <c r="BS44" i="9"/>
  <c r="BV44" i="9" s="1"/>
  <c r="BN44" i="9"/>
  <c r="BQ44" i="9" s="1"/>
  <c r="BG44" i="9"/>
  <c r="BC44" i="9"/>
  <c r="BF44" i="9" s="1"/>
  <c r="AX44" i="9"/>
  <c r="BA44" i="9" s="1"/>
  <c r="AR44" i="9"/>
  <c r="AU44" i="9" s="1"/>
  <c r="AP44" i="9"/>
  <c r="AL44" i="9"/>
  <c r="AO44" i="9" s="1"/>
  <c r="AG44" i="9"/>
  <c r="AJ44" i="9" s="1"/>
  <c r="AB44" i="9"/>
  <c r="AE44" i="9" s="1"/>
  <c r="W44" i="9"/>
  <c r="Z44" i="9" s="1"/>
  <c r="R44" i="9"/>
  <c r="U44" i="9" s="1"/>
  <c r="K44" i="9"/>
  <c r="O44" i="9" s="1"/>
  <c r="DM43" i="9"/>
  <c r="CY43" i="9"/>
  <c r="DB43" i="9" s="1"/>
  <c r="CT43" i="9"/>
  <c r="CW43" i="9" s="1"/>
  <c r="CO43" i="9"/>
  <c r="CR43" i="9" s="1"/>
  <c r="CJ43" i="9"/>
  <c r="CM43" i="9" s="1"/>
  <c r="CE43" i="9"/>
  <c r="CH43" i="9" s="1"/>
  <c r="CB43" i="9"/>
  <c r="BX43" i="9"/>
  <c r="CA43" i="9" s="1"/>
  <c r="BS43" i="9"/>
  <c r="BV43" i="9" s="1"/>
  <c r="BN43" i="9"/>
  <c r="BQ43" i="9" s="1"/>
  <c r="BG43" i="9"/>
  <c r="BC43" i="9"/>
  <c r="BF43" i="9" s="1"/>
  <c r="AX43" i="9"/>
  <c r="BA43" i="9" s="1"/>
  <c r="AR43" i="9"/>
  <c r="AU43" i="9" s="1"/>
  <c r="AP43" i="9"/>
  <c r="AL43" i="9"/>
  <c r="AO43" i="9" s="1"/>
  <c r="AG43" i="9"/>
  <c r="AJ43" i="9" s="1"/>
  <c r="AB43" i="9"/>
  <c r="AE43" i="9" s="1"/>
  <c r="W43" i="9"/>
  <c r="Z43" i="9" s="1"/>
  <c r="R43" i="9"/>
  <c r="U43" i="9" s="1"/>
  <c r="K43" i="9"/>
  <c r="O43" i="9" s="1"/>
  <c r="DM42" i="9"/>
  <c r="CY42" i="9"/>
  <c r="DB42" i="9" s="1"/>
  <c r="CT42" i="9"/>
  <c r="CW42" i="9" s="1"/>
  <c r="CO42" i="9"/>
  <c r="CR42" i="9" s="1"/>
  <c r="CJ42" i="9"/>
  <c r="CM42" i="9" s="1"/>
  <c r="CE42" i="9"/>
  <c r="CH42" i="9" s="1"/>
  <c r="CB42" i="9"/>
  <c r="BX42" i="9"/>
  <c r="CA42" i="9" s="1"/>
  <c r="BS42" i="9"/>
  <c r="BV42" i="9" s="1"/>
  <c r="BN42" i="9"/>
  <c r="BQ42" i="9" s="1"/>
  <c r="BG42" i="9"/>
  <c r="BC42" i="9"/>
  <c r="BF42" i="9" s="1"/>
  <c r="AX42" i="9"/>
  <c r="BA42" i="9" s="1"/>
  <c r="AR42" i="9"/>
  <c r="AU42" i="9" s="1"/>
  <c r="AP42" i="9"/>
  <c r="AL42" i="9"/>
  <c r="AO42" i="9" s="1"/>
  <c r="AG42" i="9"/>
  <c r="AJ42" i="9" s="1"/>
  <c r="AB42" i="9"/>
  <c r="AE42" i="9" s="1"/>
  <c r="W42" i="9"/>
  <c r="Z42" i="9" s="1"/>
  <c r="R42" i="9"/>
  <c r="U42" i="9" s="1"/>
  <c r="K42" i="9"/>
  <c r="O42" i="9" s="1"/>
  <c r="DM41" i="9"/>
  <c r="CY41" i="9"/>
  <c r="DB41" i="9" s="1"/>
  <c r="CT41" i="9"/>
  <c r="CW41" i="9" s="1"/>
  <c r="CO41" i="9"/>
  <c r="CR41" i="9" s="1"/>
  <c r="CJ41" i="9"/>
  <c r="CM41" i="9" s="1"/>
  <c r="CE41" i="9"/>
  <c r="CH41" i="9" s="1"/>
  <c r="CB41" i="9"/>
  <c r="BX41" i="9"/>
  <c r="CA41" i="9" s="1"/>
  <c r="BS41" i="9"/>
  <c r="BV41" i="9" s="1"/>
  <c r="BN41" i="9"/>
  <c r="BQ41" i="9" s="1"/>
  <c r="BG41" i="9"/>
  <c r="BC41" i="9"/>
  <c r="BF41" i="9" s="1"/>
  <c r="AX41" i="9"/>
  <c r="BA41" i="9" s="1"/>
  <c r="AR41" i="9"/>
  <c r="AU41" i="9" s="1"/>
  <c r="AP41" i="9"/>
  <c r="AL41" i="9"/>
  <c r="AO41" i="9" s="1"/>
  <c r="AG41" i="9"/>
  <c r="AJ41" i="9" s="1"/>
  <c r="AB41" i="9"/>
  <c r="AE41" i="9" s="1"/>
  <c r="W41" i="9"/>
  <c r="Z41" i="9" s="1"/>
  <c r="R41" i="9"/>
  <c r="U41" i="9" s="1"/>
  <c r="K41" i="9"/>
  <c r="O41" i="9" s="1"/>
  <c r="DM40" i="9"/>
  <c r="CY40" i="9"/>
  <c r="DB40" i="9" s="1"/>
  <c r="CT40" i="9"/>
  <c r="CW40" i="9" s="1"/>
  <c r="CO40" i="9"/>
  <c r="CR40" i="9" s="1"/>
  <c r="CJ40" i="9"/>
  <c r="CM40" i="9" s="1"/>
  <c r="CE40" i="9"/>
  <c r="CH40" i="9" s="1"/>
  <c r="CB40" i="9"/>
  <c r="BX40" i="9"/>
  <c r="CA40" i="9" s="1"/>
  <c r="BS40" i="9"/>
  <c r="BV40" i="9" s="1"/>
  <c r="BN40" i="9"/>
  <c r="BQ40" i="9" s="1"/>
  <c r="BG40" i="9"/>
  <c r="BC40" i="9"/>
  <c r="BF40" i="9" s="1"/>
  <c r="AX40" i="9"/>
  <c r="BA40" i="9" s="1"/>
  <c r="AR40" i="9"/>
  <c r="AU40" i="9" s="1"/>
  <c r="AP40" i="9"/>
  <c r="AL40" i="9"/>
  <c r="AO40" i="9" s="1"/>
  <c r="AG40" i="9"/>
  <c r="AJ40" i="9" s="1"/>
  <c r="AB40" i="9"/>
  <c r="AE40" i="9" s="1"/>
  <c r="W40" i="9"/>
  <c r="Z40" i="9" s="1"/>
  <c r="R40" i="9"/>
  <c r="U40" i="9" s="1"/>
  <c r="K40" i="9"/>
  <c r="O40" i="9" s="1"/>
  <c r="DM39" i="9"/>
  <c r="CY39" i="9"/>
  <c r="DB39" i="9" s="1"/>
  <c r="CT39" i="9"/>
  <c r="CW39" i="9" s="1"/>
  <c r="CO39" i="9"/>
  <c r="CR39" i="9" s="1"/>
  <c r="CJ39" i="9"/>
  <c r="CM39" i="9" s="1"/>
  <c r="CE39" i="9"/>
  <c r="CH39" i="9" s="1"/>
  <c r="CB39" i="9"/>
  <c r="BX39" i="9"/>
  <c r="CA39" i="9" s="1"/>
  <c r="BS39" i="9"/>
  <c r="BV39" i="9" s="1"/>
  <c r="BN39" i="9"/>
  <c r="BQ39" i="9" s="1"/>
  <c r="BG39" i="9"/>
  <c r="BC39" i="9"/>
  <c r="BF39" i="9" s="1"/>
  <c r="AX39" i="9"/>
  <c r="BA39" i="9" s="1"/>
  <c r="AR39" i="9"/>
  <c r="AU39" i="9" s="1"/>
  <c r="AP39" i="9"/>
  <c r="AL39" i="9"/>
  <c r="AO39" i="9" s="1"/>
  <c r="AG39" i="9"/>
  <c r="AJ39" i="9" s="1"/>
  <c r="AB39" i="9"/>
  <c r="AE39" i="9" s="1"/>
  <c r="W39" i="9"/>
  <c r="Z39" i="9" s="1"/>
  <c r="R39" i="9"/>
  <c r="U39" i="9" s="1"/>
  <c r="K39" i="9"/>
  <c r="DC39" i="9" s="1"/>
  <c r="DD39" i="9" s="1"/>
  <c r="DG39" i="9" s="1"/>
  <c r="DM38" i="9"/>
  <c r="CY38" i="9"/>
  <c r="DB38" i="9" s="1"/>
  <c r="CT38" i="9"/>
  <c r="CW38" i="9" s="1"/>
  <c r="CO38" i="9"/>
  <c r="CR38" i="9" s="1"/>
  <c r="CJ38" i="9"/>
  <c r="CM38" i="9" s="1"/>
  <c r="CE38" i="9"/>
  <c r="CH38" i="9" s="1"/>
  <c r="CB38" i="9"/>
  <c r="BX38" i="9"/>
  <c r="CA38" i="9" s="1"/>
  <c r="BS38" i="9"/>
  <c r="BV38" i="9" s="1"/>
  <c r="BN38" i="9"/>
  <c r="BQ38" i="9" s="1"/>
  <c r="BG38" i="9"/>
  <c r="BC38" i="9"/>
  <c r="BF38" i="9" s="1"/>
  <c r="AX38" i="9"/>
  <c r="BA38" i="9" s="1"/>
  <c r="AR38" i="9"/>
  <c r="AU38" i="9" s="1"/>
  <c r="AP38" i="9"/>
  <c r="AL38" i="9"/>
  <c r="AO38" i="9" s="1"/>
  <c r="AG38" i="9"/>
  <c r="AJ38" i="9" s="1"/>
  <c r="AB38" i="9"/>
  <c r="AE38" i="9" s="1"/>
  <c r="W38" i="9"/>
  <c r="Z38" i="9" s="1"/>
  <c r="R38" i="9"/>
  <c r="U38" i="9" s="1"/>
  <c r="K38" i="9"/>
  <c r="O38" i="9" s="1"/>
  <c r="DM37" i="9"/>
  <c r="CY37" i="9"/>
  <c r="DB37" i="9" s="1"/>
  <c r="CT37" i="9"/>
  <c r="CW37" i="9" s="1"/>
  <c r="CO37" i="9"/>
  <c r="CR37" i="9" s="1"/>
  <c r="CJ37" i="9"/>
  <c r="CM37" i="9" s="1"/>
  <c r="CE37" i="9"/>
  <c r="CH37" i="9" s="1"/>
  <c r="CB37" i="9"/>
  <c r="BX37" i="9"/>
  <c r="CA37" i="9" s="1"/>
  <c r="BS37" i="9"/>
  <c r="BV37" i="9" s="1"/>
  <c r="BN37" i="9"/>
  <c r="BQ37" i="9" s="1"/>
  <c r="BG37" i="9"/>
  <c r="BC37" i="9"/>
  <c r="BF37" i="9" s="1"/>
  <c r="AX37" i="9"/>
  <c r="BA37" i="9" s="1"/>
  <c r="AR37" i="9"/>
  <c r="AU37" i="9" s="1"/>
  <c r="AP37" i="9"/>
  <c r="AL37" i="9"/>
  <c r="AO37" i="9" s="1"/>
  <c r="AG37" i="9"/>
  <c r="AJ37" i="9" s="1"/>
  <c r="AB37" i="9"/>
  <c r="AE37" i="9" s="1"/>
  <c r="W37" i="9"/>
  <c r="Z37" i="9" s="1"/>
  <c r="R37" i="9"/>
  <c r="U37" i="9" s="1"/>
  <c r="K37" i="9"/>
  <c r="DC37" i="9" s="1"/>
  <c r="DD37" i="9" s="1"/>
  <c r="DG37" i="9" s="1"/>
  <c r="DM36" i="9"/>
  <c r="CY36" i="9"/>
  <c r="DB36" i="9" s="1"/>
  <c r="CT36" i="9"/>
  <c r="CW36" i="9" s="1"/>
  <c r="CO36" i="9"/>
  <c r="CR36" i="9" s="1"/>
  <c r="CJ36" i="9"/>
  <c r="CM36" i="9" s="1"/>
  <c r="CE36" i="9"/>
  <c r="CH36" i="9" s="1"/>
  <c r="CB36" i="9"/>
  <c r="BX36" i="9"/>
  <c r="CA36" i="9" s="1"/>
  <c r="BS36" i="9"/>
  <c r="BV36" i="9" s="1"/>
  <c r="BN36" i="9"/>
  <c r="BQ36" i="9" s="1"/>
  <c r="BG36" i="9"/>
  <c r="BC36" i="9"/>
  <c r="BF36" i="9" s="1"/>
  <c r="AX36" i="9"/>
  <c r="BA36" i="9" s="1"/>
  <c r="AR36" i="9"/>
  <c r="AU36" i="9" s="1"/>
  <c r="AP36" i="9"/>
  <c r="AL36" i="9"/>
  <c r="AO36" i="9" s="1"/>
  <c r="AG36" i="9"/>
  <c r="AJ36" i="9" s="1"/>
  <c r="AB36" i="9"/>
  <c r="AE36" i="9" s="1"/>
  <c r="W36" i="9"/>
  <c r="Z36" i="9" s="1"/>
  <c r="R36" i="9"/>
  <c r="U36" i="9" s="1"/>
  <c r="K36" i="9"/>
  <c r="O36" i="9" s="1"/>
  <c r="K35" i="9"/>
  <c r="DC35" i="9" s="1"/>
  <c r="DD35" i="9" s="1"/>
  <c r="DG35" i="9" s="1"/>
  <c r="DH35" i="9" s="1"/>
  <c r="DK35" i="9" s="1"/>
  <c r="DM34" i="9"/>
  <c r="CY34" i="9"/>
  <c r="DB34" i="9" s="1"/>
  <c r="CT34" i="9"/>
  <c r="CW34" i="9" s="1"/>
  <c r="CO34" i="9"/>
  <c r="CR34" i="9" s="1"/>
  <c r="CJ34" i="9"/>
  <c r="CM34" i="9" s="1"/>
  <c r="CE34" i="9"/>
  <c r="CH34" i="9" s="1"/>
  <c r="CB34" i="9"/>
  <c r="BX34" i="9"/>
  <c r="CA34" i="9" s="1"/>
  <c r="BS34" i="9"/>
  <c r="BV34" i="9" s="1"/>
  <c r="BN34" i="9"/>
  <c r="BQ34" i="9" s="1"/>
  <c r="BG34" i="9"/>
  <c r="BC34" i="9"/>
  <c r="BF34" i="9" s="1"/>
  <c r="AX34" i="9"/>
  <c r="BA34" i="9" s="1"/>
  <c r="AR34" i="9"/>
  <c r="AU34" i="9" s="1"/>
  <c r="AP34" i="9"/>
  <c r="AL34" i="9"/>
  <c r="AO34" i="9" s="1"/>
  <c r="AG34" i="9"/>
  <c r="AJ34" i="9" s="1"/>
  <c r="AB34" i="9"/>
  <c r="AE34" i="9" s="1"/>
  <c r="W34" i="9"/>
  <c r="Z34" i="9" s="1"/>
  <c r="R34" i="9"/>
  <c r="U34" i="9" s="1"/>
  <c r="K34" i="9"/>
  <c r="DC34" i="9" s="1"/>
  <c r="DD34" i="9" s="1"/>
  <c r="DG34" i="9" s="1"/>
  <c r="DM33" i="9"/>
  <c r="CY33" i="9"/>
  <c r="DB33" i="9" s="1"/>
  <c r="CT33" i="9"/>
  <c r="CW33" i="9" s="1"/>
  <c r="CO33" i="9"/>
  <c r="CR33" i="9" s="1"/>
  <c r="CJ33" i="9"/>
  <c r="CM33" i="9" s="1"/>
  <c r="CE33" i="9"/>
  <c r="CH33" i="9" s="1"/>
  <c r="CB33" i="9"/>
  <c r="BX33" i="9"/>
  <c r="CA33" i="9" s="1"/>
  <c r="BS33" i="9"/>
  <c r="BV33" i="9" s="1"/>
  <c r="BN33" i="9"/>
  <c r="BQ33" i="9" s="1"/>
  <c r="BG33" i="9"/>
  <c r="BC33" i="9"/>
  <c r="BF33" i="9" s="1"/>
  <c r="AX33" i="9"/>
  <c r="BA33" i="9" s="1"/>
  <c r="AR33" i="9"/>
  <c r="AU33" i="9" s="1"/>
  <c r="AP33" i="9"/>
  <c r="AL33" i="9"/>
  <c r="AO33" i="9" s="1"/>
  <c r="AG33" i="9"/>
  <c r="AJ33" i="9" s="1"/>
  <c r="AB33" i="9"/>
  <c r="AE33" i="9" s="1"/>
  <c r="W33" i="9"/>
  <c r="Z33" i="9" s="1"/>
  <c r="R33" i="9"/>
  <c r="U33" i="9" s="1"/>
  <c r="K33" i="9"/>
  <c r="O33" i="9" s="1"/>
  <c r="DM32" i="9"/>
  <c r="CY32" i="9"/>
  <c r="DB32" i="9" s="1"/>
  <c r="CT32" i="9"/>
  <c r="CW32" i="9" s="1"/>
  <c r="CO32" i="9"/>
  <c r="CR32" i="9" s="1"/>
  <c r="CJ32" i="9"/>
  <c r="CM32" i="9" s="1"/>
  <c r="CE32" i="9"/>
  <c r="CH32" i="9" s="1"/>
  <c r="CB32" i="9"/>
  <c r="BX32" i="9"/>
  <c r="CA32" i="9" s="1"/>
  <c r="BS32" i="9"/>
  <c r="BV32" i="9" s="1"/>
  <c r="BN32" i="9"/>
  <c r="BQ32" i="9" s="1"/>
  <c r="BG32" i="9"/>
  <c r="BC32" i="9"/>
  <c r="BF32" i="9" s="1"/>
  <c r="AX32" i="9"/>
  <c r="BA32" i="9" s="1"/>
  <c r="AR32" i="9"/>
  <c r="AU32" i="9" s="1"/>
  <c r="AP32" i="9"/>
  <c r="AL32" i="9"/>
  <c r="AO32" i="9" s="1"/>
  <c r="AG32" i="9"/>
  <c r="AJ32" i="9" s="1"/>
  <c r="AB32" i="9"/>
  <c r="AE32" i="9" s="1"/>
  <c r="W32" i="9"/>
  <c r="Z32" i="9" s="1"/>
  <c r="R32" i="9"/>
  <c r="U32" i="9" s="1"/>
  <c r="K32" i="9"/>
  <c r="DC32" i="9" s="1"/>
  <c r="DD32" i="9" s="1"/>
  <c r="DG32" i="9" s="1"/>
  <c r="DM31" i="9"/>
  <c r="CY31" i="9"/>
  <c r="DB31" i="9" s="1"/>
  <c r="CT31" i="9"/>
  <c r="CW31" i="9" s="1"/>
  <c r="CO31" i="9"/>
  <c r="CR31" i="9" s="1"/>
  <c r="CJ31" i="9"/>
  <c r="CM31" i="9" s="1"/>
  <c r="CE31" i="9"/>
  <c r="CH31" i="9" s="1"/>
  <c r="CB31" i="9"/>
  <c r="BX31" i="9"/>
  <c r="CA31" i="9" s="1"/>
  <c r="BS31" i="9"/>
  <c r="BV31" i="9" s="1"/>
  <c r="BN31" i="9"/>
  <c r="BQ31" i="9" s="1"/>
  <c r="BG31" i="9"/>
  <c r="BC31" i="9"/>
  <c r="BF31" i="9" s="1"/>
  <c r="AX31" i="9"/>
  <c r="BA31" i="9" s="1"/>
  <c r="AR31" i="9"/>
  <c r="AU31" i="9" s="1"/>
  <c r="AP31" i="9"/>
  <c r="AL31" i="9"/>
  <c r="AO31" i="9" s="1"/>
  <c r="AG31" i="9"/>
  <c r="AJ31" i="9" s="1"/>
  <c r="AB31" i="9"/>
  <c r="AE31" i="9" s="1"/>
  <c r="W31" i="9"/>
  <c r="Z31" i="9" s="1"/>
  <c r="R31" i="9"/>
  <c r="U31" i="9" s="1"/>
  <c r="K31" i="9"/>
  <c r="DC31" i="9" s="1"/>
  <c r="DD31" i="9" s="1"/>
  <c r="DG31" i="9" s="1"/>
  <c r="DM30" i="9"/>
  <c r="CY30" i="9"/>
  <c r="DB30" i="9" s="1"/>
  <c r="CT30" i="9"/>
  <c r="CW30" i="9" s="1"/>
  <c r="CO30" i="9"/>
  <c r="CR30" i="9" s="1"/>
  <c r="CJ30" i="9"/>
  <c r="CM30" i="9" s="1"/>
  <c r="CE30" i="9"/>
  <c r="CH30" i="9" s="1"/>
  <c r="CB30" i="9"/>
  <c r="BX30" i="9"/>
  <c r="CA30" i="9" s="1"/>
  <c r="BS30" i="9"/>
  <c r="BV30" i="9" s="1"/>
  <c r="BN30" i="9"/>
  <c r="BQ30" i="9" s="1"/>
  <c r="BG30" i="9"/>
  <c r="BC30" i="9"/>
  <c r="BF30" i="9" s="1"/>
  <c r="AX30" i="9"/>
  <c r="BA30" i="9" s="1"/>
  <c r="AR30" i="9"/>
  <c r="AU30" i="9" s="1"/>
  <c r="AP30" i="9"/>
  <c r="AL30" i="9"/>
  <c r="AO30" i="9" s="1"/>
  <c r="AG30" i="9"/>
  <c r="AJ30" i="9" s="1"/>
  <c r="AB30" i="9"/>
  <c r="AE30" i="9" s="1"/>
  <c r="W30" i="9"/>
  <c r="Z30" i="9" s="1"/>
  <c r="R30" i="9"/>
  <c r="U30" i="9" s="1"/>
  <c r="K30" i="9"/>
  <c r="DC30" i="9" s="1"/>
  <c r="DD30" i="9" s="1"/>
  <c r="DG30" i="9" s="1"/>
  <c r="DM29" i="9"/>
  <c r="CY29" i="9"/>
  <c r="DB29" i="9" s="1"/>
  <c r="CT29" i="9"/>
  <c r="CW29" i="9" s="1"/>
  <c r="CO29" i="9"/>
  <c r="CR29" i="9" s="1"/>
  <c r="CJ29" i="9"/>
  <c r="CM29" i="9" s="1"/>
  <c r="CE29" i="9"/>
  <c r="CH29" i="9" s="1"/>
  <c r="CB29" i="9"/>
  <c r="BX29" i="9"/>
  <c r="CA29" i="9" s="1"/>
  <c r="BS29" i="9"/>
  <c r="BV29" i="9" s="1"/>
  <c r="BN29" i="9"/>
  <c r="BQ29" i="9" s="1"/>
  <c r="BG29" i="9"/>
  <c r="BC29" i="9"/>
  <c r="BF29" i="9" s="1"/>
  <c r="AX29" i="9"/>
  <c r="BA29" i="9" s="1"/>
  <c r="AR29" i="9"/>
  <c r="AU29" i="9" s="1"/>
  <c r="AP29" i="9"/>
  <c r="AL29" i="9"/>
  <c r="AO29" i="9" s="1"/>
  <c r="AG29" i="9"/>
  <c r="AJ29" i="9" s="1"/>
  <c r="AB29" i="9"/>
  <c r="AE29" i="9" s="1"/>
  <c r="W29" i="9"/>
  <c r="Z29" i="9" s="1"/>
  <c r="R29" i="9"/>
  <c r="U29" i="9" s="1"/>
  <c r="K29" i="9"/>
  <c r="DC29" i="9" s="1"/>
  <c r="DD29" i="9" s="1"/>
  <c r="DG29" i="9" s="1"/>
  <c r="DM28" i="9"/>
  <c r="CY28" i="9"/>
  <c r="DB28" i="9" s="1"/>
  <c r="CT28" i="9"/>
  <c r="CW28" i="9" s="1"/>
  <c r="CO28" i="9"/>
  <c r="CR28" i="9" s="1"/>
  <c r="CJ28" i="9"/>
  <c r="CM28" i="9" s="1"/>
  <c r="CE28" i="9"/>
  <c r="CH28" i="9" s="1"/>
  <c r="CB28" i="9"/>
  <c r="BX28" i="9"/>
  <c r="CA28" i="9" s="1"/>
  <c r="BS28" i="9"/>
  <c r="BV28" i="9" s="1"/>
  <c r="BN28" i="9"/>
  <c r="BQ28" i="9" s="1"/>
  <c r="BG28" i="9"/>
  <c r="BC28" i="9"/>
  <c r="BF28" i="9" s="1"/>
  <c r="AX28" i="9"/>
  <c r="BA28" i="9" s="1"/>
  <c r="AR28" i="9"/>
  <c r="AU28" i="9" s="1"/>
  <c r="AP28" i="9"/>
  <c r="AL28" i="9"/>
  <c r="AO28" i="9" s="1"/>
  <c r="AG28" i="9"/>
  <c r="AJ28" i="9" s="1"/>
  <c r="AB28" i="9"/>
  <c r="AE28" i="9" s="1"/>
  <c r="W28" i="9"/>
  <c r="Z28" i="9" s="1"/>
  <c r="R28" i="9"/>
  <c r="U28" i="9" s="1"/>
  <c r="K28" i="9"/>
  <c r="DC28" i="9" s="1"/>
  <c r="DD28" i="9" s="1"/>
  <c r="DG28" i="9" s="1"/>
  <c r="DM27" i="9"/>
  <c r="CY27" i="9"/>
  <c r="DB27" i="9" s="1"/>
  <c r="CT27" i="9"/>
  <c r="CW27" i="9" s="1"/>
  <c r="CO27" i="9"/>
  <c r="CR27" i="9" s="1"/>
  <c r="CJ27" i="9"/>
  <c r="CM27" i="9" s="1"/>
  <c r="CE27" i="9"/>
  <c r="CH27" i="9" s="1"/>
  <c r="CB27" i="9"/>
  <c r="BX27" i="9"/>
  <c r="CA27" i="9" s="1"/>
  <c r="BS27" i="9"/>
  <c r="BV27" i="9" s="1"/>
  <c r="BN27" i="9"/>
  <c r="BQ27" i="9" s="1"/>
  <c r="BG27" i="9"/>
  <c r="BC27" i="9"/>
  <c r="BF27" i="9" s="1"/>
  <c r="AX27" i="9"/>
  <c r="BA27" i="9" s="1"/>
  <c r="AR27" i="9"/>
  <c r="AU27" i="9" s="1"/>
  <c r="AP27" i="9"/>
  <c r="AL27" i="9"/>
  <c r="AO27" i="9" s="1"/>
  <c r="AG27" i="9"/>
  <c r="AJ27" i="9" s="1"/>
  <c r="AB27" i="9"/>
  <c r="AE27" i="9" s="1"/>
  <c r="W27" i="9"/>
  <c r="Z27" i="9" s="1"/>
  <c r="R27" i="9"/>
  <c r="U27" i="9" s="1"/>
  <c r="K27" i="9"/>
  <c r="DC27" i="9" s="1"/>
  <c r="DD27" i="9" s="1"/>
  <c r="DG27" i="9" s="1"/>
  <c r="DM26" i="9"/>
  <c r="CY26" i="9"/>
  <c r="DB26" i="9" s="1"/>
  <c r="CT26" i="9"/>
  <c r="CW26" i="9" s="1"/>
  <c r="CO26" i="9"/>
  <c r="CR26" i="9" s="1"/>
  <c r="CJ26" i="9"/>
  <c r="CM26" i="9" s="1"/>
  <c r="CE26" i="9"/>
  <c r="CH26" i="9" s="1"/>
  <c r="CB26" i="9"/>
  <c r="BX26" i="9"/>
  <c r="CA26" i="9" s="1"/>
  <c r="BS26" i="9"/>
  <c r="BV26" i="9" s="1"/>
  <c r="BN26" i="9"/>
  <c r="BQ26" i="9" s="1"/>
  <c r="BG26" i="9"/>
  <c r="BC26" i="9"/>
  <c r="BF26" i="9" s="1"/>
  <c r="AX26" i="9"/>
  <c r="BA26" i="9" s="1"/>
  <c r="AR26" i="9"/>
  <c r="AU26" i="9" s="1"/>
  <c r="AP26" i="9"/>
  <c r="AL26" i="9"/>
  <c r="AO26" i="9" s="1"/>
  <c r="AG26" i="9"/>
  <c r="AJ26" i="9" s="1"/>
  <c r="AB26" i="9"/>
  <c r="AE26" i="9" s="1"/>
  <c r="W26" i="9"/>
  <c r="Z26" i="9" s="1"/>
  <c r="R26" i="9"/>
  <c r="U26" i="9" s="1"/>
  <c r="K26" i="9"/>
  <c r="DC26" i="9" s="1"/>
  <c r="DD26" i="9" s="1"/>
  <c r="DG26" i="9" s="1"/>
  <c r="DM25" i="9"/>
  <c r="CY25" i="9"/>
  <c r="DB25" i="9" s="1"/>
  <c r="CT25" i="9"/>
  <c r="CW25" i="9" s="1"/>
  <c r="CO25" i="9"/>
  <c r="CR25" i="9" s="1"/>
  <c r="CJ25" i="9"/>
  <c r="CM25" i="9" s="1"/>
  <c r="CE25" i="9"/>
  <c r="CH25" i="9" s="1"/>
  <c r="CB25" i="9"/>
  <c r="BX25" i="9"/>
  <c r="CA25" i="9" s="1"/>
  <c r="BS25" i="9"/>
  <c r="BV25" i="9" s="1"/>
  <c r="BN25" i="9"/>
  <c r="BQ25" i="9" s="1"/>
  <c r="BG25" i="9"/>
  <c r="BC25" i="9"/>
  <c r="BF25" i="9" s="1"/>
  <c r="AX25" i="9"/>
  <c r="BA25" i="9" s="1"/>
  <c r="AR25" i="9"/>
  <c r="AU25" i="9" s="1"/>
  <c r="AP25" i="9"/>
  <c r="AL25" i="9"/>
  <c r="AO25" i="9" s="1"/>
  <c r="AG25" i="9"/>
  <c r="AJ25" i="9" s="1"/>
  <c r="AB25" i="9"/>
  <c r="AE25" i="9" s="1"/>
  <c r="W25" i="9"/>
  <c r="Z25" i="9" s="1"/>
  <c r="R25" i="9"/>
  <c r="U25" i="9" s="1"/>
  <c r="K25" i="9"/>
  <c r="DC25" i="9" s="1"/>
  <c r="DD25" i="9" s="1"/>
  <c r="DG25" i="9" s="1"/>
  <c r="DM24" i="9"/>
  <c r="CY24" i="9"/>
  <c r="DB24" i="9" s="1"/>
  <c r="CT24" i="9"/>
  <c r="CW24" i="9" s="1"/>
  <c r="CO24" i="9"/>
  <c r="CR24" i="9" s="1"/>
  <c r="CJ24" i="9"/>
  <c r="CM24" i="9" s="1"/>
  <c r="CE24" i="9"/>
  <c r="CH24" i="9" s="1"/>
  <c r="CB24" i="9"/>
  <c r="BX24" i="9"/>
  <c r="CA24" i="9" s="1"/>
  <c r="BS24" i="9"/>
  <c r="BV24" i="9" s="1"/>
  <c r="BN24" i="9"/>
  <c r="BQ24" i="9" s="1"/>
  <c r="BG24" i="9"/>
  <c r="BC24" i="9"/>
  <c r="BF24" i="9" s="1"/>
  <c r="AX24" i="9"/>
  <c r="BA24" i="9" s="1"/>
  <c r="AR24" i="9"/>
  <c r="AU24" i="9" s="1"/>
  <c r="AP24" i="9"/>
  <c r="AL24" i="9"/>
  <c r="AO24" i="9" s="1"/>
  <c r="AG24" i="9"/>
  <c r="AJ24" i="9" s="1"/>
  <c r="AB24" i="9"/>
  <c r="AE24" i="9" s="1"/>
  <c r="W24" i="9"/>
  <c r="Z24" i="9" s="1"/>
  <c r="R24" i="9"/>
  <c r="U24" i="9" s="1"/>
  <c r="K24" i="9"/>
  <c r="DC24" i="9" s="1"/>
  <c r="DD24" i="9" s="1"/>
  <c r="DG24" i="9" s="1"/>
  <c r="DM23" i="9"/>
  <c r="CY23" i="9"/>
  <c r="DB23" i="9" s="1"/>
  <c r="CT23" i="9"/>
  <c r="CW23" i="9" s="1"/>
  <c r="CO23" i="9"/>
  <c r="CR23" i="9" s="1"/>
  <c r="CJ23" i="9"/>
  <c r="CM23" i="9" s="1"/>
  <c r="CE23" i="9"/>
  <c r="CH23" i="9" s="1"/>
  <c r="CB23" i="9"/>
  <c r="BX23" i="9"/>
  <c r="CA23" i="9" s="1"/>
  <c r="BS23" i="9"/>
  <c r="BV23" i="9" s="1"/>
  <c r="BN23" i="9"/>
  <c r="BQ23" i="9" s="1"/>
  <c r="BG23" i="9"/>
  <c r="BC23" i="9"/>
  <c r="BF23" i="9" s="1"/>
  <c r="AX23" i="9"/>
  <c r="BA23" i="9" s="1"/>
  <c r="AR23" i="9"/>
  <c r="AU23" i="9" s="1"/>
  <c r="AP23" i="9"/>
  <c r="AL23" i="9"/>
  <c r="AO23" i="9" s="1"/>
  <c r="AG23" i="9"/>
  <c r="AJ23" i="9" s="1"/>
  <c r="AB23" i="9"/>
  <c r="AE23" i="9" s="1"/>
  <c r="W23" i="9"/>
  <c r="Z23" i="9" s="1"/>
  <c r="R23" i="9"/>
  <c r="U23" i="9" s="1"/>
  <c r="K23" i="9"/>
  <c r="DC23" i="9" s="1"/>
  <c r="DD23" i="9" s="1"/>
  <c r="DG23" i="9" s="1"/>
  <c r="DM22" i="9"/>
  <c r="CY22" i="9"/>
  <c r="DB22" i="9" s="1"/>
  <c r="CT22" i="9"/>
  <c r="CW22" i="9" s="1"/>
  <c r="CO22" i="9"/>
  <c r="CR22" i="9" s="1"/>
  <c r="CJ22" i="9"/>
  <c r="CM22" i="9" s="1"/>
  <c r="CE22" i="9"/>
  <c r="CH22" i="9" s="1"/>
  <c r="CB22" i="9"/>
  <c r="BX22" i="9"/>
  <c r="CA22" i="9" s="1"/>
  <c r="BS22" i="9"/>
  <c r="BV22" i="9" s="1"/>
  <c r="BN22" i="9"/>
  <c r="BQ22" i="9" s="1"/>
  <c r="BG22" i="9"/>
  <c r="BC22" i="9"/>
  <c r="BF22" i="9" s="1"/>
  <c r="AX22" i="9"/>
  <c r="BA22" i="9" s="1"/>
  <c r="AR22" i="9"/>
  <c r="AU22" i="9" s="1"/>
  <c r="AP22" i="9"/>
  <c r="AL22" i="9"/>
  <c r="AO22" i="9" s="1"/>
  <c r="AG22" i="9"/>
  <c r="AJ22" i="9" s="1"/>
  <c r="AB22" i="9"/>
  <c r="AE22" i="9" s="1"/>
  <c r="W22" i="9"/>
  <c r="Z22" i="9" s="1"/>
  <c r="R22" i="9"/>
  <c r="U22" i="9" s="1"/>
  <c r="K22" i="9"/>
  <c r="DC22" i="9" s="1"/>
  <c r="DD22" i="9" s="1"/>
  <c r="DG22" i="9" s="1"/>
  <c r="DM21" i="9"/>
  <c r="CY21" i="9"/>
  <c r="DB21" i="9" s="1"/>
  <c r="CT21" i="9"/>
  <c r="CW21" i="9" s="1"/>
  <c r="CO21" i="9"/>
  <c r="CR21" i="9" s="1"/>
  <c r="CJ21" i="9"/>
  <c r="CM21" i="9" s="1"/>
  <c r="CE21" i="9"/>
  <c r="CH21" i="9" s="1"/>
  <c r="CB21" i="9"/>
  <c r="BX21" i="9"/>
  <c r="CA21" i="9" s="1"/>
  <c r="BS21" i="9"/>
  <c r="BV21" i="9" s="1"/>
  <c r="BN21" i="9"/>
  <c r="BQ21" i="9" s="1"/>
  <c r="BG21" i="9"/>
  <c r="BC21" i="9"/>
  <c r="BF21" i="9" s="1"/>
  <c r="AX21" i="9"/>
  <c r="BA21" i="9" s="1"/>
  <c r="AR21" i="9"/>
  <c r="AU21" i="9" s="1"/>
  <c r="AP21" i="9"/>
  <c r="AL21" i="9"/>
  <c r="AO21" i="9" s="1"/>
  <c r="AG21" i="9"/>
  <c r="AJ21" i="9" s="1"/>
  <c r="AB21" i="9"/>
  <c r="AE21" i="9" s="1"/>
  <c r="W21" i="9"/>
  <c r="Z21" i="9" s="1"/>
  <c r="R21" i="9"/>
  <c r="U21" i="9" s="1"/>
  <c r="K21" i="9"/>
  <c r="DC21" i="9" s="1"/>
  <c r="DD21" i="9" s="1"/>
  <c r="DG21" i="9" s="1"/>
  <c r="DM20" i="9"/>
  <c r="CY20" i="9"/>
  <c r="DB20" i="9" s="1"/>
  <c r="CT20" i="9"/>
  <c r="CW20" i="9" s="1"/>
  <c r="CO20" i="9"/>
  <c r="CR20" i="9" s="1"/>
  <c r="CJ20" i="9"/>
  <c r="CM20" i="9" s="1"/>
  <c r="CE20" i="9"/>
  <c r="CH20" i="9" s="1"/>
  <c r="CB20" i="9"/>
  <c r="BX20" i="9"/>
  <c r="CA20" i="9" s="1"/>
  <c r="BS20" i="9"/>
  <c r="BV20" i="9" s="1"/>
  <c r="BN20" i="9"/>
  <c r="BQ20" i="9" s="1"/>
  <c r="BG20" i="9"/>
  <c r="BC20" i="9"/>
  <c r="BF20" i="9" s="1"/>
  <c r="AX20" i="9"/>
  <c r="BA20" i="9" s="1"/>
  <c r="AR20" i="9"/>
  <c r="AU20" i="9" s="1"/>
  <c r="AP20" i="9"/>
  <c r="AL20" i="9"/>
  <c r="AO20" i="9" s="1"/>
  <c r="AG20" i="9"/>
  <c r="AJ20" i="9" s="1"/>
  <c r="AB20" i="9"/>
  <c r="AE20" i="9" s="1"/>
  <c r="W20" i="9"/>
  <c r="Z20" i="9" s="1"/>
  <c r="R20" i="9"/>
  <c r="U20" i="9" s="1"/>
  <c r="K20" i="9"/>
  <c r="DC20" i="9" s="1"/>
  <c r="DD20" i="9" s="1"/>
  <c r="DG20" i="9" s="1"/>
  <c r="DM19" i="9"/>
  <c r="CY19" i="9"/>
  <c r="DB19" i="9" s="1"/>
  <c r="CT19" i="9"/>
  <c r="CW19" i="9" s="1"/>
  <c r="CO19" i="9"/>
  <c r="CR19" i="9" s="1"/>
  <c r="CJ19" i="9"/>
  <c r="CM19" i="9" s="1"/>
  <c r="CE19" i="9"/>
  <c r="CH19" i="9" s="1"/>
  <c r="CB19" i="9"/>
  <c r="BX19" i="9"/>
  <c r="CA19" i="9" s="1"/>
  <c r="BS19" i="9"/>
  <c r="BV19" i="9" s="1"/>
  <c r="BN19" i="9"/>
  <c r="BQ19" i="9" s="1"/>
  <c r="BG19" i="9"/>
  <c r="BC19" i="9"/>
  <c r="BF19" i="9" s="1"/>
  <c r="AX19" i="9"/>
  <c r="BA19" i="9" s="1"/>
  <c r="AR19" i="9"/>
  <c r="AU19" i="9" s="1"/>
  <c r="AP19" i="9"/>
  <c r="AL19" i="9"/>
  <c r="AO19" i="9" s="1"/>
  <c r="AG19" i="9"/>
  <c r="AJ19" i="9" s="1"/>
  <c r="AB19" i="9"/>
  <c r="AE19" i="9" s="1"/>
  <c r="W19" i="9"/>
  <c r="Z19" i="9" s="1"/>
  <c r="R19" i="9"/>
  <c r="U19" i="9" s="1"/>
  <c r="K19" i="9"/>
  <c r="O19" i="9" s="1"/>
  <c r="DM18" i="9"/>
  <c r="CY18" i="9"/>
  <c r="DB18" i="9" s="1"/>
  <c r="CT18" i="9"/>
  <c r="CW18" i="9" s="1"/>
  <c r="CO18" i="9"/>
  <c r="CR18" i="9" s="1"/>
  <c r="CJ18" i="9"/>
  <c r="CM18" i="9" s="1"/>
  <c r="CE18" i="9"/>
  <c r="CH18" i="9" s="1"/>
  <c r="CB18" i="9"/>
  <c r="BX18" i="9"/>
  <c r="CA18" i="9" s="1"/>
  <c r="BS18" i="9"/>
  <c r="BV18" i="9" s="1"/>
  <c r="BN18" i="9"/>
  <c r="BQ18" i="9" s="1"/>
  <c r="BG18" i="9"/>
  <c r="BC18" i="9"/>
  <c r="BF18" i="9" s="1"/>
  <c r="AX18" i="9"/>
  <c r="BA18" i="9" s="1"/>
  <c r="AR18" i="9"/>
  <c r="AU18" i="9" s="1"/>
  <c r="AP18" i="9"/>
  <c r="AL18" i="9"/>
  <c r="AO18" i="9" s="1"/>
  <c r="AG18" i="9"/>
  <c r="AJ18" i="9" s="1"/>
  <c r="AB18" i="9"/>
  <c r="AE18" i="9" s="1"/>
  <c r="W18" i="9"/>
  <c r="Z18" i="9" s="1"/>
  <c r="R18" i="9"/>
  <c r="U18" i="9" s="1"/>
  <c r="K18" i="9"/>
  <c r="O18" i="9" s="1"/>
  <c r="DM17" i="9"/>
  <c r="CY17" i="9"/>
  <c r="DB17" i="9" s="1"/>
  <c r="CT17" i="9"/>
  <c r="CW17" i="9" s="1"/>
  <c r="CO17" i="9"/>
  <c r="CR17" i="9" s="1"/>
  <c r="CJ17" i="9"/>
  <c r="CM17" i="9" s="1"/>
  <c r="CE17" i="9"/>
  <c r="CH17" i="9" s="1"/>
  <c r="CB17" i="9"/>
  <c r="BX17" i="9"/>
  <c r="CA17" i="9" s="1"/>
  <c r="BS17" i="9"/>
  <c r="BV17" i="9" s="1"/>
  <c r="BN17" i="9"/>
  <c r="BQ17" i="9" s="1"/>
  <c r="BG17" i="9"/>
  <c r="BC17" i="9"/>
  <c r="BF17" i="9" s="1"/>
  <c r="AX17" i="9"/>
  <c r="BA17" i="9" s="1"/>
  <c r="AR17" i="9"/>
  <c r="AU17" i="9" s="1"/>
  <c r="AP17" i="9"/>
  <c r="AL17" i="9"/>
  <c r="AO17" i="9" s="1"/>
  <c r="AG17" i="9"/>
  <c r="AJ17" i="9" s="1"/>
  <c r="AB17" i="9"/>
  <c r="AE17" i="9" s="1"/>
  <c r="W17" i="9"/>
  <c r="Z17" i="9" s="1"/>
  <c r="R17" i="9"/>
  <c r="U17" i="9" s="1"/>
  <c r="K17" i="9"/>
  <c r="O17" i="9" s="1"/>
  <c r="DM16" i="9"/>
  <c r="CY16" i="9"/>
  <c r="DB16" i="9" s="1"/>
  <c r="CT16" i="9"/>
  <c r="CW16" i="9" s="1"/>
  <c r="CO16" i="9"/>
  <c r="CR16" i="9" s="1"/>
  <c r="CJ16" i="9"/>
  <c r="CM16" i="9" s="1"/>
  <c r="CE16" i="9"/>
  <c r="CH16" i="9" s="1"/>
  <c r="CB16" i="9"/>
  <c r="BX16" i="9"/>
  <c r="CA16" i="9" s="1"/>
  <c r="BS16" i="9"/>
  <c r="BV16" i="9" s="1"/>
  <c r="BN16" i="9"/>
  <c r="BQ16" i="9" s="1"/>
  <c r="BG16" i="9"/>
  <c r="BC16" i="9"/>
  <c r="BF16" i="9" s="1"/>
  <c r="AX16" i="9"/>
  <c r="BA16" i="9" s="1"/>
  <c r="AR16" i="9"/>
  <c r="AU16" i="9" s="1"/>
  <c r="AP16" i="9"/>
  <c r="AL16" i="9"/>
  <c r="AO16" i="9" s="1"/>
  <c r="AG16" i="9"/>
  <c r="AJ16" i="9" s="1"/>
  <c r="AB16" i="9"/>
  <c r="AE16" i="9" s="1"/>
  <c r="W16" i="9"/>
  <c r="Z16" i="9" s="1"/>
  <c r="R16" i="9"/>
  <c r="U16" i="9" s="1"/>
  <c r="K16" i="9"/>
  <c r="DC16" i="9" s="1"/>
  <c r="DD16" i="9" s="1"/>
  <c r="DG16" i="9" s="1"/>
  <c r="K15" i="9"/>
  <c r="DM9" i="9"/>
  <c r="CY9" i="9"/>
  <c r="DB9" i="9" s="1"/>
  <c r="CT9" i="9"/>
  <c r="CW9" i="9" s="1"/>
  <c r="CO9" i="9"/>
  <c r="CR9" i="9" s="1"/>
  <c r="CJ9" i="9"/>
  <c r="CM9" i="9" s="1"/>
  <c r="CE9" i="9"/>
  <c r="CH9" i="9" s="1"/>
  <c r="CB9" i="9"/>
  <c r="BX9" i="9"/>
  <c r="CA9" i="9" s="1"/>
  <c r="BS9" i="9"/>
  <c r="BV9" i="9" s="1"/>
  <c r="BN9" i="9"/>
  <c r="BQ9" i="9" s="1"/>
  <c r="BG9" i="9"/>
  <c r="BC9" i="9"/>
  <c r="BF9" i="9" s="1"/>
  <c r="AX9" i="9"/>
  <c r="BA9" i="9" s="1"/>
  <c r="AR9" i="9"/>
  <c r="AU9" i="9" s="1"/>
  <c r="AP9" i="9"/>
  <c r="AL9" i="9"/>
  <c r="AO9" i="9" s="1"/>
  <c r="AG9" i="9"/>
  <c r="AJ9" i="9" s="1"/>
  <c r="AB9" i="9"/>
  <c r="AE9" i="9" s="1"/>
  <c r="W9" i="9"/>
  <c r="Z9" i="9" s="1"/>
  <c r="R9" i="9"/>
  <c r="U9" i="9" s="1"/>
  <c r="K9" i="9"/>
  <c r="DC9" i="9" s="1"/>
  <c r="DD9" i="9" s="1"/>
  <c r="DG9" i="9" s="1"/>
  <c r="K10" i="9"/>
  <c r="DC10" i="9" s="1"/>
  <c r="DD10" i="9" s="1"/>
  <c r="DG10" i="9" s="1"/>
  <c r="DM14" i="9"/>
  <c r="CY14" i="9"/>
  <c r="DB14" i="9" s="1"/>
  <c r="CT14" i="9"/>
  <c r="CW14" i="9" s="1"/>
  <c r="CO14" i="9"/>
  <c r="CR14" i="9" s="1"/>
  <c r="CJ14" i="9"/>
  <c r="CM14" i="9" s="1"/>
  <c r="CE14" i="9"/>
  <c r="CH14" i="9" s="1"/>
  <c r="CB14" i="9"/>
  <c r="BX14" i="9"/>
  <c r="CA14" i="9" s="1"/>
  <c r="BS14" i="9"/>
  <c r="BV14" i="9" s="1"/>
  <c r="BN14" i="9"/>
  <c r="BQ14" i="9" s="1"/>
  <c r="BG14" i="9"/>
  <c r="BC14" i="9"/>
  <c r="BF14" i="9" s="1"/>
  <c r="AX14" i="9"/>
  <c r="BA14" i="9" s="1"/>
  <c r="AR14" i="9"/>
  <c r="AU14" i="9" s="1"/>
  <c r="AP14" i="9"/>
  <c r="AL14" i="9"/>
  <c r="AO14" i="9" s="1"/>
  <c r="AG14" i="9"/>
  <c r="AJ14" i="9" s="1"/>
  <c r="AB14" i="9"/>
  <c r="AE14" i="9" s="1"/>
  <c r="W14" i="9"/>
  <c r="Z14" i="9" s="1"/>
  <c r="R14" i="9"/>
  <c r="U14" i="9" s="1"/>
  <c r="K14" i="9"/>
  <c r="DC14" i="9" s="1"/>
  <c r="DD14" i="9" s="1"/>
  <c r="DG14" i="9" s="1"/>
  <c r="DM13" i="9"/>
  <c r="CY13" i="9"/>
  <c r="DB13" i="9" s="1"/>
  <c r="CT13" i="9"/>
  <c r="CW13" i="9" s="1"/>
  <c r="CO13" i="9"/>
  <c r="CR13" i="9" s="1"/>
  <c r="CJ13" i="9"/>
  <c r="CM13" i="9" s="1"/>
  <c r="CE13" i="9"/>
  <c r="CH13" i="9" s="1"/>
  <c r="CB13" i="9"/>
  <c r="BX13" i="9"/>
  <c r="CA13" i="9" s="1"/>
  <c r="BS13" i="9"/>
  <c r="BV13" i="9" s="1"/>
  <c r="BN13" i="9"/>
  <c r="BQ13" i="9" s="1"/>
  <c r="K13" i="9"/>
  <c r="DC13" i="9" s="1"/>
  <c r="DD13" i="9" s="1"/>
  <c r="DG13" i="9" s="1"/>
  <c r="CJ12" i="9"/>
  <c r="DM12" i="9"/>
  <c r="CY12" i="9"/>
  <c r="DB12" i="9" s="1"/>
  <c r="CT12" i="9"/>
  <c r="CO12" i="9"/>
  <c r="CE12" i="9"/>
  <c r="CB12" i="9"/>
  <c r="BX12" i="9"/>
  <c r="BS12" i="9"/>
  <c r="BN12" i="9"/>
  <c r="BQ12" i="9" s="1"/>
  <c r="BG12" i="9"/>
  <c r="BC12" i="9"/>
  <c r="AX12" i="9"/>
  <c r="BA12" i="9" s="1"/>
  <c r="AR12" i="9"/>
  <c r="AP12" i="9"/>
  <c r="AL12" i="9"/>
  <c r="AO12" i="9" s="1"/>
  <c r="AG12" i="9"/>
  <c r="AJ12" i="9" s="1"/>
  <c r="AB12" i="9"/>
  <c r="AE12" i="9" s="1"/>
  <c r="W12" i="9"/>
  <c r="R12" i="9"/>
  <c r="U12" i="9" s="1"/>
  <c r="K12" i="9"/>
  <c r="DL48" i="9" l="1"/>
  <c r="DN48" i="9" s="1"/>
  <c r="DO48" i="9" s="1"/>
  <c r="DQ48" i="9" s="1"/>
  <c r="DL35" i="9"/>
  <c r="DN35" i="9" s="1"/>
  <c r="DO35" i="9" s="1"/>
  <c r="DQ35" i="9" s="1"/>
  <c r="DL45" i="9"/>
  <c r="DN45" i="9" s="1"/>
  <c r="DO45" i="9" s="1"/>
  <c r="DQ45" i="9" s="1"/>
  <c r="CA12" i="9"/>
  <c r="AU12" i="9"/>
  <c r="CH12" i="9"/>
  <c r="CR12" i="9"/>
  <c r="BF12" i="9"/>
  <c r="CW12" i="9"/>
  <c r="DC12" i="9"/>
  <c r="DD12" i="9" s="1"/>
  <c r="DG12" i="9" s="1"/>
  <c r="Z12" i="9"/>
  <c r="O15" i="9"/>
  <c r="DC15" i="9"/>
  <c r="DD15" i="9" s="1"/>
  <c r="DG15" i="9" s="1"/>
  <c r="DH15" i="9" s="1"/>
  <c r="DK15" i="9" s="1"/>
  <c r="BV12" i="9"/>
  <c r="CM12" i="9"/>
  <c r="O54" i="9"/>
  <c r="DC54" i="9"/>
  <c r="DD54" i="9" s="1"/>
  <c r="DG54" i="9" s="1"/>
  <c r="DH54" i="9" s="1"/>
  <c r="DK54" i="9" s="1"/>
  <c r="DH55" i="9"/>
  <c r="DK55" i="9" s="1"/>
  <c r="CC50" i="9"/>
  <c r="DJ50" i="9" s="1"/>
  <c r="AV51" i="9"/>
  <c r="DI51" i="9" s="1"/>
  <c r="CC53" i="9"/>
  <c r="DJ53" i="9" s="1"/>
  <c r="AV53" i="9"/>
  <c r="DI53" i="9" s="1"/>
  <c r="AV50" i="9"/>
  <c r="DI50" i="9" s="1"/>
  <c r="CC55" i="9"/>
  <c r="DJ55" i="9" s="1"/>
  <c r="CC52" i="9"/>
  <c r="DJ52" i="9" s="1"/>
  <c r="AV55" i="9"/>
  <c r="DI55" i="9" s="1"/>
  <c r="DL55" i="9" s="1"/>
  <c r="AV52" i="9"/>
  <c r="DI52" i="9" s="1"/>
  <c r="DL52" i="9" s="1"/>
  <c r="DH51" i="9"/>
  <c r="DK51" i="9" s="1"/>
  <c r="CC51" i="9"/>
  <c r="DJ51" i="9" s="1"/>
  <c r="DC53" i="9"/>
  <c r="DD53" i="9" s="1"/>
  <c r="DG53" i="9" s="1"/>
  <c r="DH53" i="9" s="1"/>
  <c r="DK53" i="9" s="1"/>
  <c r="O51" i="9"/>
  <c r="DH49" i="9"/>
  <c r="DK49" i="9" s="1"/>
  <c r="CC49" i="9"/>
  <c r="DJ49" i="9" s="1"/>
  <c r="AV49" i="9"/>
  <c r="DI49" i="9" s="1"/>
  <c r="DL49" i="9" s="1"/>
  <c r="CC47" i="9"/>
  <c r="DJ47" i="9" s="1"/>
  <c r="AV47" i="9"/>
  <c r="DI47" i="9" s="1"/>
  <c r="CC46" i="9"/>
  <c r="DJ46" i="9" s="1"/>
  <c r="AV46" i="9"/>
  <c r="DI46" i="9" s="1"/>
  <c r="DC38" i="9"/>
  <c r="DD38" i="9" s="1"/>
  <c r="DG38" i="9" s="1"/>
  <c r="DH38" i="9" s="1"/>
  <c r="DK38" i="9" s="1"/>
  <c r="CC44" i="9"/>
  <c r="DJ44" i="9" s="1"/>
  <c r="AV44" i="9"/>
  <c r="DI44" i="9" s="1"/>
  <c r="DL44" i="9" s="1"/>
  <c r="CC43" i="9"/>
  <c r="DJ43" i="9" s="1"/>
  <c r="AV43" i="9"/>
  <c r="DI43" i="9" s="1"/>
  <c r="DL43" i="9" s="1"/>
  <c r="DH32" i="9"/>
  <c r="DK32" i="9" s="1"/>
  <c r="O9" i="9"/>
  <c r="DH13" i="9"/>
  <c r="DK13" i="9" s="1"/>
  <c r="O25" i="9"/>
  <c r="O55" i="9"/>
  <c r="AV9" i="9"/>
  <c r="DI9" i="9" s="1"/>
  <c r="DC43" i="9"/>
  <c r="DD43" i="9" s="1"/>
  <c r="DG43" i="9" s="1"/>
  <c r="DH43" i="9" s="1"/>
  <c r="DK43" i="9" s="1"/>
  <c r="DC47" i="9"/>
  <c r="DD47" i="9" s="1"/>
  <c r="DG47" i="9" s="1"/>
  <c r="DH47" i="9" s="1"/>
  <c r="DK47" i="9" s="1"/>
  <c r="O49" i="9"/>
  <c r="CC38" i="9"/>
  <c r="DJ38" i="9" s="1"/>
  <c r="O39" i="9"/>
  <c r="DH31" i="9"/>
  <c r="DK31" i="9" s="1"/>
  <c r="O10" i="9"/>
  <c r="O31" i="9"/>
  <c r="DH37" i="9"/>
  <c r="DK37" i="9" s="1"/>
  <c r="DC41" i="9"/>
  <c r="DD41" i="9" s="1"/>
  <c r="DG41" i="9" s="1"/>
  <c r="DH41" i="9" s="1"/>
  <c r="DK41" i="9" s="1"/>
  <c r="DC17" i="9"/>
  <c r="DD17" i="9" s="1"/>
  <c r="DG17" i="9" s="1"/>
  <c r="DH17" i="9" s="1"/>
  <c r="DK17" i="9" s="1"/>
  <c r="DC18" i="9"/>
  <c r="DD18" i="9" s="1"/>
  <c r="DG18" i="9" s="1"/>
  <c r="O21" i="9"/>
  <c r="O27" i="9"/>
  <c r="DH20" i="9"/>
  <c r="DK20" i="9" s="1"/>
  <c r="CC26" i="9"/>
  <c r="DJ26" i="9" s="1"/>
  <c r="DH9" i="9"/>
  <c r="DK9" i="9" s="1"/>
  <c r="CC37" i="9"/>
  <c r="DJ37" i="9" s="1"/>
  <c r="AV38" i="9"/>
  <c r="DI38" i="9" s="1"/>
  <c r="AV33" i="9"/>
  <c r="DI33" i="9" s="1"/>
  <c r="O34" i="9"/>
  <c r="O35" i="9"/>
  <c r="DC36" i="9"/>
  <c r="DD36" i="9" s="1"/>
  <c r="DG36" i="9" s="1"/>
  <c r="DH36" i="9" s="1"/>
  <c r="DK36" i="9" s="1"/>
  <c r="O37" i="9"/>
  <c r="DC33" i="9"/>
  <c r="DD33" i="9" s="1"/>
  <c r="DG33" i="9" s="1"/>
  <c r="DH33" i="9" s="1"/>
  <c r="DK33" i="9" s="1"/>
  <c r="DH34" i="9"/>
  <c r="DK34" i="9" s="1"/>
  <c r="DH39" i="9"/>
  <c r="DK39" i="9" s="1"/>
  <c r="CC41" i="9"/>
  <c r="DJ41" i="9" s="1"/>
  <c r="AV36" i="9"/>
  <c r="DI36" i="9" s="1"/>
  <c r="CC36" i="9"/>
  <c r="DJ36" i="9" s="1"/>
  <c r="AV37" i="9"/>
  <c r="DI37" i="9" s="1"/>
  <c r="CC33" i="9"/>
  <c r="DJ33" i="9" s="1"/>
  <c r="AV34" i="9"/>
  <c r="DI34" i="9" s="1"/>
  <c r="CC34" i="9"/>
  <c r="DJ34" i="9" s="1"/>
  <c r="CC39" i="9"/>
  <c r="DJ39" i="9" s="1"/>
  <c r="AV40" i="9"/>
  <c r="DI40" i="9" s="1"/>
  <c r="CC40" i="9"/>
  <c r="DJ40" i="9" s="1"/>
  <c r="AV39" i="9"/>
  <c r="DI39" i="9" s="1"/>
  <c r="DL39" i="9" s="1"/>
  <c r="AV41" i="9"/>
  <c r="DI41" i="9" s="1"/>
  <c r="AV42" i="9"/>
  <c r="DI42" i="9" s="1"/>
  <c r="CC42" i="9"/>
  <c r="DJ42" i="9" s="1"/>
  <c r="CC32" i="9"/>
  <c r="DJ32" i="9" s="1"/>
  <c r="AV32" i="9"/>
  <c r="DI32" i="9" s="1"/>
  <c r="O32" i="9"/>
  <c r="CC25" i="9"/>
  <c r="DJ25" i="9" s="1"/>
  <c r="CC29" i="9"/>
  <c r="DJ29" i="9" s="1"/>
  <c r="O29" i="9"/>
  <c r="O30" i="9"/>
  <c r="DH29" i="9"/>
  <c r="DK29" i="9" s="1"/>
  <c r="O28" i="9"/>
  <c r="O26" i="9"/>
  <c r="CC31" i="9"/>
  <c r="DJ31" i="9" s="1"/>
  <c r="CC27" i="9"/>
  <c r="DJ27" i="9" s="1"/>
  <c r="DH25" i="9"/>
  <c r="DK25" i="9" s="1"/>
  <c r="CC30" i="9"/>
  <c r="DJ30" i="9" s="1"/>
  <c r="DH26" i="9"/>
  <c r="DK26" i="9" s="1"/>
  <c r="DH27" i="9"/>
  <c r="DK27" i="9" s="1"/>
  <c r="AV30" i="9"/>
  <c r="DI30" i="9" s="1"/>
  <c r="DL30" i="9" s="1"/>
  <c r="AV28" i="9"/>
  <c r="DI28" i="9" s="1"/>
  <c r="CC28" i="9"/>
  <c r="DJ28" i="9" s="1"/>
  <c r="DH30" i="9"/>
  <c r="DK30" i="9" s="1"/>
  <c r="AV26" i="9"/>
  <c r="DI26" i="9" s="1"/>
  <c r="AV27" i="9"/>
  <c r="DI27" i="9" s="1"/>
  <c r="DH28" i="9"/>
  <c r="DK28" i="9" s="1"/>
  <c r="AV25" i="9"/>
  <c r="DI25" i="9" s="1"/>
  <c r="DL25" i="9" s="1"/>
  <c r="AV29" i="9"/>
  <c r="DI29" i="9" s="1"/>
  <c r="DL29" i="9" s="1"/>
  <c r="AV31" i="9"/>
  <c r="DI31" i="9" s="1"/>
  <c r="CC24" i="9"/>
  <c r="DJ24" i="9" s="1"/>
  <c r="DH24" i="9"/>
  <c r="DK24" i="9" s="1"/>
  <c r="AV24" i="9"/>
  <c r="DI24" i="9" s="1"/>
  <c r="DL24" i="9" s="1"/>
  <c r="O24" i="9"/>
  <c r="CC23" i="9"/>
  <c r="DJ23" i="9" s="1"/>
  <c r="AV23" i="9"/>
  <c r="DI23" i="9" s="1"/>
  <c r="DH23" i="9"/>
  <c r="DK23" i="9" s="1"/>
  <c r="O23" i="9"/>
  <c r="CC22" i="9"/>
  <c r="DJ22" i="9" s="1"/>
  <c r="AV22" i="9"/>
  <c r="DI22" i="9" s="1"/>
  <c r="DH22" i="9"/>
  <c r="DK22" i="9" s="1"/>
  <c r="O22" i="9"/>
  <c r="DH21" i="9"/>
  <c r="DK21" i="9" s="1"/>
  <c r="CC21" i="9"/>
  <c r="DJ21" i="9" s="1"/>
  <c r="AV21" i="9"/>
  <c r="DI21" i="9" s="1"/>
  <c r="DL21" i="9" s="1"/>
  <c r="DC40" i="9"/>
  <c r="DD40" i="9" s="1"/>
  <c r="DG40" i="9" s="1"/>
  <c r="DH40" i="9" s="1"/>
  <c r="DK40" i="9" s="1"/>
  <c r="DC44" i="9"/>
  <c r="DD44" i="9" s="1"/>
  <c r="DG44" i="9" s="1"/>
  <c r="DH44" i="9" s="1"/>
  <c r="DK44" i="9" s="1"/>
  <c r="DC52" i="9"/>
  <c r="DD52" i="9" s="1"/>
  <c r="DG52" i="9" s="1"/>
  <c r="DH52" i="9" s="1"/>
  <c r="DK52" i="9" s="1"/>
  <c r="DC42" i="9"/>
  <c r="DD42" i="9" s="1"/>
  <c r="DG42" i="9" s="1"/>
  <c r="DH42" i="9" s="1"/>
  <c r="DK42" i="9" s="1"/>
  <c r="DC46" i="9"/>
  <c r="DD46" i="9" s="1"/>
  <c r="DG46" i="9" s="1"/>
  <c r="DH46" i="9" s="1"/>
  <c r="DK46" i="9" s="1"/>
  <c r="DC50" i="9"/>
  <c r="DD50" i="9" s="1"/>
  <c r="DG50" i="9" s="1"/>
  <c r="DH50" i="9" s="1"/>
  <c r="DK50" i="9" s="1"/>
  <c r="CC20" i="9"/>
  <c r="DJ20" i="9" s="1"/>
  <c r="AV20" i="9"/>
  <c r="DI20" i="9" s="1"/>
  <c r="DL20" i="9" s="1"/>
  <c r="O20" i="9"/>
  <c r="AV19" i="9"/>
  <c r="DI19" i="9" s="1"/>
  <c r="CC19" i="9"/>
  <c r="DJ19" i="9" s="1"/>
  <c r="DH18" i="9"/>
  <c r="DK18" i="9" s="1"/>
  <c r="CC18" i="9"/>
  <c r="DJ18" i="9" s="1"/>
  <c r="AV18" i="9"/>
  <c r="DI18" i="9" s="1"/>
  <c r="DL18" i="9" s="1"/>
  <c r="AV17" i="9"/>
  <c r="DI17" i="9" s="1"/>
  <c r="CC17" i="9"/>
  <c r="DJ17" i="9" s="1"/>
  <c r="DH16" i="9"/>
  <c r="DK16" i="9" s="1"/>
  <c r="CC16" i="9"/>
  <c r="DJ16" i="9" s="1"/>
  <c r="AV16" i="9"/>
  <c r="DI16" i="9" s="1"/>
  <c r="O16" i="9"/>
  <c r="DC19" i="9"/>
  <c r="DD19" i="9" s="1"/>
  <c r="DG19" i="9" s="1"/>
  <c r="DH19" i="9" s="1"/>
  <c r="DK19" i="9" s="1"/>
  <c r="CC9" i="9"/>
  <c r="DJ9" i="9" s="1"/>
  <c r="CC14" i="9"/>
  <c r="DJ14" i="9" s="1"/>
  <c r="DH14" i="9"/>
  <c r="DK14" i="9" s="1"/>
  <c r="AV14" i="9"/>
  <c r="DI14" i="9" s="1"/>
  <c r="O14" i="9"/>
  <c r="CC13" i="9"/>
  <c r="DJ13" i="9" s="1"/>
  <c r="DI13" i="9"/>
  <c r="DL13" i="9" s="1"/>
  <c r="O13" i="9"/>
  <c r="DH12" i="9"/>
  <c r="DK12" i="9" s="1"/>
  <c r="CC12" i="9"/>
  <c r="DJ12" i="9" s="1"/>
  <c r="AV12" i="9"/>
  <c r="DI12" i="9" s="1"/>
  <c r="DL12" i="9" s="1"/>
  <c r="O12" i="9"/>
  <c r="BH4" i="9"/>
  <c r="BI4" i="9" s="1"/>
  <c r="BJ4" i="9" s="1"/>
  <c r="DL50" i="9" l="1"/>
  <c r="DL19" i="9"/>
  <c r="DL40" i="9"/>
  <c r="DL33" i="9"/>
  <c r="DL15" i="9"/>
  <c r="DN15" i="9" s="1"/>
  <c r="DO15" i="9" s="1"/>
  <c r="DQ15" i="9" s="1"/>
  <c r="DL26" i="9"/>
  <c r="DL14" i="9"/>
  <c r="DN14" i="9" s="1"/>
  <c r="DO14" i="9" s="1"/>
  <c r="DQ14" i="9" s="1"/>
  <c r="DL31" i="9"/>
  <c r="DL28" i="9"/>
  <c r="DL32" i="9"/>
  <c r="DL38" i="9"/>
  <c r="DL47" i="9"/>
  <c r="DL51" i="9"/>
  <c r="DL23" i="9"/>
  <c r="DL34" i="9"/>
  <c r="DN34" i="9" s="1"/>
  <c r="DO34" i="9" s="1"/>
  <c r="DQ34" i="9" s="1"/>
  <c r="DL42" i="9"/>
  <c r="DL17" i="9"/>
  <c r="DL54" i="9"/>
  <c r="DN54" i="9" s="1"/>
  <c r="DO54" i="9" s="1"/>
  <c r="DQ54" i="9" s="1"/>
  <c r="DL27" i="9"/>
  <c r="DL41" i="9"/>
  <c r="DL37" i="9"/>
  <c r="DN37" i="9" s="1"/>
  <c r="DO37" i="9" s="1"/>
  <c r="DQ37" i="9" s="1"/>
  <c r="DL16" i="9"/>
  <c r="DN16" i="9" s="1"/>
  <c r="DO16" i="9" s="1"/>
  <c r="DQ16" i="9" s="1"/>
  <c r="DL22" i="9"/>
  <c r="DL36" i="9"/>
  <c r="DL46" i="9"/>
  <c r="DL53" i="9"/>
  <c r="DN55" i="9"/>
  <c r="DO55" i="9" s="1"/>
  <c r="DQ55" i="9" s="1"/>
  <c r="DN51" i="9"/>
  <c r="DO51" i="9" s="1"/>
  <c r="DQ51" i="9" s="1"/>
  <c r="DN53" i="9"/>
  <c r="DO53" i="9" s="1"/>
  <c r="DQ53" i="9" s="1"/>
  <c r="DN50" i="9"/>
  <c r="DO50" i="9" s="1"/>
  <c r="DQ50" i="9" s="1"/>
  <c r="DN52" i="9"/>
  <c r="DO52" i="9" s="1"/>
  <c r="DQ52" i="9" s="1"/>
  <c r="DN49" i="9"/>
  <c r="DO49" i="9" s="1"/>
  <c r="DQ49" i="9" s="1"/>
  <c r="DN47" i="9"/>
  <c r="DO47" i="9" s="1"/>
  <c r="DQ47" i="9" s="1"/>
  <c r="DN46" i="9"/>
  <c r="DO46" i="9" s="1"/>
  <c r="DQ46" i="9" s="1"/>
  <c r="DN44" i="9"/>
  <c r="DO44" i="9" s="1"/>
  <c r="DQ44" i="9" s="1"/>
  <c r="DN43" i="9"/>
  <c r="DO43" i="9" s="1"/>
  <c r="DQ43" i="9" s="1"/>
  <c r="DL9" i="9"/>
  <c r="DN9" i="9" s="1"/>
  <c r="DO9" i="9" s="1"/>
  <c r="DN38" i="9"/>
  <c r="DO38" i="9" s="1"/>
  <c r="DQ38" i="9" s="1"/>
  <c r="DN42" i="9"/>
  <c r="DO42" i="9" s="1"/>
  <c r="DQ42" i="9" s="1"/>
  <c r="DN33" i="9"/>
  <c r="DO33" i="9" s="1"/>
  <c r="DQ33" i="9" s="1"/>
  <c r="DN39" i="9"/>
  <c r="DO39" i="9" s="1"/>
  <c r="DQ39" i="9" s="1"/>
  <c r="DN41" i="9"/>
  <c r="DO41" i="9" s="1"/>
  <c r="DQ41" i="9" s="1"/>
  <c r="DN40" i="9"/>
  <c r="DO40" i="9" s="1"/>
  <c r="DQ40" i="9" s="1"/>
  <c r="DN36" i="9"/>
  <c r="DO36" i="9" s="1"/>
  <c r="DQ36" i="9" s="1"/>
  <c r="DN32" i="9"/>
  <c r="DO32" i="9" s="1"/>
  <c r="DQ32" i="9" s="1"/>
  <c r="DN25" i="9"/>
  <c r="DO25" i="9" s="1"/>
  <c r="DQ25" i="9" s="1"/>
  <c r="DN30" i="9"/>
  <c r="DO30" i="9" s="1"/>
  <c r="DQ30" i="9" s="1"/>
  <c r="DN29" i="9"/>
  <c r="DO29" i="9" s="1"/>
  <c r="DQ29" i="9" s="1"/>
  <c r="DN31" i="9"/>
  <c r="DO31" i="9" s="1"/>
  <c r="DQ31" i="9" s="1"/>
  <c r="DN27" i="9"/>
  <c r="DO27" i="9" s="1"/>
  <c r="DQ27" i="9" s="1"/>
  <c r="DN26" i="9"/>
  <c r="DO26" i="9" s="1"/>
  <c r="DQ26" i="9" s="1"/>
  <c r="DN28" i="9"/>
  <c r="DO28" i="9" s="1"/>
  <c r="DQ28" i="9" s="1"/>
  <c r="DN24" i="9"/>
  <c r="DO24" i="9" s="1"/>
  <c r="DQ24" i="9" s="1"/>
  <c r="DN23" i="9"/>
  <c r="DO23" i="9" s="1"/>
  <c r="DQ23" i="9" s="1"/>
  <c r="DN22" i="9"/>
  <c r="DO22" i="9" s="1"/>
  <c r="DQ22" i="9" s="1"/>
  <c r="DN21" i="9"/>
  <c r="DO21" i="9" s="1"/>
  <c r="DQ21" i="9" s="1"/>
  <c r="DN20" i="9"/>
  <c r="DO20" i="9" s="1"/>
  <c r="DQ20" i="9" s="1"/>
  <c r="DN19" i="9"/>
  <c r="DO19" i="9" s="1"/>
  <c r="DQ19" i="9" s="1"/>
  <c r="DN18" i="9"/>
  <c r="DO18" i="9" s="1"/>
  <c r="DQ18" i="9" s="1"/>
  <c r="DN17" i="9"/>
  <c r="DO17" i="9" s="1"/>
  <c r="DQ17" i="9" s="1"/>
  <c r="DN13" i="9"/>
  <c r="DO13" i="9" s="1"/>
  <c r="DQ13" i="9" s="1"/>
  <c r="DN12" i="9"/>
  <c r="DO12" i="9" s="1"/>
  <c r="DQ12" i="9" s="1"/>
  <c r="DS55" i="9" l="1"/>
  <c r="DT21" i="9"/>
  <c r="DT31" i="9"/>
  <c r="DT41" i="9"/>
  <c r="CX4" i="9" l="1"/>
  <c r="CY4" i="9" s="1"/>
  <c r="CZ4" i="9" s="1"/>
  <c r="CS4" i="9"/>
  <c r="CT4" i="9" s="1"/>
  <c r="CU4" i="9" s="1"/>
  <c r="CN4" i="9"/>
  <c r="CO4" i="9" s="1"/>
  <c r="CP4" i="9" s="1"/>
  <c r="CI4" i="9"/>
  <c r="CJ4" i="9" s="1"/>
  <c r="CK4" i="9" s="1"/>
  <c r="BW4" i="9"/>
  <c r="BX4" i="9" s="1"/>
  <c r="BY4" i="9" s="1"/>
  <c r="BR4" i="9"/>
  <c r="BS4" i="9" s="1"/>
  <c r="BT4" i="9" s="1"/>
  <c r="BM4" i="9"/>
  <c r="BN4" i="9" s="1"/>
  <c r="BO4" i="9" s="1"/>
  <c r="BB4" i="9"/>
  <c r="BC4" i="9" s="1"/>
  <c r="BD4" i="9" s="1"/>
  <c r="AK4" i="9"/>
  <c r="AL4" i="9" s="1"/>
  <c r="AM4" i="9" s="1"/>
  <c r="AF4" i="9"/>
  <c r="AG4" i="9" s="1"/>
  <c r="AH4" i="9" s="1"/>
  <c r="AA4" i="9"/>
  <c r="AB4" i="9" s="1"/>
  <c r="AC4" i="9" s="1"/>
  <c r="V4" i="9"/>
  <c r="W4" i="9" s="1"/>
  <c r="X4" i="9" s="1"/>
  <c r="Q4" i="9" l="1"/>
  <c r="R4" i="9" s="1"/>
  <c r="S4" i="9" s="1"/>
  <c r="CD4" i="9"/>
  <c r="CE4" i="9" s="1"/>
  <c r="AW4" i="9"/>
  <c r="AX4" i="9" s="1"/>
  <c r="AY4" i="9" s="1"/>
  <c r="O4" i="9" l="1"/>
  <c r="CF4" i="9"/>
  <c r="DC4" i="9" l="1"/>
  <c r="DD4" i="9" s="1"/>
  <c r="DE4" i="9" l="1"/>
  <c r="DH4" i="9" s="1"/>
  <c r="DG4" i="9"/>
</calcChain>
</file>

<file path=xl/sharedStrings.xml><?xml version="1.0" encoding="utf-8"?>
<sst xmlns="http://schemas.openxmlformats.org/spreadsheetml/2006/main" count="357" uniqueCount="168">
  <si>
    <t>작업조</t>
    <phoneticPr fontId="1" type="noConversion"/>
  </si>
  <si>
    <t>구  분</t>
    <phoneticPr fontId="1" type="noConversion"/>
  </si>
  <si>
    <t>시점</t>
    <phoneticPr fontId="1" type="noConversion"/>
  </si>
  <si>
    <t>종점</t>
    <phoneticPr fontId="1" type="noConversion"/>
  </si>
  <si>
    <t>일 작업량</t>
    <phoneticPr fontId="1" type="noConversion"/>
  </si>
  <si>
    <t>소요기간</t>
    <phoneticPr fontId="1" type="noConversion"/>
  </si>
  <si>
    <t>수량</t>
    <phoneticPr fontId="1" type="noConversion"/>
  </si>
  <si>
    <t>양생</t>
    <phoneticPr fontId="1" type="noConversion"/>
  </si>
  <si>
    <t>시스템 공동구</t>
    <phoneticPr fontId="1" type="noConversion"/>
  </si>
  <si>
    <t>기초콘크리트(HSB)</t>
    <phoneticPr fontId="1" type="noConversion"/>
  </si>
  <si>
    <t>보조기층</t>
    <phoneticPr fontId="1" type="noConversion"/>
  </si>
  <si>
    <t>기층</t>
    <phoneticPr fontId="1" type="noConversion"/>
  </si>
  <si>
    <t>동상방지층</t>
    <phoneticPr fontId="1" type="noConversion"/>
  </si>
  <si>
    <t>프라임코팅/택코팅</t>
    <phoneticPr fontId="1" type="noConversion"/>
  </si>
  <si>
    <t>중간층/표층</t>
    <phoneticPr fontId="1" type="noConversion"/>
  </si>
  <si>
    <t>STA.</t>
    <phoneticPr fontId="1" type="noConversion"/>
  </si>
  <si>
    <t>구간</t>
    <phoneticPr fontId="1" type="noConversion"/>
  </si>
  <si>
    <t>콘크리트 종류</t>
    <phoneticPr fontId="1" type="noConversion"/>
  </si>
  <si>
    <t>조강</t>
    <phoneticPr fontId="1" type="noConversion"/>
  </si>
  <si>
    <t>양생(G)</t>
    <phoneticPr fontId="1" type="noConversion"/>
  </si>
  <si>
    <t>철근조립</t>
    <phoneticPr fontId="1" type="noConversion"/>
  </si>
  <si>
    <t>동탄 도시철도 건설공사(1단계)</t>
    <phoneticPr fontId="1" type="noConversion"/>
  </si>
  <si>
    <t>1공구 일반구간 공기산출 근거</t>
    <phoneticPr fontId="1" type="noConversion"/>
  </si>
  <si>
    <t>2026.07.18(토)</t>
    <phoneticPr fontId="1" type="noConversion"/>
  </si>
  <si>
    <t>콘크리트 도상(TCL)</t>
    <phoneticPr fontId="1" type="noConversion"/>
  </si>
  <si>
    <t>포장</t>
    <phoneticPr fontId="1" type="noConversion"/>
  </si>
  <si>
    <t>순서</t>
    <phoneticPr fontId="1" type="noConversion"/>
  </si>
  <si>
    <t>위탁지장물</t>
    <phoneticPr fontId="1" type="noConversion"/>
  </si>
  <si>
    <t>노반 공사</t>
    <phoneticPr fontId="1" type="noConversion"/>
  </si>
  <si>
    <t>아스팔트 깨기</t>
    <phoneticPr fontId="1" type="noConversion"/>
  </si>
  <si>
    <t>거푸집</t>
    <phoneticPr fontId="1" type="noConversion"/>
  </si>
  <si>
    <t>궤도공사</t>
    <phoneticPr fontId="1" type="noConversion"/>
  </si>
  <si>
    <t>노반
합계</t>
    <phoneticPr fontId="1" type="noConversion"/>
  </si>
  <si>
    <t>거푸집</t>
    <phoneticPr fontId="1" type="noConversion"/>
  </si>
  <si>
    <t>강화노반</t>
    <phoneticPr fontId="1" type="noConversion"/>
  </si>
  <si>
    <t>양생</t>
    <phoneticPr fontId="1" type="noConversion"/>
  </si>
  <si>
    <t>교통처리</t>
    <phoneticPr fontId="1" type="noConversion"/>
  </si>
  <si>
    <t>포장기타(가설물 해체 등 포함)</t>
    <phoneticPr fontId="1" type="noConversion"/>
  </si>
  <si>
    <t>궤도
합계</t>
    <phoneticPr fontId="1" type="noConversion"/>
  </si>
  <si>
    <t>포장
합계</t>
    <phoneticPr fontId="1" type="noConversion"/>
  </si>
  <si>
    <t>노반</t>
    <phoneticPr fontId="1" type="noConversion"/>
  </si>
  <si>
    <t>궤도</t>
    <phoneticPr fontId="1" type="noConversion"/>
  </si>
  <si>
    <t>포장</t>
    <phoneticPr fontId="1" type="noConversion"/>
  </si>
  <si>
    <t>No</t>
    <phoneticPr fontId="1" type="noConversion"/>
  </si>
  <si>
    <t>연장
(구간)</t>
    <phoneticPr fontId="1" type="noConversion"/>
  </si>
  <si>
    <t>소요공기 정리
(수식재정리)</t>
    <phoneticPr fontId="1" type="noConversion"/>
  </si>
  <si>
    <t>단계수량</t>
    <phoneticPr fontId="1" type="noConversion"/>
  </si>
  <si>
    <t>단계수량</t>
    <phoneticPr fontId="1" type="noConversion"/>
  </si>
  <si>
    <t>단계별
합계</t>
    <phoneticPr fontId="1" type="noConversion"/>
  </si>
  <si>
    <t>공법</t>
    <phoneticPr fontId="1" type="noConversion"/>
  </si>
  <si>
    <t>현장타설</t>
    <phoneticPr fontId="1" type="noConversion"/>
  </si>
  <si>
    <r>
      <t>타설</t>
    </r>
    <r>
      <rPr>
        <sz val="11"/>
        <color rgb="FFFF0000"/>
        <rFont val="맑은 고딕"/>
        <family val="3"/>
        <charset val="129"/>
        <scheme val="minor"/>
      </rPr>
      <t>(20m이하 계산결과 그대로 적용)</t>
    </r>
    <phoneticPr fontId="1" type="noConversion"/>
  </si>
  <si>
    <r>
      <t>타설</t>
    </r>
    <r>
      <rPr>
        <sz val="11"/>
        <color rgb="FFFF0000"/>
        <rFont val="맑은 고딕"/>
        <family val="3"/>
        <charset val="129"/>
        <scheme val="minor"/>
      </rPr>
      <t>(20m 이하 격간시공 없음)</t>
    </r>
    <phoneticPr fontId="1" type="noConversion"/>
  </si>
  <si>
    <r>
      <t>타설</t>
    </r>
    <r>
      <rPr>
        <sz val="11"/>
        <color rgb="FFFF0000"/>
        <rFont val="맑은 고딕"/>
        <family val="3"/>
        <charset val="129"/>
        <scheme val="minor"/>
      </rPr>
      <t>(20m 이하 계산그대로 적용)</t>
    </r>
    <phoneticPr fontId="1" type="noConversion"/>
  </si>
  <si>
    <t>단계별
공기</t>
    <phoneticPr fontId="1" type="noConversion"/>
  </si>
  <si>
    <t>총단계</t>
    <phoneticPr fontId="1" type="noConversion"/>
  </si>
  <si>
    <t>공정적용
(최종 레일1일 추가)</t>
    <phoneticPr fontId="1" type="noConversion"/>
  </si>
  <si>
    <t>교차로명</t>
    <phoneticPr fontId="1" type="noConversion"/>
  </si>
  <si>
    <r>
      <t>레일 설치</t>
    </r>
    <r>
      <rPr>
        <sz val="11"/>
        <color rgb="FFFF0000"/>
        <rFont val="맑은 고딕"/>
        <family val="3"/>
        <charset val="129"/>
        <scheme val="minor"/>
      </rPr>
      <t>(마지막 단계 1일로 반영)</t>
    </r>
    <phoneticPr fontId="1" type="noConversion"/>
  </si>
  <si>
    <t>거푸집</t>
    <phoneticPr fontId="1" type="noConversion"/>
  </si>
  <si>
    <t>단계별
평균
작업연장</t>
    <phoneticPr fontId="1" type="noConversion"/>
  </si>
  <si>
    <t>샘플</t>
    <phoneticPr fontId="1" type="noConversion"/>
  </si>
  <si>
    <t>(사교)2-1/2-곡</t>
  </si>
  <si>
    <t>망포역 사거리</t>
  </si>
  <si>
    <t>선시공</t>
    <phoneticPr fontId="1" type="noConversion"/>
  </si>
  <si>
    <t>(사교)2-2/3-직</t>
  </si>
  <si>
    <t>당암 사거리</t>
  </si>
  <si>
    <r>
      <t>되메우기</t>
    </r>
    <r>
      <rPr>
        <sz val="11"/>
        <color rgb="FFFF0000"/>
        <rFont val="맑은 고딕"/>
        <family val="3"/>
        <charset val="129"/>
        <scheme val="minor"/>
      </rPr>
      <t>(관로부설 0.3일추가)</t>
    </r>
    <phoneticPr fontId="1" type="noConversion"/>
  </si>
  <si>
    <t>(사교)2-3/4-직</t>
  </si>
  <si>
    <t>당암 사거리(연등)</t>
  </si>
  <si>
    <t>(사교)2-4/5-직</t>
  </si>
  <si>
    <t>태장초교 사거리</t>
  </si>
  <si>
    <t>(삼교)2-5/6-직</t>
  </si>
  <si>
    <t>신설삼거리1</t>
  </si>
  <si>
    <t>(사교)2-6/7-직</t>
  </si>
  <si>
    <t>태장 사거리</t>
  </si>
  <si>
    <t>(사교)2-7/8-직</t>
  </si>
  <si>
    <t>망포LG3차 사거리</t>
  </si>
  <si>
    <t>(사교)2-8/9-직</t>
  </si>
  <si>
    <t>망포농협 사거리</t>
  </si>
  <si>
    <t>(사교)2-9/10-직</t>
  </si>
  <si>
    <t>신영영통 사거리</t>
  </si>
  <si>
    <t>(삼교)2-10/11-직</t>
  </si>
  <si>
    <t>현대타운 삼거리</t>
  </si>
  <si>
    <t>(사교)2-2/3-직</t>
    <phoneticPr fontId="1" type="noConversion"/>
  </si>
  <si>
    <t>(삼교)2-11/12-직</t>
  </si>
  <si>
    <t>두산위브 삼거리</t>
  </si>
  <si>
    <t>(사교)2-12/13-직</t>
    <phoneticPr fontId="1" type="noConversion"/>
  </si>
  <si>
    <t>반월리큰고개 사거리</t>
  </si>
  <si>
    <t>(삼교)2-13/14-직</t>
  </si>
  <si>
    <t>반월 삼거리</t>
  </si>
  <si>
    <t>(사교)2-14/15하1-직</t>
  </si>
  <si>
    <t>농서리 교차로</t>
  </si>
  <si>
    <t>(사교)2-15하1/하2-직</t>
  </si>
  <si>
    <t xml:space="preserve">후문 교차로 </t>
  </si>
  <si>
    <t>(사교)2-15하2/16-직</t>
  </si>
  <si>
    <t>DSR교차로</t>
  </si>
  <si>
    <t>(사교)2-16/17-직</t>
  </si>
  <si>
    <t>IT마을 사거리</t>
  </si>
  <si>
    <t>(사교)2-17/18-직</t>
  </si>
  <si>
    <t>변전소 사거리</t>
  </si>
  <si>
    <t>(사교)2-18/19-직</t>
  </si>
  <si>
    <t>삼성반도체 사거리</t>
  </si>
  <si>
    <t>(사교)2-19/20-직</t>
  </si>
  <si>
    <t>한림대병원 사거리</t>
  </si>
  <si>
    <t>큰재봉 사거리</t>
  </si>
  <si>
    <t>(사교)2-21/22-곡</t>
  </si>
  <si>
    <t>예당고교 사거리</t>
  </si>
  <si>
    <t>동부대로1지하차도 삼거리</t>
  </si>
  <si>
    <t>(사교)2-24/25-곡</t>
  </si>
  <si>
    <t>영천사거리</t>
  </si>
  <si>
    <t>(사교)2-25/26-직(P)</t>
  </si>
  <si>
    <t>치동초교 사거리</t>
  </si>
  <si>
    <t>동북 교차로</t>
  </si>
  <si>
    <t>(사교)2-27/28-곡</t>
  </si>
  <si>
    <t>반도유보라아이파크사거리</t>
  </si>
  <si>
    <t>동탄역북측 교차로</t>
  </si>
  <si>
    <t>로얄클래스 교차로</t>
  </si>
  <si>
    <t>(사교)2-30/31-곡</t>
  </si>
  <si>
    <t>동탄역리치안심거리</t>
  </si>
  <si>
    <t>동탄대로시범길 교차로</t>
  </si>
  <si>
    <t>선시공</t>
    <phoneticPr fontId="1" type="noConversion"/>
  </si>
  <si>
    <t>소요공기
(개월)</t>
    <phoneticPr fontId="1" type="noConversion"/>
  </si>
  <si>
    <t>트레이더스 교차로</t>
  </si>
  <si>
    <t>(사교)2-32/33-직</t>
    <phoneticPr fontId="1" type="noConversion"/>
  </si>
  <si>
    <t>(삼교)2-33/34(P)-직</t>
  </si>
  <si>
    <t>우진 삼거리</t>
  </si>
  <si>
    <t>지장물</t>
    <phoneticPr fontId="1" type="noConversion"/>
  </si>
  <si>
    <t>우선착공</t>
  </si>
  <si>
    <t>우선착공</t>
    <phoneticPr fontId="1" type="noConversion"/>
  </si>
  <si>
    <t>(사교)2-28/29(P)-곡</t>
    <phoneticPr fontId="1" type="noConversion"/>
  </si>
  <si>
    <t>(사교)2-29/30(P)-곡</t>
    <phoneticPr fontId="1" type="noConversion"/>
  </si>
  <si>
    <t>(사교)2-31/32(P)-직</t>
    <phoneticPr fontId="1" type="noConversion"/>
  </si>
  <si>
    <t>(사교)2-34/35(P)-직</t>
    <phoneticPr fontId="1" type="noConversion"/>
  </si>
  <si>
    <t>왕산들 교차로</t>
  </si>
  <si>
    <t>(사교)2-36/37(TS)(P)-직</t>
  </si>
  <si>
    <t>반도유보라1801동 사거리</t>
  </si>
  <si>
    <t>(사교)2-37/38(TS)(P)-직</t>
  </si>
  <si>
    <t>나래학교 사거리</t>
  </si>
  <si>
    <t>(사교)2-38/39(TS)</t>
    <phoneticPr fontId="1" type="noConversion"/>
  </si>
  <si>
    <t>동탄호수공원(북) 교차로</t>
    <phoneticPr fontId="1" type="noConversion"/>
  </si>
  <si>
    <t>조강</t>
    <phoneticPr fontId="1" type="noConversion"/>
  </si>
  <si>
    <t>현장타설</t>
    <phoneticPr fontId="1" type="noConversion"/>
  </si>
  <si>
    <t>(사교)2-40/41(TS)(P)-곡</t>
  </si>
  <si>
    <t>동탄호수공원(남) 교차로</t>
  </si>
  <si>
    <t>(사교)2-41/42(TS)-직</t>
  </si>
  <si>
    <t>경기주택도시공사 사거리</t>
  </si>
  <si>
    <t>(삼교)2-42/43(TS)(P)-직</t>
  </si>
  <si>
    <t>오토리브 삼거리</t>
  </si>
  <si>
    <t>(사교)2-43/44(TS)(P)-직</t>
  </si>
  <si>
    <t>화남초등학교 사거리</t>
  </si>
  <si>
    <t>(사교)2-44/45(TS)(P)-직</t>
  </si>
  <si>
    <t>정석프라자 사거리</t>
  </si>
  <si>
    <t>(사교)2-47-직</t>
  </si>
  <si>
    <t>미르호 사거리</t>
  </si>
  <si>
    <t>(사교)2-46/47-곡</t>
    <phoneticPr fontId="1" type="noConversion"/>
  </si>
  <si>
    <t>동성테크 사거리</t>
    <phoneticPr fontId="1" type="noConversion"/>
  </si>
  <si>
    <t>선시공</t>
    <phoneticPr fontId="1" type="noConversion"/>
  </si>
  <si>
    <t>공사단계</t>
    <phoneticPr fontId="1" type="noConversion"/>
  </si>
  <si>
    <t>당초</t>
    <phoneticPr fontId="1" type="noConversion"/>
  </si>
  <si>
    <t>변경</t>
    <phoneticPr fontId="1" type="noConversion"/>
  </si>
  <si>
    <t>선시공</t>
    <phoneticPr fontId="1" type="noConversion"/>
  </si>
  <si>
    <t>(사교)2-20/21-직-선</t>
    <phoneticPr fontId="1" type="noConversion"/>
  </si>
  <si>
    <t>(삼교)2-23/24-직-선</t>
    <phoneticPr fontId="1" type="noConversion"/>
  </si>
  <si>
    <t>(사교)2-26/27-직-선</t>
    <phoneticPr fontId="1" type="noConversion"/>
  </si>
  <si>
    <t>터파기
(260730 오류 수정 당초 아스팔트깨기로 들어갔음)</t>
    <phoneticPr fontId="1" type="noConversion"/>
  </si>
  <si>
    <t>조강</t>
    <phoneticPr fontId="1" type="noConversion"/>
  </si>
  <si>
    <t>PC-삭제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</si>
</sst>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5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176" formatCode="#,##0.0&quot;㎥/일&quot;"/>
    <numFmt numFmtId="177" formatCode="#,##0&quot;㎥/일&quot;"/>
    <numFmt numFmtId="178" formatCode="#,##0&quot;㎡/일&quot;"/>
    <numFmt numFmtId="179" formatCode="#,##0&quot;일&quot;"/>
    <numFmt numFmtId="180" formatCode="#,##0.0&quot;ton/일&quot;"/>
    <numFmt numFmtId="181" formatCode="#,##0&quot;m/일&quot;"/>
    <numFmt numFmtId="182" formatCode="#,##0.0&quot;m&quot;"/>
    <numFmt numFmtId="183" formatCode="#,##0.0&quot;일&quot;"/>
    <numFmt numFmtId="184" formatCode="#,##0&quot;개조&quot;"/>
    <numFmt numFmtId="185" formatCode="#,##0.00&quot;일&quot;"/>
    <numFmt numFmtId="186" formatCode="0.000"/>
    <numFmt numFmtId="187" formatCode="#,##0.00_ "/>
    <numFmt numFmtId="188" formatCode="_ * #,##0_ ;_ * \-#,##0_ ;_ * &quot;-&quot;_ ;_ @_ "/>
    <numFmt numFmtId="189" formatCode="0.000_ "/>
    <numFmt numFmtId="190" formatCode="0.0"/>
    <numFmt numFmtId="191" formatCode="&quot;년&quot;\ "/>
    <numFmt numFmtId="192" formatCode="&quot;₩&quot;#,##0;&quot;₩&quot;\-#,##0"/>
    <numFmt numFmtId="193" formatCode="_-&quot;S&quot;\ * #,##0.00_-;\-&quot;S&quot;\ * #,##0.00_-;_-&quot;S&quot;\ * &quot;-&quot;??_-;_-@_-"/>
    <numFmt numFmtId="194" formatCode="0\ &quot;EA&quot;"/>
    <numFmt numFmtId="195" formatCode="#\ ?/2"/>
    <numFmt numFmtId="196" formatCode="0_ "/>
    <numFmt numFmtId="197" formatCode="_ * #,##0.00_ ;_ * \-#,##0.00_ ;_ * &quot;-&quot;??_ ;_ @_ "/>
    <numFmt numFmtId="198" formatCode="##0.000&quot;㎥&quot;"/>
    <numFmt numFmtId="199" formatCode="##0.000&quot;㎡&quot;"/>
    <numFmt numFmtId="200" formatCode="##0.000&quot;㎡/개소&quot;"/>
    <numFmt numFmtId="201" formatCode="##0.000&quot;kg&quot;"/>
    <numFmt numFmtId="202" formatCode="##0.00&quot;m&quot;"/>
    <numFmt numFmtId="203" formatCode="##&quot;%&quot;"/>
    <numFmt numFmtId="204" formatCode="\t\=0.00"/>
    <numFmt numFmtId="205" formatCode="0.000&quot;*&quot;"/>
    <numFmt numFmtId="206" formatCode="_-\-* #,##0_-;\-* #,##0_-;_-* &quot;-&quot;_-;_-@_-"/>
    <numFmt numFmtId="207" formatCode="&quot;₩&quot;#,##0;[Red]&quot;₩&quot;&quot;₩&quot;\-#,##0"/>
    <numFmt numFmtId="208" formatCode="General_)"/>
    <numFmt numFmtId="209" formatCode="0.0_)"/>
    <numFmt numFmtId="210" formatCode="0.000\ "/>
    <numFmt numFmtId="211" formatCode="#\!\,##0\!.00_ "/>
    <numFmt numFmtId="212" formatCode="_-* #,##0.0_-;\-* #,##0.0_-;_-* &quot;-&quot;_-;_-@_-"/>
    <numFmt numFmtId="213" formatCode="0&quot;km&quot;000.0000"/>
    <numFmt numFmtId="214" formatCode="0.00&quot;m&quot;"/>
    <numFmt numFmtId="215" formatCode="0.0&quot;일&quot;"/>
    <numFmt numFmtId="216" formatCode="0&quot;단계&quot;"/>
    <numFmt numFmtId="217" formatCode="#,##0.00&quot;hr&quot;"/>
    <numFmt numFmtId="218" formatCode="0.0&quot;m&quot;"/>
    <numFmt numFmtId="219" formatCode="#,##0&quot;분&quot;"/>
    <numFmt numFmtId="220" formatCode="0.00_);[Red]\(0.00\)"/>
    <numFmt numFmtId="221" formatCode="_(* #,##0_);_(* \(#,##0\);_(* \-_);_(@_)"/>
    <numFmt numFmtId="222" formatCode="0_);[Red]\(0\)"/>
    <numFmt numFmtId="223" formatCode="#,##0&quot;개월&quot;"/>
    <numFmt numFmtId="224" formatCode="_-* #,##0.000_-;\-* #,##0.000_-;_-* &quot;-&quot;_-;_-@_-"/>
    <numFmt numFmtId="225" formatCode="#,##0.0&quot;개월&quot;"/>
    <numFmt numFmtId="227" formatCode="yy/mm/dd"/>
    <numFmt numFmtId="228" formatCode="#&quot;단계&quot;"/>
  </numFmts>
  <fonts count="7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0000"/>
      <name val="-윤고딕120"/>
      <family val="1"/>
      <charset val="129"/>
    </font>
    <font>
      <sz val="11"/>
      <color theme="1"/>
      <name val="맑은 고딕"/>
      <family val="2"/>
      <charset val="129"/>
      <scheme val="minor"/>
    </font>
    <font>
      <sz val="12"/>
      <name val="바탕체"/>
      <family val="1"/>
      <charset val="129"/>
    </font>
    <font>
      <sz val="1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바탕체"/>
      <family val="1"/>
      <charset val="129"/>
    </font>
    <font>
      <sz val="9"/>
      <color indexed="8"/>
      <name val="굴림체"/>
      <family val="3"/>
      <charset val="129"/>
    </font>
    <font>
      <sz val="10"/>
      <name val="Arial"/>
      <family val="2"/>
    </font>
    <font>
      <sz val="9"/>
      <name val="굴림체"/>
      <family val="3"/>
      <charset val="129"/>
    </font>
    <font>
      <u/>
      <sz val="11"/>
      <color indexed="36"/>
      <name val="돋움"/>
      <family val="3"/>
      <charset val="129"/>
    </font>
    <font>
      <sz val="12"/>
      <name val="굴림체"/>
      <family val="3"/>
      <charset val="129"/>
    </font>
    <font>
      <sz val="11"/>
      <name val="굴림체"/>
      <family val="3"/>
      <charset val="129"/>
    </font>
    <font>
      <sz val="12"/>
      <name val="¹UAAA¼"/>
      <family val="3"/>
      <charset val="129"/>
    </font>
    <font>
      <sz val="10"/>
      <name val="MS Sans Serif"/>
      <family val="2"/>
    </font>
    <font>
      <sz val="10"/>
      <name val="굴림체"/>
      <family val="3"/>
      <charset val="129"/>
    </font>
    <font>
      <sz val="12"/>
      <name val="¹ÙÅÁÃ¼"/>
      <family val="1"/>
      <charset val="129"/>
    </font>
    <font>
      <sz val="12"/>
      <name val="뼻뮝"/>
      <family val="1"/>
      <charset val="129"/>
    </font>
    <font>
      <sz val="8"/>
      <name val="Arial"/>
      <family val="2"/>
    </font>
    <font>
      <sz val="12"/>
      <name val="돋움체"/>
      <family val="3"/>
      <charset val="129"/>
    </font>
    <font>
      <b/>
      <sz val="18"/>
      <name val="Arial"/>
      <family val="2"/>
    </font>
    <font>
      <b/>
      <sz val="12"/>
      <name val="Arial"/>
      <family val="2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돋움체"/>
      <family val="3"/>
      <charset val="129"/>
    </font>
    <font>
      <sz val="11"/>
      <color indexed="16"/>
      <name val="바탕체"/>
      <family val="1"/>
      <charset val="129"/>
    </font>
    <font>
      <b/>
      <sz val="14"/>
      <color indexed="12"/>
      <name val="바탕체"/>
      <family val="1"/>
      <charset val="129"/>
    </font>
    <font>
      <sz val="14"/>
      <name val="뼻뮝"/>
      <family val="1"/>
      <charset val="129"/>
    </font>
    <font>
      <sz val="9"/>
      <name val="바탕체"/>
      <family val="1"/>
      <charset val="129"/>
    </font>
    <font>
      <sz val="10"/>
      <name val="바탕체"/>
      <family val="1"/>
      <charset val="129"/>
    </font>
    <font>
      <b/>
      <sz val="12"/>
      <name val="돋움체"/>
      <family val="3"/>
      <charset val="129"/>
    </font>
    <font>
      <sz val="10"/>
      <name val="명조"/>
      <family val="3"/>
      <charset val="129"/>
    </font>
    <font>
      <b/>
      <sz val="12"/>
      <color indexed="12"/>
      <name val="돋움체"/>
      <family val="3"/>
      <charset val="129"/>
    </font>
    <font>
      <sz val="10"/>
      <color indexed="12"/>
      <name val="굴림체"/>
      <family val="3"/>
      <charset val="129"/>
    </font>
    <font>
      <b/>
      <sz val="10"/>
      <name val="Helv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b/>
      <sz val="12"/>
      <name val="Helv"/>
      <family val="2"/>
    </font>
    <font>
      <u/>
      <sz val="10"/>
      <color indexed="12"/>
      <name val="MS Sans Serif"/>
      <family val="2"/>
    </font>
    <font>
      <b/>
      <i/>
      <sz val="12"/>
      <name val="Times New Roman"/>
      <family val="1"/>
    </font>
    <font>
      <b/>
      <sz val="11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굴림체"/>
      <family val="3"/>
      <charset val="129"/>
    </font>
    <font>
      <sz val="11"/>
      <color rgb="FF000000"/>
      <name val="-윤고딕120"/>
      <family val="1"/>
      <charset val="129"/>
    </font>
    <font>
      <sz val="11"/>
      <color rgb="FFFF0000"/>
      <name val="-윤고딕120"/>
      <family val="1"/>
      <charset val="129"/>
    </font>
    <font>
      <sz val="11"/>
      <color theme="5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name val="-윤고딕120"/>
      <family val="1"/>
      <charset val="129"/>
    </font>
    <font>
      <b/>
      <sz val="11"/>
      <name val="-윤고딕120"/>
      <family val="1"/>
      <charset val="129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rgb="FF000080"/>
      <name val="맑은 고딕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10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12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49">
    <xf numFmtId="0" fontId="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0" fontId="13" fillId="0" borderId="0"/>
    <xf numFmtId="0" fontId="13" fillId="0" borderId="0"/>
    <xf numFmtId="0" fontId="16" fillId="0" borderId="0"/>
    <xf numFmtId="0" fontId="10" fillId="0" borderId="0">
      <alignment vertical="center"/>
    </xf>
    <xf numFmtId="0" fontId="11" fillId="0" borderId="0"/>
    <xf numFmtId="0" fontId="11" fillId="0" borderId="0"/>
    <xf numFmtId="0" fontId="17" fillId="0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1" fillId="0" borderId="14">
      <alignment horizontal="center"/>
    </xf>
    <xf numFmtId="0" fontId="2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/>
    <xf numFmtId="0" fontId="2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0" fontId="25" fillId="0" borderId="0"/>
    <xf numFmtId="0" fontId="13" fillId="0" borderId="0" applyFill="0" applyBorder="0" applyAlignment="0"/>
    <xf numFmtId="0" fontId="44" fillId="0" borderId="0"/>
    <xf numFmtId="0" fontId="13" fillId="0" borderId="0">
      <protection locked="0"/>
    </xf>
    <xf numFmtId="0" fontId="17" fillId="0" borderId="0" applyFont="0" applyFill="0" applyBorder="0" applyAlignment="0" applyProtection="0"/>
    <xf numFmtId="195" fontId="13" fillId="0" borderId="0"/>
    <xf numFmtId="0" fontId="17" fillId="0" borderId="0" applyFont="0" applyFill="0" applyBorder="0" applyAlignment="0" applyProtection="0"/>
    <xf numFmtId="3" fontId="17" fillId="0" borderId="0" applyFill="0" applyBorder="0" applyAlignment="0" applyProtection="0"/>
    <xf numFmtId="0" fontId="17" fillId="0" borderId="0" applyFont="0" applyFill="0" applyBorder="0" applyAlignment="0" applyProtection="0"/>
    <xf numFmtId="0" fontId="13" fillId="0" borderId="0">
      <protection locked="0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5" fontId="17" fillId="0" borderId="0" applyFont="0" applyFill="0" applyBorder="0" applyAlignment="0" applyProtection="0"/>
    <xf numFmtId="0" fontId="13" fillId="0" borderId="0"/>
    <xf numFmtId="0" fontId="17" fillId="0" borderId="0" applyFont="0" applyFill="0" applyBorder="0" applyAlignment="0" applyProtection="0"/>
    <xf numFmtId="194" fontId="13" fillId="0" borderId="0"/>
    <xf numFmtId="0" fontId="45" fillId="0" borderId="0">
      <protection locked="0"/>
    </xf>
    <xf numFmtId="0" fontId="45" fillId="0" borderId="0">
      <protection locked="0"/>
    </xf>
    <xf numFmtId="0" fontId="46" fillId="0" borderId="0">
      <protection locked="0"/>
    </xf>
    <xf numFmtId="0" fontId="45" fillId="0" borderId="0">
      <protection locked="0"/>
    </xf>
    <xf numFmtId="0" fontId="45" fillId="0" borderId="0">
      <protection locked="0"/>
    </xf>
    <xf numFmtId="0" fontId="45" fillId="0" borderId="0">
      <protection locked="0"/>
    </xf>
    <xf numFmtId="0" fontId="46" fillId="0" borderId="0">
      <protection locked="0"/>
    </xf>
    <xf numFmtId="2" fontId="17" fillId="0" borderId="0" applyFont="0" applyFill="0" applyBorder="0" applyAlignment="0" applyProtection="0"/>
    <xf numFmtId="38" fontId="27" fillId="5" borderId="0" applyNumberFormat="0" applyBorder="0" applyAlignment="0" applyProtection="0"/>
    <xf numFmtId="0" fontId="47" fillId="0" borderId="0">
      <alignment horizontal="left"/>
    </xf>
    <xf numFmtId="0" fontId="30" fillId="0" borderId="15" applyNumberFormat="0" applyAlignment="0" applyProtection="0">
      <alignment horizontal="left" vertical="center"/>
    </xf>
    <xf numFmtId="0" fontId="30" fillId="0" borderId="4">
      <alignment horizontal="left" vertical="center"/>
    </xf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191" fontId="11" fillId="0" borderId="0">
      <protection locked="0"/>
    </xf>
    <xf numFmtId="191" fontId="11" fillId="0" borderId="0">
      <protection locked="0"/>
    </xf>
    <xf numFmtId="0" fontId="48" fillId="0" borderId="0" applyNumberFormat="0" applyFill="0" applyBorder="0" applyAlignment="0" applyProtection="0"/>
    <xf numFmtId="10" fontId="27" fillId="6" borderId="1" applyNumberFormat="0" applyBorder="0" applyAlignment="0" applyProtection="0"/>
    <xf numFmtId="208" fontId="49" fillId="0" borderId="0">
      <alignment horizontal="left"/>
    </xf>
    <xf numFmtId="188" fontId="17" fillId="0" borderId="0" applyFont="0" applyFill="0" applyBorder="0" applyAlignment="0" applyProtection="0"/>
    <xf numFmtId="197" fontId="17" fillId="0" borderId="0" applyFont="0" applyFill="0" applyBorder="0" applyAlignment="0" applyProtection="0"/>
    <xf numFmtId="0" fontId="50" fillId="0" borderId="16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28" fillId="0" borderId="0"/>
    <xf numFmtId="0" fontId="17" fillId="0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3" fillId="0" borderId="0">
      <protection locked="0"/>
    </xf>
    <xf numFmtId="10" fontId="17" fillId="0" borderId="0" applyFont="0" applyFill="0" applyBorder="0" applyAlignment="0" applyProtection="0"/>
    <xf numFmtId="187" fontId="13" fillId="0" borderId="0">
      <protection locked="0"/>
    </xf>
    <xf numFmtId="0" fontId="50" fillId="0" borderId="0"/>
    <xf numFmtId="209" fontId="51" fillId="0" borderId="0">
      <alignment horizontal="center"/>
    </xf>
    <xf numFmtId="0" fontId="52" fillId="0" borderId="0" applyFill="0" applyBorder="0" applyProtection="0">
      <alignment horizontal="centerContinuous" vertical="center"/>
    </xf>
    <xf numFmtId="0" fontId="20" fillId="7" borderId="0" applyFill="0" applyBorder="0" applyProtection="0">
      <alignment horizontal="center" vertical="center"/>
    </xf>
    <xf numFmtId="0" fontId="17" fillId="0" borderId="17" applyNumberFormat="0" applyFont="0" applyFill="0" applyAlignment="0" applyProtection="0"/>
    <xf numFmtId="0" fontId="15" fillId="0" borderId="14">
      <alignment horizontal="left"/>
    </xf>
    <xf numFmtId="2" fontId="3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18" applyBorder="0">
      <alignment horizontal="distributed"/>
      <protection locked="0"/>
    </xf>
    <xf numFmtId="0" fontId="31" fillId="0" borderId="0" applyFont="0" applyFill="0" applyBorder="0" applyAlignment="0" applyProtection="0"/>
    <xf numFmtId="205" fontId="35" fillId="0" borderId="0" applyFill="0" applyBorder="0">
      <alignment horizontal="center" vertical="center"/>
    </xf>
    <xf numFmtId="203" fontId="34" fillId="0" borderId="19" applyFill="0" applyBorder="0">
      <alignment horizontal="center" vertical="center"/>
      <protection locked="0"/>
    </xf>
    <xf numFmtId="201" fontId="34" fillId="0" borderId="13" applyFill="0" applyBorder="0">
      <alignment horizontal="center"/>
      <protection locked="0"/>
    </xf>
    <xf numFmtId="202" fontId="34" fillId="0" borderId="13" applyFill="0" applyBorder="0">
      <alignment horizontal="center"/>
      <protection locked="0"/>
    </xf>
    <xf numFmtId="199" fontId="34" fillId="0" borderId="20">
      <alignment horizontal="center"/>
      <protection locked="0"/>
    </xf>
    <xf numFmtId="200" fontId="34" fillId="0" borderId="20">
      <alignment horizontal="center"/>
      <protection locked="0"/>
    </xf>
    <xf numFmtId="206" fontId="34" fillId="0" borderId="20">
      <alignment horizontal="center"/>
      <protection locked="0"/>
    </xf>
    <xf numFmtId="198" fontId="34" fillId="0" borderId="20">
      <alignment horizontal="center"/>
      <protection locked="0"/>
    </xf>
    <xf numFmtId="204" fontId="34" fillId="0" borderId="3" applyFill="0" applyBorder="0">
      <alignment horizontal="center" vertical="center"/>
      <protection locked="0"/>
    </xf>
    <xf numFmtId="0" fontId="31" fillId="0" borderId="0" applyFont="0" applyFill="0" applyBorder="0" applyAlignment="0" applyProtection="0"/>
    <xf numFmtId="0" fontId="36" fillId="0" borderId="0" applyProtection="0"/>
    <xf numFmtId="0" fontId="19" fillId="0" borderId="0" applyNumberFormat="0" applyFill="0" applyBorder="0" applyAlignment="0" applyProtection="0">
      <alignment vertical="top"/>
      <protection locked="0"/>
    </xf>
    <xf numFmtId="40" fontId="37" fillId="0" borderId="0" applyFont="0" applyFill="0" applyBorder="0" applyAlignment="0" applyProtection="0"/>
    <xf numFmtId="38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9" fontId="21" fillId="7" borderId="0" applyFill="0" applyBorder="0" applyProtection="0">
      <alignment horizontal="right"/>
    </xf>
    <xf numFmtId="10" fontId="21" fillId="0" borderId="0" applyFill="0" applyBorder="0" applyProtection="0">
      <alignment horizontal="right"/>
    </xf>
    <xf numFmtId="0" fontId="26" fillId="0" borderId="0"/>
    <xf numFmtId="49" fontId="34" fillId="0" borderId="7" applyFill="0" applyBorder="0">
      <alignment horizontal="center" vertical="center"/>
      <protection locked="0"/>
    </xf>
    <xf numFmtId="0" fontId="38" fillId="0" borderId="0" applyNumberFormat="0" applyFont="0" applyFill="0" applyBorder="0" applyProtection="0">
      <alignment horizontal="centerContinuous" vertical="center"/>
    </xf>
    <xf numFmtId="189" fontId="38" fillId="0" borderId="0" applyFill="0" applyBorder="0" applyProtection="0">
      <alignment horizontal="centerContinuous" vertical="center"/>
    </xf>
    <xf numFmtId="196" fontId="38" fillId="0" borderId="0" applyNumberFormat="0" applyFont="0" applyFill="0" applyBorder="0" applyProtection="0">
      <alignment horizontal="centerContinuous"/>
    </xf>
    <xf numFmtId="0" fontId="39" fillId="0" borderId="0" applyNumberFormat="0" applyFont="0" applyFill="0" applyBorder="0" applyProtection="0">
      <alignment horizontal="centerContinuous" vertical="center"/>
    </xf>
    <xf numFmtId="196" fontId="38" fillId="0" borderId="0" applyNumberFormat="0" applyFont="0" applyFill="0" applyBorder="0" applyProtection="0">
      <alignment horizontal="centerContinuous" vertical="center"/>
    </xf>
    <xf numFmtId="0" fontId="40" fillId="0" borderId="0" applyProtection="0">
      <alignment vertical="center"/>
      <protection locked="0"/>
    </xf>
    <xf numFmtId="196" fontId="18" fillId="0" borderId="21" applyFont="0" applyFill="0" applyBorder="0" applyAlignment="0" applyProtection="0">
      <alignment vertical="center"/>
    </xf>
    <xf numFmtId="189" fontId="18" fillId="0" borderId="21" applyFont="0" applyFill="0" applyBorder="0" applyAlignment="0" applyProtection="0">
      <alignment vertical="center"/>
    </xf>
    <xf numFmtId="0" fontId="14" fillId="0" borderId="0"/>
    <xf numFmtId="196" fontId="38" fillId="0" borderId="0" applyFont="0" applyFill="0" applyBorder="0" applyProtection="0">
      <alignment horizontal="centerContinuous" vertical="center"/>
    </xf>
    <xf numFmtId="207" fontId="17" fillId="0" borderId="0">
      <alignment vertical="center"/>
    </xf>
    <xf numFmtId="190" fontId="38" fillId="0" borderId="0" applyFont="0" applyFill="0" applyBorder="0" applyProtection="0">
      <alignment horizontal="centerContinuous" vertical="center"/>
    </xf>
    <xf numFmtId="186" fontId="38" fillId="0" borderId="0" applyFont="0" applyFill="0" applyBorder="0" applyProtection="0">
      <alignment horizontal="centerContinuous" vertical="center"/>
    </xf>
    <xf numFmtId="210" fontId="38" fillId="0" borderId="22" applyFont="0" applyFill="0" applyBorder="0" applyProtection="0">
      <alignment horizontal="right" vertical="center"/>
      <protection locked="0"/>
    </xf>
    <xf numFmtId="210" fontId="24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0" fontId="17" fillId="0" borderId="0"/>
    <xf numFmtId="0" fontId="41" fillId="0" borderId="23"/>
    <xf numFmtId="0" fontId="42" fillId="0" borderId="7" applyBorder="0">
      <alignment horizontal="distributed" vertical="center"/>
      <protection locked="0"/>
    </xf>
    <xf numFmtId="0" fontId="43" fillId="0" borderId="0">
      <alignment vertical="center"/>
    </xf>
    <xf numFmtId="196" fontId="38" fillId="0" borderId="0" applyNumberFormat="0" applyFont="0" applyFill="0" applyBorder="0" applyProtection="0">
      <alignment vertical="center"/>
    </xf>
    <xf numFmtId="4" fontId="31" fillId="0" borderId="0" applyFont="0" applyFill="0" applyBorder="0" applyAlignment="0" applyProtection="0"/>
    <xf numFmtId="3" fontId="31" fillId="0" borderId="0" applyFont="0" applyFill="0" applyBorder="0" applyAlignment="0" applyProtection="0"/>
    <xf numFmtId="0" fontId="11" fillId="0" borderId="0"/>
    <xf numFmtId="0" fontId="11" fillId="0" borderId="0" applyFont="0" applyFill="0" applyBorder="0" applyAlignment="0" applyProtection="0"/>
    <xf numFmtId="0" fontId="17" fillId="0" borderId="1"/>
    <xf numFmtId="211" fontId="21" fillId="7" borderId="0" applyFill="0" applyBorder="0" applyProtection="0">
      <alignment horizontal="right"/>
    </xf>
    <xf numFmtId="0" fontId="11" fillId="0" borderId="0" applyFont="0" applyFill="0" applyBorder="0" applyAlignment="0" applyProtection="0"/>
    <xf numFmtId="42" fontId="13" fillId="0" borderId="0" applyFont="0" applyFill="0" applyBorder="0" applyAlignment="0" applyProtection="0"/>
    <xf numFmtId="0" fontId="11" fillId="0" borderId="0" applyFont="0" applyFill="0" applyBorder="0" applyAlignment="0" applyProtection="0"/>
    <xf numFmtId="10" fontId="31" fillId="0" borderId="0" applyFont="0" applyFill="0" applyBorder="0" applyAlignment="0" applyProtection="0"/>
    <xf numFmtId="0" fontId="53" fillId="0" borderId="0">
      <alignment vertical="center"/>
    </xf>
    <xf numFmtId="0" fontId="31" fillId="0" borderId="17" applyNumberFormat="0" applyFont="0" applyFill="0" applyAlignment="0" applyProtection="0"/>
    <xf numFmtId="193" fontId="13" fillId="0" borderId="0" applyFont="0" applyFill="0" applyBorder="0" applyAlignment="0" applyProtection="0"/>
    <xf numFmtId="192" fontId="31" fillId="0" borderId="0" applyFont="0" applyFill="0" applyBorder="0" applyAlignment="0" applyProtection="0"/>
    <xf numFmtId="0" fontId="10" fillId="0" borderId="0">
      <alignment vertical="center"/>
    </xf>
    <xf numFmtId="41" fontId="13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0" fontId="13" fillId="0" borderId="0"/>
    <xf numFmtId="0" fontId="10" fillId="0" borderId="0">
      <alignment vertical="center"/>
    </xf>
    <xf numFmtId="0" fontId="54" fillId="0" borderId="0">
      <alignment vertical="center"/>
    </xf>
    <xf numFmtId="0" fontId="13" fillId="0" borderId="0"/>
    <xf numFmtId="0" fontId="10" fillId="0" borderId="0">
      <alignment vertical="center"/>
    </xf>
    <xf numFmtId="221" fontId="68" fillId="0" borderId="0">
      <alignment vertical="center"/>
    </xf>
    <xf numFmtId="0" fontId="11" fillId="0" borderId="0" applyAlignment="0"/>
    <xf numFmtId="41" fontId="68" fillId="0" borderId="0" applyFont="0" applyFill="0" applyBorder="0" applyAlignment="0" applyProtection="0">
      <alignment vertical="center"/>
    </xf>
  </cellStyleXfs>
  <cellXfs count="186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8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79" fontId="55" fillId="3" borderId="5" xfId="0" applyNumberFormat="1" applyFont="1" applyFill="1" applyBorder="1" applyAlignment="1">
      <alignment horizontal="center" vertical="center" wrapText="1"/>
    </xf>
    <xf numFmtId="182" fontId="0" fillId="0" borderId="5" xfId="0" applyNumberFormat="1" applyFont="1" applyBorder="1" applyAlignment="1">
      <alignment horizontal="center" vertical="center"/>
    </xf>
    <xf numFmtId="179" fontId="55" fillId="4" borderId="5" xfId="0" applyNumberFormat="1" applyFont="1" applyFill="1" applyBorder="1" applyAlignment="1">
      <alignment horizontal="center" vertical="center" wrapText="1"/>
    </xf>
    <xf numFmtId="176" fontId="55" fillId="0" borderId="5" xfId="0" applyNumberFormat="1" applyFont="1" applyFill="1" applyBorder="1" applyAlignment="1">
      <alignment horizontal="center" vertical="center" wrapText="1"/>
    </xf>
    <xf numFmtId="184" fontId="55" fillId="0" borderId="5" xfId="0" applyNumberFormat="1" applyFont="1" applyFill="1" applyBorder="1" applyAlignment="1">
      <alignment horizontal="center" vertical="center" wrapText="1"/>
    </xf>
    <xf numFmtId="183" fontId="55" fillId="4" borderId="5" xfId="0" applyNumberFormat="1" applyFont="1" applyFill="1" applyBorder="1" applyAlignment="1">
      <alignment horizontal="center" vertical="center" wrapText="1"/>
    </xf>
    <xf numFmtId="177" fontId="55" fillId="0" borderId="5" xfId="0" applyNumberFormat="1" applyFont="1" applyFill="1" applyBorder="1" applyAlignment="1">
      <alignment horizontal="center" vertical="center" wrapText="1"/>
    </xf>
    <xf numFmtId="183" fontId="9" fillId="10" borderId="5" xfId="0" applyNumberFormat="1" applyFont="1" applyFill="1" applyBorder="1" applyAlignment="1">
      <alignment horizontal="center" vertical="center" wrapText="1"/>
    </xf>
    <xf numFmtId="178" fontId="55" fillId="0" borderId="5" xfId="0" applyNumberFormat="1" applyFont="1" applyFill="1" applyBorder="1" applyAlignment="1">
      <alignment horizontal="center" vertical="center" wrapText="1"/>
    </xf>
    <xf numFmtId="180" fontId="55" fillId="0" borderId="5" xfId="0" applyNumberFormat="1" applyFont="1" applyFill="1" applyBorder="1" applyAlignment="1">
      <alignment horizontal="center" vertical="center" wrapText="1"/>
    </xf>
    <xf numFmtId="183" fontId="9" fillId="9" borderId="5" xfId="0" applyNumberFormat="1" applyFont="1" applyFill="1" applyBorder="1" applyAlignment="1">
      <alignment horizontal="center" vertical="center" wrapText="1"/>
    </xf>
    <xf numFmtId="182" fontId="57" fillId="0" borderId="5" xfId="0" applyNumberFormat="1" applyFont="1" applyBorder="1" applyAlignment="1">
      <alignment horizontal="center" vertical="center"/>
    </xf>
    <xf numFmtId="181" fontId="55" fillId="0" borderId="5" xfId="0" applyNumberFormat="1" applyFont="1" applyFill="1" applyBorder="1" applyAlignment="1">
      <alignment horizontal="center" vertical="center" wrapText="1"/>
    </xf>
    <xf numFmtId="213" fontId="12" fillId="0" borderId="0" xfId="0" applyNumberFormat="1" applyFont="1" applyFill="1" applyBorder="1" applyAlignment="1">
      <alignment horizontal="center" vertical="center"/>
    </xf>
    <xf numFmtId="212" fontId="12" fillId="0" borderId="0" xfId="1" applyNumberFormat="1" applyFont="1" applyFill="1" applyBorder="1" applyAlignment="1">
      <alignment horizontal="center" vertical="center"/>
    </xf>
    <xf numFmtId="0" fontId="59" fillId="0" borderId="0" xfId="0" applyFont="1" applyFill="1" applyBorder="1">
      <alignment vertical="center"/>
    </xf>
    <xf numFmtId="0" fontId="59" fillId="0" borderId="0" xfId="0" applyFont="1" applyFill="1" applyBorder="1" applyAlignment="1">
      <alignment horizontal="center" vertical="center"/>
    </xf>
    <xf numFmtId="179" fontId="60" fillId="0" borderId="0" xfId="0" applyNumberFormat="1" applyFont="1" applyFill="1" applyBorder="1" applyAlignment="1">
      <alignment horizontal="center" vertical="center" wrapText="1"/>
    </xf>
    <xf numFmtId="182" fontId="59" fillId="0" borderId="0" xfId="0" applyNumberFormat="1" applyFont="1" applyFill="1" applyBorder="1" applyAlignment="1">
      <alignment horizontal="center" vertical="center"/>
    </xf>
    <xf numFmtId="176" fontId="60" fillId="0" borderId="0" xfId="0" applyNumberFormat="1" applyFont="1" applyFill="1" applyBorder="1" applyAlignment="1">
      <alignment horizontal="center" vertical="center" wrapText="1"/>
    </xf>
    <xf numFmtId="184" fontId="60" fillId="0" borderId="0" xfId="0" applyNumberFormat="1" applyFont="1" applyFill="1" applyBorder="1" applyAlignment="1">
      <alignment horizontal="center" vertical="center" wrapText="1"/>
    </xf>
    <xf numFmtId="183" fontId="60" fillId="0" borderId="0" xfId="0" applyNumberFormat="1" applyFont="1" applyFill="1" applyBorder="1" applyAlignment="1">
      <alignment horizontal="center" vertical="center" wrapText="1"/>
    </xf>
    <xf numFmtId="177" fontId="60" fillId="0" borderId="0" xfId="0" applyNumberFormat="1" applyFont="1" applyFill="1" applyBorder="1" applyAlignment="1">
      <alignment horizontal="center" vertical="center" wrapText="1"/>
    </xf>
    <xf numFmtId="183" fontId="61" fillId="0" borderId="0" xfId="0" applyNumberFormat="1" applyFont="1" applyFill="1" applyBorder="1" applyAlignment="1">
      <alignment horizontal="center" vertical="center" wrapText="1"/>
    </xf>
    <xf numFmtId="178" fontId="60" fillId="0" borderId="0" xfId="0" applyNumberFormat="1" applyFont="1" applyFill="1" applyBorder="1" applyAlignment="1">
      <alignment horizontal="center" vertical="center" wrapText="1"/>
    </xf>
    <xf numFmtId="181" fontId="60" fillId="0" borderId="0" xfId="0" applyNumberFormat="1" applyFont="1" applyFill="1" applyBorder="1" applyAlignment="1">
      <alignment horizontal="center" vertical="center" wrapText="1"/>
    </xf>
    <xf numFmtId="180" fontId="60" fillId="0" borderId="0" xfId="0" applyNumberFormat="1" applyFont="1" applyFill="1" applyBorder="1" applyAlignment="1">
      <alignment horizontal="center" vertical="center" wrapText="1"/>
    </xf>
    <xf numFmtId="179" fontId="61" fillId="0" borderId="0" xfId="0" applyNumberFormat="1" applyFont="1" applyFill="1" applyBorder="1" applyAlignment="1">
      <alignment horizontal="center" vertical="center" wrapText="1"/>
    </xf>
    <xf numFmtId="215" fontId="0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16" fontId="0" fillId="0" borderId="5" xfId="0" applyNumberFormat="1" applyFont="1" applyBorder="1" applyAlignment="1">
      <alignment horizontal="center" vertical="center"/>
    </xf>
    <xf numFmtId="182" fontId="0" fillId="0" borderId="0" xfId="0" applyNumberFormat="1" applyFont="1" applyBorder="1" applyAlignment="1">
      <alignment vertical="center"/>
    </xf>
    <xf numFmtId="214" fontId="63" fillId="2" borderId="5" xfId="0" applyNumberFormat="1" applyFont="1" applyFill="1" applyBorder="1" applyAlignment="1">
      <alignment horizontal="center" vertical="center"/>
    </xf>
    <xf numFmtId="216" fontId="7" fillId="0" borderId="1" xfId="0" applyNumberFormat="1" applyFont="1" applyBorder="1" applyAlignment="1">
      <alignment horizontal="center" vertical="center"/>
    </xf>
    <xf numFmtId="0" fontId="0" fillId="0" borderId="0" xfId="0">
      <alignment vertical="center"/>
    </xf>
    <xf numFmtId="0" fontId="53" fillId="0" borderId="0" xfId="0" applyFont="1" applyAlignment="1">
      <alignment horizontal="center" vertical="center"/>
    </xf>
    <xf numFmtId="179" fontId="65" fillId="0" borderId="1" xfId="0" applyNumberFormat="1" applyFont="1" applyFill="1" applyBorder="1" applyAlignment="1">
      <alignment horizontal="center" vertical="center" wrapText="1"/>
    </xf>
    <xf numFmtId="179" fontId="8" fillId="0" borderId="0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185" fontId="55" fillId="4" borderId="5" xfId="0" applyNumberFormat="1" applyFont="1" applyFill="1" applyBorder="1" applyAlignment="1">
      <alignment horizontal="center" vertical="center" wrapText="1"/>
    </xf>
    <xf numFmtId="183" fontId="9" fillId="11" borderId="5" xfId="0" applyNumberFormat="1" applyFont="1" applyFill="1" applyBorder="1" applyAlignment="1">
      <alignment horizontal="center" vertical="center" wrapText="1"/>
    </xf>
    <xf numFmtId="217" fontId="55" fillId="4" borderId="5" xfId="0" applyNumberFormat="1" applyFont="1" applyFill="1" applyBorder="1" applyAlignment="1">
      <alignment horizontal="center" vertical="center" wrapText="1"/>
    </xf>
    <xf numFmtId="218" fontId="0" fillId="0" borderId="0" xfId="1" applyNumberFormat="1" applyFont="1" applyAlignment="1">
      <alignment horizontal="center" vertical="center"/>
    </xf>
    <xf numFmtId="219" fontId="55" fillId="4" borderId="5" xfId="0" applyNumberFormat="1" applyFont="1" applyFill="1" applyBorder="1" applyAlignment="1">
      <alignment horizontal="center" vertical="center" wrapText="1"/>
    </xf>
    <xf numFmtId="185" fontId="56" fillId="4" borderId="5" xfId="0" applyNumberFormat="1" applyFont="1" applyFill="1" applyBorder="1" applyAlignment="1">
      <alignment horizontal="center" vertical="center" wrapText="1"/>
    </xf>
    <xf numFmtId="212" fontId="12" fillId="14" borderId="1" xfId="1" applyNumberFormat="1" applyFont="1" applyFill="1" applyBorder="1" applyAlignment="1">
      <alignment horizontal="center" vertical="center"/>
    </xf>
    <xf numFmtId="212" fontId="12" fillId="14" borderId="5" xfId="1" applyNumberFormat="1" applyFont="1" applyFill="1" applyBorder="1" applyAlignment="1">
      <alignment horizontal="center" vertical="center"/>
    </xf>
    <xf numFmtId="181" fontId="56" fillId="14" borderId="5" xfId="0" applyNumberFormat="1" applyFont="1" applyFill="1" applyBorder="1" applyAlignment="1">
      <alignment horizontal="center" vertical="center" wrapText="1"/>
    </xf>
    <xf numFmtId="184" fontId="55" fillId="14" borderId="5" xfId="0" applyNumberFormat="1" applyFont="1" applyFill="1" applyBorder="1" applyAlignment="1">
      <alignment horizontal="center" vertical="center" wrapText="1"/>
    </xf>
    <xf numFmtId="183" fontId="55" fillId="14" borderId="5" xfId="0" applyNumberFormat="1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/>
    </xf>
    <xf numFmtId="214" fontId="63" fillId="0" borderId="1" xfId="0" applyNumberFormat="1" applyFont="1" applyFill="1" applyBorder="1" applyAlignment="1">
      <alignment horizontal="center" vertical="center"/>
    </xf>
    <xf numFmtId="214" fontId="63" fillId="2" borderId="1" xfId="0" applyNumberFormat="1" applyFont="1" applyFill="1" applyBorder="1" applyAlignment="1">
      <alignment horizontal="center" vertical="center"/>
    </xf>
    <xf numFmtId="212" fontId="12" fillId="0" borderId="5" xfId="1" applyNumberFormat="1" applyFont="1" applyFill="1" applyBorder="1" applyAlignment="1">
      <alignment horizontal="center" vertical="center"/>
    </xf>
    <xf numFmtId="212" fontId="12" fillId="3" borderId="1" xfId="1" applyNumberFormat="1" applyFont="1" applyFill="1" applyBorder="1" applyAlignment="1">
      <alignment horizontal="center" vertical="center"/>
    </xf>
    <xf numFmtId="213" fontId="64" fillId="0" borderId="5" xfId="0" applyNumberFormat="1" applyFont="1" applyFill="1" applyBorder="1" applyAlignment="1">
      <alignment horizontal="center" vertical="center" shrinkToFit="1"/>
    </xf>
    <xf numFmtId="213" fontId="64" fillId="0" borderId="1" xfId="0" applyNumberFormat="1" applyFont="1" applyFill="1" applyBorder="1" applyAlignment="1">
      <alignment horizontal="right" vertical="center" shrinkToFit="1"/>
    </xf>
    <xf numFmtId="212" fontId="67" fillId="3" borderId="1" xfId="1" applyNumberFormat="1" applyFont="1" applyFill="1" applyBorder="1" applyAlignment="1">
      <alignment horizontal="center" vertical="center"/>
    </xf>
    <xf numFmtId="220" fontId="12" fillId="3" borderId="1" xfId="0" applyNumberFormat="1" applyFont="1" applyFill="1" applyBorder="1" applyAlignment="1">
      <alignment horizontal="center" vertical="center"/>
    </xf>
    <xf numFmtId="214" fontId="53" fillId="2" borderId="1" xfId="0" applyNumberFormat="1" applyFont="1" applyFill="1" applyBorder="1" applyAlignment="1">
      <alignment horizontal="center" vertical="center"/>
    </xf>
    <xf numFmtId="0" fontId="68" fillId="0" borderId="1" xfId="0" applyFont="1" applyFill="1" applyBorder="1" applyAlignment="1">
      <alignment horizontal="center" vertical="center"/>
    </xf>
    <xf numFmtId="222" fontId="53" fillId="2" borderId="1" xfId="0" applyNumberFormat="1" applyFont="1" applyFill="1" applyBorder="1" applyAlignment="1">
      <alignment horizontal="center" vertical="center"/>
    </xf>
    <xf numFmtId="212" fontId="12" fillId="0" borderId="5" xfId="1" applyNumberFormat="1" applyFont="1" applyFill="1" applyBorder="1" applyAlignment="1">
      <alignment horizontal="center" vertical="center"/>
    </xf>
    <xf numFmtId="222" fontId="59" fillId="14" borderId="1" xfId="0" applyNumberFormat="1" applyFont="1" applyFill="1" applyBorder="1" applyAlignment="1">
      <alignment horizontal="center" vertical="center"/>
    </xf>
    <xf numFmtId="214" fontId="59" fillId="14" borderId="1" xfId="0" applyNumberFormat="1" applyFont="1" applyFill="1" applyBorder="1" applyAlignment="1">
      <alignment horizontal="center" vertical="center"/>
    </xf>
    <xf numFmtId="0" fontId="67" fillId="14" borderId="1" xfId="0" applyFont="1" applyFill="1" applyBorder="1" applyAlignment="1">
      <alignment horizontal="center" vertical="center"/>
    </xf>
    <xf numFmtId="213" fontId="67" fillId="14" borderId="1" xfId="0" applyNumberFormat="1" applyFont="1" applyFill="1" applyBorder="1" applyAlignment="1">
      <alignment horizontal="right" vertical="center" shrinkToFit="1"/>
    </xf>
    <xf numFmtId="183" fontId="60" fillId="14" borderId="5" xfId="0" applyNumberFormat="1" applyFont="1" applyFill="1" applyBorder="1" applyAlignment="1">
      <alignment horizontal="center" vertical="center" wrapText="1"/>
    </xf>
    <xf numFmtId="184" fontId="60" fillId="14" borderId="5" xfId="0" applyNumberFormat="1" applyFont="1" applyFill="1" applyBorder="1" applyAlignment="1">
      <alignment horizontal="center" vertical="center" wrapText="1"/>
    </xf>
    <xf numFmtId="181" fontId="60" fillId="14" borderId="5" xfId="0" applyNumberFormat="1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/>
    </xf>
    <xf numFmtId="223" fontId="65" fillId="0" borderId="1" xfId="0" applyNumberFormat="1" applyFont="1" applyFill="1" applyBorder="1" applyAlignment="1">
      <alignment horizontal="center" vertical="center" wrapText="1"/>
    </xf>
    <xf numFmtId="225" fontId="65" fillId="0" borderId="1" xfId="0" applyNumberFormat="1" applyFont="1" applyFill="1" applyBorder="1" applyAlignment="1">
      <alignment horizontal="center" vertical="center" wrapText="1"/>
    </xf>
    <xf numFmtId="182" fontId="0" fillId="0" borderId="1" xfId="0" applyNumberFormat="1" applyFont="1" applyBorder="1" applyAlignment="1">
      <alignment horizontal="center" vertical="center"/>
    </xf>
    <xf numFmtId="176" fontId="55" fillId="0" borderId="1" xfId="0" applyNumberFormat="1" applyFont="1" applyFill="1" applyBorder="1" applyAlignment="1">
      <alignment horizontal="center" vertical="center" wrapText="1"/>
    </xf>
    <xf numFmtId="179" fontId="55" fillId="4" borderId="1" xfId="0" applyNumberFormat="1" applyFont="1" applyFill="1" applyBorder="1" applyAlignment="1">
      <alignment horizontal="center" vertical="center" wrapText="1"/>
    </xf>
    <xf numFmtId="183" fontId="55" fillId="4" borderId="1" xfId="0" applyNumberFormat="1" applyFont="1" applyFill="1" applyBorder="1" applyAlignment="1">
      <alignment horizontal="center" vertical="center" wrapText="1"/>
    </xf>
    <xf numFmtId="185" fontId="55" fillId="4" borderId="1" xfId="0" applyNumberFormat="1" applyFont="1" applyFill="1" applyBorder="1" applyAlignment="1">
      <alignment horizontal="center" vertical="center" wrapText="1"/>
    </xf>
    <xf numFmtId="183" fontId="9" fillId="10" borderId="1" xfId="0" applyNumberFormat="1" applyFont="1" applyFill="1" applyBorder="1" applyAlignment="1">
      <alignment horizontal="center" vertical="center" wrapText="1"/>
    </xf>
    <xf numFmtId="178" fontId="55" fillId="0" borderId="1" xfId="0" applyNumberFormat="1" applyFont="1" applyFill="1" applyBorder="1" applyAlignment="1">
      <alignment horizontal="center" vertical="center" wrapText="1"/>
    </xf>
    <xf numFmtId="181" fontId="56" fillId="14" borderId="1" xfId="0" applyNumberFormat="1" applyFont="1" applyFill="1" applyBorder="1" applyAlignment="1">
      <alignment horizontal="center" vertical="center" wrapText="1"/>
    </xf>
    <xf numFmtId="184" fontId="55" fillId="14" borderId="1" xfId="0" applyNumberFormat="1" applyFont="1" applyFill="1" applyBorder="1" applyAlignment="1">
      <alignment horizontal="center" vertical="center" wrapText="1"/>
    </xf>
    <xf numFmtId="183" fontId="55" fillId="14" borderId="1" xfId="0" applyNumberFormat="1" applyFont="1" applyFill="1" applyBorder="1" applyAlignment="1">
      <alignment horizontal="center" vertical="center" wrapText="1"/>
    </xf>
    <xf numFmtId="180" fontId="55" fillId="0" borderId="1" xfId="0" applyNumberFormat="1" applyFont="1" applyFill="1" applyBorder="1" applyAlignment="1">
      <alignment horizontal="center" vertical="center" wrapText="1"/>
    </xf>
    <xf numFmtId="183" fontId="9" fillId="9" borderId="1" xfId="0" applyNumberFormat="1" applyFont="1" applyFill="1" applyBorder="1" applyAlignment="1">
      <alignment horizontal="center" vertical="center" wrapText="1"/>
    </xf>
    <xf numFmtId="182" fontId="57" fillId="0" borderId="1" xfId="0" applyNumberFormat="1" applyFont="1" applyBorder="1" applyAlignment="1">
      <alignment horizontal="center" vertical="center"/>
    </xf>
    <xf numFmtId="181" fontId="55" fillId="0" borderId="1" xfId="0" applyNumberFormat="1" applyFont="1" applyFill="1" applyBorder="1" applyAlignment="1">
      <alignment horizontal="center" vertical="center" wrapText="1"/>
    </xf>
    <xf numFmtId="183" fontId="9" fillId="11" borderId="1" xfId="0" applyNumberFormat="1" applyFont="1" applyFill="1" applyBorder="1" applyAlignment="1">
      <alignment horizontal="center" vertical="center" wrapText="1"/>
    </xf>
    <xf numFmtId="216" fontId="0" fillId="0" borderId="1" xfId="0" applyNumberFormat="1" applyFont="1" applyBorder="1" applyAlignment="1">
      <alignment horizontal="center" vertical="center"/>
    </xf>
    <xf numFmtId="212" fontId="67" fillId="4" borderId="1" xfId="1" applyNumberFormat="1" applyFont="1" applyFill="1" applyBorder="1" applyAlignment="1">
      <alignment vertical="center" shrinkToFit="1"/>
    </xf>
    <xf numFmtId="185" fontId="56" fillId="4" borderId="1" xfId="0" applyNumberFormat="1" applyFont="1" applyFill="1" applyBorder="1" applyAlignment="1">
      <alignment horizontal="center" vertical="center" wrapText="1"/>
    </xf>
    <xf numFmtId="177" fontId="55" fillId="0" borderId="1" xfId="0" applyNumberFormat="1" applyFont="1" applyFill="1" applyBorder="1" applyAlignment="1">
      <alignment horizontal="center" vertical="center" wrapText="1"/>
    </xf>
    <xf numFmtId="184" fontId="55" fillId="0" borderId="1" xfId="0" applyNumberFormat="1" applyFont="1" applyFill="1" applyBorder="1" applyAlignment="1">
      <alignment horizontal="center" vertical="center" wrapText="1"/>
    </xf>
    <xf numFmtId="179" fontId="55" fillId="3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68" fillId="0" borderId="5" xfId="0" applyFont="1" applyFill="1" applyBorder="1" applyAlignment="1">
      <alignment horizontal="center" vertical="center"/>
    </xf>
    <xf numFmtId="220" fontId="12" fillId="3" borderId="1" xfId="0" applyNumberFormat="1" applyFont="1" applyFill="1" applyBorder="1" applyAlignment="1">
      <alignment horizontal="center" vertical="center"/>
    </xf>
    <xf numFmtId="227" fontId="0" fillId="8" borderId="1" xfId="0" applyNumberFormat="1" applyFont="1" applyFill="1" applyBorder="1" applyAlignment="1">
      <alignment horizontal="center" vertical="center"/>
    </xf>
    <xf numFmtId="228" fontId="53" fillId="0" borderId="1" xfId="0" applyNumberFormat="1" applyFont="1" applyBorder="1" applyAlignment="1">
      <alignment horizontal="center" vertical="center"/>
    </xf>
    <xf numFmtId="216" fontId="59" fillId="14" borderId="1" xfId="0" applyNumberFormat="1" applyFont="1" applyFill="1" applyBorder="1" applyAlignment="1">
      <alignment horizontal="center" vertical="center"/>
    </xf>
    <xf numFmtId="228" fontId="53" fillId="10" borderId="1" xfId="0" applyNumberFormat="1" applyFont="1" applyFill="1" applyBorder="1" applyAlignment="1">
      <alignment horizontal="center" vertical="center"/>
    </xf>
    <xf numFmtId="212" fontId="67" fillId="3" borderId="1" xfId="1" applyNumberFormat="1" applyFont="1" applyFill="1" applyBorder="1" applyAlignment="1">
      <alignment horizontal="center" vertical="center"/>
    </xf>
    <xf numFmtId="0" fontId="0" fillId="0" borderId="0" xfId="0">
      <alignment vertical="center"/>
    </xf>
    <xf numFmtId="212" fontId="12" fillId="3" borderId="1" xfId="1" applyNumberFormat="1" applyFont="1" applyFill="1" applyBorder="1" applyAlignment="1">
      <alignment horizontal="center" vertical="center"/>
    </xf>
    <xf numFmtId="0" fontId="71" fillId="3" borderId="1" xfId="0" applyFont="1" applyFill="1" applyBorder="1" applyAlignment="1">
      <alignment horizontal="center" vertical="center"/>
    </xf>
    <xf numFmtId="214" fontId="71" fillId="2" borderId="1" xfId="0" applyNumberFormat="1" applyFont="1" applyFill="1" applyBorder="1" applyAlignment="1">
      <alignment horizontal="center" vertical="center"/>
    </xf>
    <xf numFmtId="214" fontId="2" fillId="2" borderId="1" xfId="0" applyNumberFormat="1" applyFont="1" applyFill="1" applyBorder="1" applyAlignment="1">
      <alignment horizontal="center" vertical="center"/>
    </xf>
    <xf numFmtId="179" fontId="65" fillId="0" borderId="1" xfId="0" applyNumberFormat="1" applyFont="1" applyFill="1" applyBorder="1" applyAlignment="1">
      <alignment horizontal="center" vertical="center" wrapText="1"/>
    </xf>
    <xf numFmtId="176" fontId="56" fillId="0" borderId="5" xfId="0" applyNumberFormat="1" applyFont="1" applyFill="1" applyBorder="1" applyAlignment="1">
      <alignment horizontal="center" vertical="center" wrapText="1"/>
    </xf>
    <xf numFmtId="183" fontId="60" fillId="14" borderId="1" xfId="0" applyNumberFormat="1" applyFont="1" applyFill="1" applyBorder="1" applyAlignment="1">
      <alignment horizontal="center" vertical="center" wrapText="1"/>
    </xf>
    <xf numFmtId="213" fontId="72" fillId="0" borderId="1" xfId="0" applyNumberFormat="1" applyFont="1" applyFill="1" applyBorder="1" applyAlignment="1">
      <alignment horizontal="right" vertical="center" shrinkToFit="1"/>
    </xf>
    <xf numFmtId="182" fontId="70" fillId="3" borderId="1" xfId="0" applyNumberFormat="1" applyFont="1" applyFill="1" applyBorder="1" applyAlignment="1">
      <alignment horizontal="center" vertical="center"/>
    </xf>
    <xf numFmtId="176" fontId="56" fillId="0" borderId="1" xfId="0" applyNumberFormat="1" applyFont="1" applyFill="1" applyBorder="1" applyAlignment="1">
      <alignment horizontal="center" vertical="center" wrapText="1"/>
    </xf>
    <xf numFmtId="179" fontId="60" fillId="14" borderId="1" xfId="0" applyNumberFormat="1" applyFont="1" applyFill="1" applyBorder="1" applyAlignment="1">
      <alignment horizontal="center" vertical="center" wrapText="1"/>
    </xf>
    <xf numFmtId="181" fontId="60" fillId="14" borderId="1" xfId="0" applyNumberFormat="1" applyFont="1" applyFill="1" applyBorder="1" applyAlignment="1">
      <alignment horizontal="center" vertical="center" wrapText="1"/>
    </xf>
    <xf numFmtId="0" fontId="59" fillId="14" borderId="1" xfId="0" applyFont="1" applyFill="1" applyBorder="1" applyAlignment="1">
      <alignment horizontal="center" vertical="center"/>
    </xf>
    <xf numFmtId="184" fontId="60" fillId="14" borderId="1" xfId="0" applyNumberFormat="1" applyFont="1" applyFill="1" applyBorder="1" applyAlignment="1">
      <alignment horizontal="center" vertical="center" wrapText="1"/>
    </xf>
    <xf numFmtId="182" fontId="59" fillId="14" borderId="1" xfId="0" applyNumberFormat="1" applyFont="1" applyFill="1" applyBorder="1" applyAlignment="1">
      <alignment horizontal="center" vertical="center"/>
    </xf>
    <xf numFmtId="212" fontId="12" fillId="3" borderId="1" xfId="1" applyNumberFormat="1" applyFont="1" applyFill="1" applyBorder="1" applyAlignment="1">
      <alignment horizontal="center" vertical="center"/>
    </xf>
    <xf numFmtId="212" fontId="12" fillId="0" borderId="1" xfId="1" applyNumberFormat="1" applyFont="1" applyFill="1" applyBorder="1" applyAlignment="1">
      <alignment horizontal="center" vertical="center"/>
    </xf>
    <xf numFmtId="0" fontId="69" fillId="0" borderId="1" xfId="147" applyFont="1" applyFill="1" applyBorder="1" applyAlignment="1">
      <alignment horizontal="center" vertical="center"/>
    </xf>
    <xf numFmtId="216" fontId="69" fillId="0" borderId="1" xfId="147" applyNumberFormat="1" applyFont="1" applyFill="1" applyBorder="1" applyAlignment="1">
      <alignment horizontal="center" vertical="center"/>
    </xf>
    <xf numFmtId="224" fontId="67" fillId="0" borderId="1" xfId="146" applyNumberFormat="1" applyFont="1" applyFill="1" applyBorder="1" applyAlignment="1">
      <alignment horizontal="center" vertical="center"/>
    </xf>
    <xf numFmtId="213" fontId="64" fillId="0" borderId="1" xfId="0" applyNumberFormat="1" applyFont="1" applyFill="1" applyBorder="1" applyAlignment="1">
      <alignment horizontal="right" vertical="center" shrinkToFit="1"/>
    </xf>
    <xf numFmtId="212" fontId="67" fillId="3" borderId="1" xfId="1" applyNumberFormat="1" applyFont="1" applyFill="1" applyBorder="1" applyAlignment="1">
      <alignment horizontal="center" vertical="center"/>
    </xf>
    <xf numFmtId="220" fontId="67" fillId="3" borderId="1" xfId="0" applyNumberFormat="1" applyFont="1" applyFill="1" applyBorder="1" applyAlignment="1">
      <alignment horizontal="center" vertical="center"/>
    </xf>
    <xf numFmtId="220" fontId="12" fillId="3" borderId="1" xfId="0" applyNumberFormat="1" applyFont="1" applyFill="1" applyBorder="1" applyAlignment="1">
      <alignment horizontal="center" vertical="center"/>
    </xf>
    <xf numFmtId="214" fontId="0" fillId="4" borderId="1" xfId="0" applyNumberFormat="1" applyFill="1" applyBorder="1" applyAlignment="1">
      <alignment horizontal="center" vertical="center"/>
    </xf>
    <xf numFmtId="214" fontId="53" fillId="2" borderId="1" xfId="0" applyNumberFormat="1" applyFont="1" applyFill="1" applyBorder="1" applyAlignment="1">
      <alignment horizontal="center" vertical="center"/>
    </xf>
    <xf numFmtId="214" fontId="62" fillId="13" borderId="1" xfId="0" applyNumberFormat="1" applyFont="1" applyFill="1" applyBorder="1" applyAlignment="1">
      <alignment horizontal="center" vertical="center"/>
    </xf>
    <xf numFmtId="214" fontId="0" fillId="2" borderId="1" xfId="0" applyNumberFormat="1" applyFill="1" applyBorder="1" applyAlignment="1">
      <alignment horizontal="center" vertical="center"/>
    </xf>
    <xf numFmtId="214" fontId="66" fillId="13" borderId="1" xfId="0" applyNumberFormat="1" applyFont="1" applyFill="1" applyBorder="1" applyAlignment="1">
      <alignment horizontal="center" vertical="center"/>
    </xf>
    <xf numFmtId="0" fontId="68" fillId="0" borderId="1" xfId="0" applyFont="1" applyFill="1" applyBorder="1" applyAlignment="1">
      <alignment horizontal="center" vertical="center"/>
    </xf>
    <xf numFmtId="222" fontId="66" fillId="13" borderId="1" xfId="0" applyNumberFormat="1" applyFont="1" applyFill="1" applyBorder="1" applyAlignment="1">
      <alignment horizontal="center" vertical="center"/>
    </xf>
    <xf numFmtId="222" fontId="53" fillId="2" borderId="1" xfId="0" applyNumberFormat="1" applyFont="1" applyFill="1" applyBorder="1" applyAlignment="1">
      <alignment horizontal="center" vertical="center"/>
    </xf>
    <xf numFmtId="222" fontId="62" fillId="13" borderId="1" xfId="0" applyNumberFormat="1" applyFont="1" applyFill="1" applyBorder="1" applyAlignment="1">
      <alignment horizontal="center" vertical="center"/>
    </xf>
    <xf numFmtId="222" fontId="0" fillId="4" borderId="1" xfId="0" applyNumberFormat="1" applyFill="1" applyBorder="1" applyAlignment="1">
      <alignment horizontal="center" vertical="center"/>
    </xf>
    <xf numFmtId="222" fontId="0" fillId="2" borderId="1" xfId="0" applyNumberFormat="1" applyFill="1" applyBorder="1" applyAlignment="1">
      <alignment horizontal="center" vertical="center"/>
    </xf>
    <xf numFmtId="214" fontId="59" fillId="2" borderId="1" xfId="0" applyNumberFormat="1" applyFont="1" applyFill="1" applyBorder="1" applyAlignment="1">
      <alignment horizontal="center" vertical="center"/>
    </xf>
    <xf numFmtId="222" fontId="12" fillId="2" borderId="1" xfId="0" applyNumberFormat="1" applyFont="1" applyFill="1" applyBorder="1" applyAlignment="1">
      <alignment horizontal="center" vertical="center"/>
    </xf>
    <xf numFmtId="222" fontId="59" fillId="2" borderId="1" xfId="0" applyNumberFormat="1" applyFont="1" applyFill="1" applyBorder="1" applyAlignment="1">
      <alignment horizontal="center" vertical="center"/>
    </xf>
    <xf numFmtId="214" fontId="12" fillId="2" borderId="1" xfId="0" applyNumberFormat="1" applyFont="1" applyFill="1" applyBorder="1" applyAlignment="1">
      <alignment horizontal="center" vertical="center"/>
    </xf>
    <xf numFmtId="179" fontId="65" fillId="0" borderId="1" xfId="0" applyNumberFormat="1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58" fillId="12" borderId="1" xfId="0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0" fillId="8" borderId="6" xfId="0" applyFont="1" applyFill="1" applyBorder="1" applyAlignment="1">
      <alignment horizontal="center" vertical="center"/>
    </xf>
    <xf numFmtId="0" fontId="0" fillId="8" borderId="7" xfId="0" applyFont="1" applyFill="1" applyBorder="1" applyAlignment="1">
      <alignment horizontal="center" vertical="center"/>
    </xf>
    <xf numFmtId="0" fontId="0" fillId="8" borderId="8" xfId="0" applyFont="1" applyFill="1" applyBorder="1" applyAlignment="1">
      <alignment horizontal="center" vertical="center"/>
    </xf>
    <xf numFmtId="0" fontId="0" fillId="8" borderId="13" xfId="0" applyFont="1" applyFill="1" applyBorder="1" applyAlignment="1">
      <alignment horizontal="center" vertical="center"/>
    </xf>
    <xf numFmtId="0" fontId="0" fillId="8" borderId="0" xfId="0" applyFont="1" applyFill="1" applyBorder="1" applyAlignment="1">
      <alignment horizontal="center" vertical="center"/>
    </xf>
    <xf numFmtId="0" fontId="0" fillId="8" borderId="12" xfId="0" applyFont="1" applyFill="1" applyBorder="1" applyAlignment="1">
      <alignment horizontal="center" vertical="center"/>
    </xf>
    <xf numFmtId="0" fontId="0" fillId="8" borderId="9" xfId="0" applyFont="1" applyFill="1" applyBorder="1" applyAlignment="1">
      <alignment horizontal="center" vertical="center"/>
    </xf>
    <xf numFmtId="0" fontId="0" fillId="8" borderId="10" xfId="0" applyFont="1" applyFill="1" applyBorder="1" applyAlignment="1">
      <alignment horizontal="center" vertical="center"/>
    </xf>
    <xf numFmtId="0" fontId="0" fillId="8" borderId="11" xfId="0" applyFont="1" applyFill="1" applyBorder="1" applyAlignment="1">
      <alignment horizontal="center" vertical="center"/>
    </xf>
    <xf numFmtId="179" fontId="65" fillId="0" borderId="2" xfId="0" applyNumberFormat="1" applyFont="1" applyFill="1" applyBorder="1" applyAlignment="1">
      <alignment horizontal="center" vertical="center" wrapText="1"/>
    </xf>
    <xf numFmtId="179" fontId="65" fillId="0" borderId="3" xfId="0" applyNumberFormat="1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71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0" fontId="0" fillId="15" borderId="9" xfId="0" applyFont="1" applyFill="1" applyBorder="1" applyAlignment="1">
      <alignment horizontal="center" vertical="center"/>
    </xf>
    <xf numFmtId="0" fontId="0" fillId="15" borderId="10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 wrapText="1"/>
    </xf>
  </cellXfs>
  <cellStyles count="149">
    <cellStyle name="??&amp;O?&amp;H?_x0008__x000f__x0007_?_x0007__x0001__x0001_" xfId="8"/>
    <cellStyle name="??&amp;O?&amp;H?_x0008_??_x0007__x0001__x0001_" xfId="9"/>
    <cellStyle name="?W?_laroux" xfId="10"/>
    <cellStyle name="’E‰Y [0.00]_laroux" xfId="11"/>
    <cellStyle name="’E‰Y_laroux" xfId="12"/>
    <cellStyle name="2)" xfId="13"/>
    <cellStyle name="ÅëÈ­ [0]_»óºÎ¼ö·®Áý°è " xfId="14"/>
    <cellStyle name="AeE­ [0]_INQUIRY ¿μ¾÷AßAø " xfId="15"/>
    <cellStyle name="ÅëÈ­_»óºÎ¼ö·®Áý°è " xfId="16"/>
    <cellStyle name="AeE­_INQUIRY ¿μ¾÷AßAø " xfId="17"/>
    <cellStyle name="ALIGNMENT" xfId="18"/>
    <cellStyle name="ÄÞ¸¶ [0]_»óºÎ¼ö·®Áý°è " xfId="19"/>
    <cellStyle name="AÞ¸¶ [0]_INQUIRY ¿μ¾÷AßAø " xfId="20"/>
    <cellStyle name="ÄÞ¸¶_»óºÎ¼ö·®Áý°è " xfId="21"/>
    <cellStyle name="AÞ¸¶_INQUIRY ¿μ¾÷AßAø " xfId="22"/>
    <cellStyle name="C￥AØ_¿μ¾÷CoE² " xfId="23"/>
    <cellStyle name="Ç¥ÁØ_»óºÎ¼ö·®Áý°è " xfId="24"/>
    <cellStyle name="Calc Currency (0)" xfId="25"/>
    <cellStyle name="category" xfId="26"/>
    <cellStyle name="Comma" xfId="27"/>
    <cellStyle name="Comma [0]_ SG&amp;A Bridge " xfId="28"/>
    <cellStyle name="comma zerodec" xfId="29"/>
    <cellStyle name="Comma_ SG&amp;A Bridge " xfId="30"/>
    <cellStyle name="Comma0" xfId="31"/>
    <cellStyle name="Currenby_Cash&amp;DSO Chart" xfId="32"/>
    <cellStyle name="Currency" xfId="33"/>
    <cellStyle name="Currency [0]_ SG&amp;A Bridge " xfId="34"/>
    <cellStyle name="Currency_ SG&amp;A Bridge " xfId="35"/>
    <cellStyle name="Currency0" xfId="36"/>
    <cellStyle name="Currency1" xfId="37"/>
    <cellStyle name="Date" xfId="38"/>
    <cellStyle name="Dollar (zero dec)" xfId="39"/>
    <cellStyle name="F2" xfId="40"/>
    <cellStyle name="F3" xfId="41"/>
    <cellStyle name="F4" xfId="42"/>
    <cellStyle name="F5" xfId="43"/>
    <cellStyle name="F6" xfId="44"/>
    <cellStyle name="F7" xfId="45"/>
    <cellStyle name="F8" xfId="46"/>
    <cellStyle name="Fixed" xfId="47"/>
    <cellStyle name="Grey" xfId="48"/>
    <cellStyle name="HEADER" xfId="49"/>
    <cellStyle name="Header1" xfId="50"/>
    <cellStyle name="Header2" xfId="51"/>
    <cellStyle name="Heading 1" xfId="52"/>
    <cellStyle name="Heading 2" xfId="53"/>
    <cellStyle name="Heading1" xfId="54"/>
    <cellStyle name="Heading2" xfId="55"/>
    <cellStyle name="Hyperlink_NEGS" xfId="56"/>
    <cellStyle name="Input [yellow]" xfId="57"/>
    <cellStyle name="Midtitle" xfId="58"/>
    <cellStyle name="Milliers [0]_Arabian Spec" xfId="59"/>
    <cellStyle name="Milliers_Arabian Spec" xfId="60"/>
    <cellStyle name="Model" xfId="61"/>
    <cellStyle name="Mon?aire [0]_Arabian Spec" xfId="62"/>
    <cellStyle name="Mon?aire_Arabian Spec" xfId="63"/>
    <cellStyle name="normal" xfId="64"/>
    <cellStyle name="Normal - Style1" xfId="65"/>
    <cellStyle name="Normal_ SG&amp;A Bridge " xfId="66"/>
    <cellStyle name="Œ…?æ맖?e [0.00]_laroux" xfId="67"/>
    <cellStyle name="Œ…?æ맖?e_laroux" xfId="68"/>
    <cellStyle name="Percent" xfId="69"/>
    <cellStyle name="Percent [2]" xfId="70"/>
    <cellStyle name="Percent_00_전체토공수량" xfId="71"/>
    <cellStyle name="subhead" xfId="72"/>
    <cellStyle name="testtitle" xfId="73"/>
    <cellStyle name="title [1]" xfId="74"/>
    <cellStyle name="title [2]" xfId="75"/>
    <cellStyle name="Total" xfId="76"/>
    <cellStyle name="UM" xfId="77"/>
    <cellStyle name="고정소숫점" xfId="78"/>
    <cellStyle name="고정출력1" xfId="79"/>
    <cellStyle name="고정출력2" xfId="80"/>
    <cellStyle name="공종-규격" xfId="81"/>
    <cellStyle name="날짜" xfId="82"/>
    <cellStyle name="단위-&quot;*&quot;" xfId="83"/>
    <cellStyle name="단위-%" xfId="84"/>
    <cellStyle name="단위-kg" xfId="85"/>
    <cellStyle name="단위-m" xfId="86"/>
    <cellStyle name="단위-㎡" xfId="87"/>
    <cellStyle name="단위-㎡/개소" xfId="88"/>
    <cellStyle name="단위-㎡_관보호공" xfId="89"/>
    <cellStyle name="단위-㎥" xfId="90"/>
    <cellStyle name="단위-t=" xfId="91"/>
    <cellStyle name="달러" xfId="92"/>
    <cellStyle name="대공종" xfId="93"/>
    <cellStyle name="뒤에 오는 하이퍼링크_1차포장공1" xfId="94"/>
    <cellStyle name="똿뗦먛귟 [0.00]_PRODUCT DETAIL Q1" xfId="95"/>
    <cellStyle name="똿뗦먛귟_PRODUCT DETAIL Q1" xfId="96"/>
    <cellStyle name="믅됞 [0.00]_PRODUCT DETAIL Q1" xfId="97"/>
    <cellStyle name="믅됞_PRODUCT DETAIL Q1" xfId="98"/>
    <cellStyle name="백분율 [0]" xfId="99"/>
    <cellStyle name="백분율 [2]" xfId="100"/>
    <cellStyle name="뷭?_BOOKSHIP" xfId="101"/>
    <cellStyle name="산출식" xfId="102"/>
    <cellStyle name="선택영역" xfId="103"/>
    <cellStyle name="선택영역 가운데" xfId="104"/>
    <cellStyle name="선택영역_토공수량" xfId="105"/>
    <cellStyle name="선택영역의 가운데" xfId="106"/>
    <cellStyle name="선택영영" xfId="107"/>
    <cellStyle name="소공종" xfId="108"/>
    <cellStyle name="소숫점0" xfId="109"/>
    <cellStyle name="소숫점3" xfId="110"/>
    <cellStyle name="수량산출" xfId="111"/>
    <cellStyle name="숫자" xfId="112"/>
    <cellStyle name="숫자(R)" xfId="113"/>
    <cellStyle name="숫자1" xfId="114"/>
    <cellStyle name="숫자3" xfId="115"/>
    <cellStyle name="숫자3R" xfId="116"/>
    <cellStyle name="숫자3자리" xfId="117"/>
    <cellStyle name="쉼표 [0]" xfId="1" builtinId="6"/>
    <cellStyle name="쉼표 [0] 2" xfId="2"/>
    <cellStyle name="쉼표 [0] 2 2" xfId="139"/>
    <cellStyle name="쉼표 [0] 3" xfId="146"/>
    <cellStyle name="쉼표 [0] 3 2" xfId="148"/>
    <cellStyle name="쉼표 [0] 6" xfId="3"/>
    <cellStyle name="쉼표 [0] 6 2" xfId="140"/>
    <cellStyle name="쉼표 [0] 6 3" xfId="118"/>
    <cellStyle name="스타일 1" xfId="119"/>
    <cellStyle name="안건회계법인" xfId="120"/>
    <cellStyle name="양식-타이틀" xfId="121"/>
    <cellStyle name="유1" xfId="122"/>
    <cellStyle name="일반" xfId="123"/>
    <cellStyle name="자리수" xfId="124"/>
    <cellStyle name="자리수0" xfId="125"/>
    <cellStyle name="지정되지 않음" xfId="126"/>
    <cellStyle name="콤마 [0]_ 4.하중계산  " xfId="127"/>
    <cellStyle name="콤마 [1]" xfId="128"/>
    <cellStyle name="콤마 [2]" xfId="129"/>
    <cellStyle name="콤마_ 4.하중계산  " xfId="130"/>
    <cellStyle name="통화 [0] 2" xfId="131"/>
    <cellStyle name="통화 [0㉝〸" xfId="132"/>
    <cellStyle name="퍼센트" xfId="133"/>
    <cellStyle name="표준" xfId="0" builtinId="0"/>
    <cellStyle name="표준 12" xfId="143"/>
    <cellStyle name="표준 2" xfId="4"/>
    <cellStyle name="표준 2 3" xfId="5"/>
    <cellStyle name="표준 2 3 2" xfId="141"/>
    <cellStyle name="표준 3" xfId="138"/>
    <cellStyle name="표준 3 2" xfId="144"/>
    <cellStyle name="표준 4" xfId="6"/>
    <cellStyle name="표준 5" xfId="7"/>
    <cellStyle name="표준 5 2" xfId="142"/>
    <cellStyle name="표준 5 3" xfId="134"/>
    <cellStyle name="표준 6" xfId="145"/>
    <cellStyle name="표준_55" xfId="147"/>
    <cellStyle name="합산" xfId="135"/>
    <cellStyle name="화폐기호" xfId="136"/>
    <cellStyle name="화폐기호0" xfId="1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77"/>
  <sheetViews>
    <sheetView showGridLines="0" tabSelected="1" zoomScale="85" zoomScaleNormal="85" zoomScaleSheetLayoutView="55" workbookViewId="0">
      <pane xSplit="15" ySplit="8" topLeftCell="P9" activePane="bottomRight" state="frozen"/>
      <selection pane="topRight" activeCell="O1" sqref="O1"/>
      <selection pane="bottomLeft" activeCell="A9" sqref="A9"/>
      <selection pane="bottomRight" activeCell="J61" sqref="J60:J61"/>
    </sheetView>
  </sheetViews>
  <sheetFormatPr defaultRowHeight="16.5"/>
  <cols>
    <col min="1" max="1" width="3.375" customWidth="1"/>
    <col min="2" max="2" width="6" style="4" customWidth="1"/>
    <col min="3" max="3" width="21" customWidth="1"/>
    <col min="4" max="4" width="30.125" style="48" bestFit="1" customWidth="1"/>
    <col min="5" max="5" width="9" style="109" customWidth="1"/>
    <col min="6" max="6" width="9.25" bestFit="1" customWidth="1"/>
    <col min="7" max="7" width="13.875" bestFit="1" customWidth="1"/>
    <col min="8" max="8" width="13.125" bestFit="1" customWidth="1"/>
    <col min="9" max="10" width="16.625" style="4" customWidth="1"/>
    <col min="11" max="11" width="9.25" bestFit="1" customWidth="1"/>
    <col min="12" max="12" width="10.75" style="5" customWidth="1"/>
    <col min="13" max="13" width="9.375" style="117" bestFit="1" customWidth="1"/>
    <col min="14" max="14" width="9.375" style="6" bestFit="1" customWidth="1"/>
    <col min="15" max="15" width="9.375" style="4" customWidth="1"/>
    <col min="16" max="16" width="8.125" style="4" customWidth="1"/>
    <col min="17" max="17" width="9.25" style="4" bestFit="1" customWidth="1"/>
    <col min="18" max="18" width="9.25" style="4" customWidth="1"/>
    <col min="19" max="19" width="10.75" style="4" customWidth="1"/>
    <col min="20" max="21" width="8.125" style="4" customWidth="1"/>
    <col min="22" max="22" width="10.125" style="4" bestFit="1" customWidth="1"/>
    <col min="23" max="23" width="10.125" style="4" customWidth="1"/>
    <col min="24" max="24" width="11.25" style="4" bestFit="1" customWidth="1"/>
    <col min="25" max="25" width="9.125" style="4" bestFit="1" customWidth="1"/>
    <col min="26" max="26" width="8.125" style="4" customWidth="1"/>
    <col min="27" max="27" width="11.125" style="4" bestFit="1" customWidth="1"/>
    <col min="28" max="28" width="11.125" style="4" customWidth="1"/>
    <col min="29" max="29" width="9.75" style="4" bestFit="1" customWidth="1"/>
    <col min="30" max="31" width="8.125" style="4" customWidth="1"/>
    <col min="32" max="32" width="10.125" style="4" bestFit="1" customWidth="1"/>
    <col min="33" max="33" width="10.125" style="4" customWidth="1"/>
    <col min="34" max="38" width="8.125" style="4" customWidth="1"/>
    <col min="39" max="39" width="9.875" style="4" bestFit="1" customWidth="1"/>
    <col min="40" max="42" width="8.125" style="4" customWidth="1"/>
    <col min="43" max="44" width="8.25" style="4" customWidth="1"/>
    <col min="45" max="45" width="9" style="4" customWidth="1"/>
    <col min="46" max="61" width="8.25" style="4" customWidth="1"/>
    <col min="62" max="62" width="10" style="4" bestFit="1" customWidth="1"/>
    <col min="63" max="71" width="8.25" style="4" customWidth="1"/>
    <col min="72" max="72" width="10.25" style="4" bestFit="1" customWidth="1"/>
    <col min="73" max="76" width="8.25" style="4" customWidth="1"/>
    <col min="77" max="77" width="9.25" style="4" customWidth="1"/>
    <col min="78" max="93" width="8.25" style="4" customWidth="1"/>
    <col min="94" max="94" width="9.625" style="4" bestFit="1" customWidth="1"/>
    <col min="95" max="96" width="8.25" style="4" customWidth="1"/>
    <col min="97" max="97" width="10.25" style="4" bestFit="1" customWidth="1"/>
    <col min="98" max="98" width="8.25" style="4" customWidth="1"/>
    <col min="99" max="99" width="11.625" style="4" bestFit="1" customWidth="1"/>
    <col min="100" max="101" width="8.25" style="4" customWidth="1"/>
    <col min="102" max="102" width="10.25" style="4" bestFit="1" customWidth="1"/>
    <col min="103" max="103" width="8.25" style="4" customWidth="1"/>
    <col min="104" max="104" width="9.75" style="4" bestFit="1" customWidth="1"/>
    <col min="105" max="112" width="8.25" style="4" customWidth="1"/>
    <col min="113" max="116" width="8.25" style="49" customWidth="1"/>
    <col min="117" max="120" width="9" style="49"/>
    <col min="121" max="126" width="9" style="4"/>
  </cols>
  <sheetData>
    <row r="1" spans="1:126" ht="33" hidden="1" customHeight="1">
      <c r="C1" s="180" t="s">
        <v>21</v>
      </c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80"/>
      <c r="AK1" s="180"/>
      <c r="AL1" s="180"/>
      <c r="AM1" s="180"/>
      <c r="AN1" s="180"/>
      <c r="AO1" s="180"/>
      <c r="AP1" s="180"/>
    </row>
    <row r="2" spans="1:126" ht="31.5" hidden="1">
      <c r="C2" s="180" t="s">
        <v>22</v>
      </c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0"/>
      <c r="AP2" s="180"/>
    </row>
    <row r="3" spans="1:126" ht="24.95" hidden="1" customHeight="1">
      <c r="C3" s="1"/>
      <c r="D3" s="1"/>
      <c r="E3" s="1"/>
      <c r="F3" s="1"/>
      <c r="G3" s="2"/>
      <c r="H3" s="2"/>
      <c r="AM3" s="43"/>
      <c r="AP3" s="43" t="s">
        <v>23</v>
      </c>
    </row>
    <row r="4" spans="1:126" ht="24.95" customHeight="1">
      <c r="C4" s="1"/>
      <c r="D4" s="1"/>
      <c r="E4" s="1"/>
      <c r="F4" s="1"/>
      <c r="G4" s="2"/>
      <c r="H4" s="2"/>
      <c r="O4" s="56">
        <f>K9/N9</f>
        <v>5.2308749999999975</v>
      </c>
      <c r="Q4" s="53">
        <f>U9</f>
        <v>0.14654213821892387</v>
      </c>
      <c r="R4" s="55">
        <f>8*Q4</f>
        <v>1.1723371057513909</v>
      </c>
      <c r="S4" s="57">
        <f>R4*60</f>
        <v>70.340226345083451</v>
      </c>
      <c r="V4" s="53">
        <f>Z9</f>
        <v>0.15197068421052623</v>
      </c>
      <c r="W4" s="55">
        <f>8*V4</f>
        <v>1.2157654736842098</v>
      </c>
      <c r="X4" s="57">
        <f>W4*60</f>
        <v>72.945928421052585</v>
      </c>
      <c r="AA4" s="53">
        <f>AE9</f>
        <v>0.46688982142857138</v>
      </c>
      <c r="AB4" s="55">
        <f>8*AA4</f>
        <v>3.7351185714285711</v>
      </c>
      <c r="AC4" s="57">
        <f>AB4*60</f>
        <v>224.10711428571426</v>
      </c>
      <c r="AF4" s="53">
        <f>AJ9</f>
        <v>0.10461749999999996</v>
      </c>
      <c r="AG4" s="55">
        <f>8*AF4</f>
        <v>0.83693999999999968</v>
      </c>
      <c r="AH4" s="57">
        <f>AG4*60</f>
        <v>50.216399999999979</v>
      </c>
      <c r="AK4" s="53">
        <f>AO9</f>
        <v>1.4485499999999995E-2</v>
      </c>
      <c r="AL4" s="55">
        <f>8*AK4</f>
        <v>0.11588399999999996</v>
      </c>
      <c r="AM4" s="57">
        <f>AL4*60</f>
        <v>6.9530399999999979</v>
      </c>
      <c r="AW4" s="53">
        <f>BA9</f>
        <v>5.230874999999998E-2</v>
      </c>
      <c r="AX4" s="55">
        <f>8*AW4</f>
        <v>0.41846999999999984</v>
      </c>
      <c r="AY4" s="57">
        <f>AX4*60</f>
        <v>25.108199999999989</v>
      </c>
      <c r="BB4" s="53">
        <f>BF9</f>
        <v>1.7704499999999995E-2</v>
      </c>
      <c r="BC4" s="55">
        <f>8*BB4</f>
        <v>0.14163599999999996</v>
      </c>
      <c r="BD4" s="57">
        <f>BC4*60</f>
        <v>8.4981599999999968</v>
      </c>
      <c r="BH4" s="53">
        <f>BL9</f>
        <v>0</v>
      </c>
      <c r="BI4" s="55">
        <f>8*BH4</f>
        <v>0</v>
      </c>
      <c r="BJ4" s="57">
        <f>BI4*60</f>
        <v>0</v>
      </c>
      <c r="BM4" s="53">
        <f>BQ9</f>
        <v>0.2253759857142856</v>
      </c>
      <c r="BN4" s="55">
        <f>8*BM4</f>
        <v>1.8030078857142848</v>
      </c>
      <c r="BO4" s="57">
        <f>BN4*60</f>
        <v>108.1804731428571</v>
      </c>
      <c r="BR4" s="53">
        <f>BV9</f>
        <v>0.39385411764705863</v>
      </c>
      <c r="BS4" s="55">
        <f>8*BR4</f>
        <v>3.1508329411764691</v>
      </c>
      <c r="BT4" s="57">
        <f>BS4*60</f>
        <v>189.04997647058815</v>
      </c>
      <c r="BW4" s="53">
        <f>CA9</f>
        <v>5.7414083999999976E-2</v>
      </c>
      <c r="BX4" s="55">
        <f>8*BW4</f>
        <v>0.45931267199999981</v>
      </c>
      <c r="BY4" s="57">
        <f>BX4*60</f>
        <v>27.55876031999999</v>
      </c>
      <c r="CD4" s="53">
        <f>CH9</f>
        <v>1.5660922727272718E-2</v>
      </c>
      <c r="CE4" s="55">
        <f>8*CD4</f>
        <v>0.12528738181818175</v>
      </c>
      <c r="CF4" s="57">
        <f>CE4*60</f>
        <v>7.5172429090909052</v>
      </c>
      <c r="CI4" s="53">
        <f>CM9</f>
        <v>2.3364574999999988E-2</v>
      </c>
      <c r="CJ4" s="55">
        <f>8*CI4</f>
        <v>0.18691659999999991</v>
      </c>
      <c r="CK4" s="57">
        <f>CJ4*60</f>
        <v>11.214995999999994</v>
      </c>
      <c r="CN4" s="53">
        <f>CR9</f>
        <v>6.6693656249999969E-2</v>
      </c>
      <c r="CO4" s="55">
        <f>8*CN4</f>
        <v>0.53354924999999975</v>
      </c>
      <c r="CP4" s="57">
        <f>CO4*60</f>
        <v>32.012954999999984</v>
      </c>
      <c r="CS4" s="53">
        <f>CW9</f>
        <v>8.0032387499999955E-3</v>
      </c>
      <c r="CT4" s="55">
        <f>8*CS4</f>
        <v>6.4025909999999964E-2</v>
      </c>
      <c r="CU4" s="57">
        <f>CT4*60</f>
        <v>3.8415545999999976</v>
      </c>
      <c r="CX4" s="53">
        <f>DB9</f>
        <v>0.14227979999999993</v>
      </c>
      <c r="CY4" s="55">
        <f>8*CX4</f>
        <v>1.1382383999999994</v>
      </c>
      <c r="CZ4" s="57">
        <f>CY4*60</f>
        <v>68.294303999999968</v>
      </c>
      <c r="DC4" s="53">
        <f>DG9</f>
        <v>0.10461749999999995</v>
      </c>
      <c r="DD4" s="55">
        <f>8*DC4</f>
        <v>0.83693999999999957</v>
      </c>
      <c r="DE4" s="57">
        <f>DD4*60</f>
        <v>50.216399999999972</v>
      </c>
      <c r="DG4" s="55">
        <f>SUM(CE4,CJ4,CO4,CT4,CY4,DD4)</f>
        <v>2.8849575418181805</v>
      </c>
      <c r="DH4" s="57">
        <f>SUM(CF4,CK4,CP4,CU4,CZ4,DE4)</f>
        <v>173.09745250909083</v>
      </c>
    </row>
    <row r="5" spans="1:126" s="3" customFormat="1" ht="17.25" customHeight="1">
      <c r="A5" s="176"/>
      <c r="B5" s="164" t="s">
        <v>1</v>
      </c>
      <c r="C5" s="165"/>
      <c r="D5" s="165"/>
      <c r="E5" s="165"/>
      <c r="F5" s="165"/>
      <c r="G5" s="165"/>
      <c r="H5" s="166"/>
      <c r="I5" s="177" t="s">
        <v>15</v>
      </c>
      <c r="J5" s="177"/>
      <c r="K5" s="158" t="s">
        <v>44</v>
      </c>
      <c r="L5" s="158" t="s">
        <v>49</v>
      </c>
      <c r="M5" s="158" t="s">
        <v>158</v>
      </c>
      <c r="N5" s="158"/>
      <c r="O5" s="158" t="s">
        <v>60</v>
      </c>
      <c r="P5" s="181" t="s">
        <v>28</v>
      </c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81"/>
      <c r="AJ5" s="181"/>
      <c r="AK5" s="181"/>
      <c r="AL5" s="181"/>
      <c r="AM5" s="181"/>
      <c r="AN5" s="181"/>
      <c r="AO5" s="181"/>
      <c r="AP5" s="181"/>
      <c r="AQ5" s="181"/>
      <c r="AR5" s="181"/>
      <c r="AS5" s="181"/>
      <c r="AT5" s="181"/>
      <c r="AU5" s="181"/>
      <c r="AV5" s="181"/>
      <c r="AW5" s="175" t="s">
        <v>31</v>
      </c>
      <c r="AX5" s="175"/>
      <c r="AY5" s="175"/>
      <c r="AZ5" s="175"/>
      <c r="BA5" s="175"/>
      <c r="BB5" s="175"/>
      <c r="BC5" s="175"/>
      <c r="BD5" s="175"/>
      <c r="BE5" s="175"/>
      <c r="BF5" s="175"/>
      <c r="BG5" s="175"/>
      <c r="BH5" s="175"/>
      <c r="BI5" s="175"/>
      <c r="BJ5" s="175"/>
      <c r="BK5" s="175"/>
      <c r="BL5" s="175"/>
      <c r="BM5" s="175"/>
      <c r="BN5" s="175"/>
      <c r="BO5" s="175"/>
      <c r="BP5" s="175"/>
      <c r="BQ5" s="175"/>
      <c r="BR5" s="175"/>
      <c r="BS5" s="175"/>
      <c r="BT5" s="175"/>
      <c r="BU5" s="175"/>
      <c r="BV5" s="175"/>
      <c r="BW5" s="175"/>
      <c r="BX5" s="175"/>
      <c r="BY5" s="175"/>
      <c r="BZ5" s="175"/>
      <c r="CA5" s="175"/>
      <c r="CB5" s="175"/>
      <c r="CC5" s="175"/>
      <c r="CD5" s="161" t="s">
        <v>25</v>
      </c>
      <c r="CE5" s="161"/>
      <c r="CF5" s="161"/>
      <c r="CG5" s="161"/>
      <c r="CH5" s="161"/>
      <c r="CI5" s="161"/>
      <c r="CJ5" s="161"/>
      <c r="CK5" s="161"/>
      <c r="CL5" s="161"/>
      <c r="CM5" s="161"/>
      <c r="CN5" s="161"/>
      <c r="CO5" s="161"/>
      <c r="CP5" s="161"/>
      <c r="CQ5" s="161"/>
      <c r="CR5" s="161"/>
      <c r="CS5" s="161"/>
      <c r="CT5" s="161"/>
      <c r="CU5" s="161"/>
      <c r="CV5" s="161"/>
      <c r="CW5" s="161"/>
      <c r="CX5" s="161"/>
      <c r="CY5" s="161"/>
      <c r="CZ5" s="161"/>
      <c r="DA5" s="161"/>
      <c r="DB5" s="161"/>
      <c r="DC5" s="161"/>
      <c r="DD5" s="161"/>
      <c r="DE5" s="161"/>
      <c r="DF5" s="161"/>
      <c r="DG5" s="161"/>
      <c r="DH5" s="161"/>
      <c r="DI5" s="159" t="s">
        <v>45</v>
      </c>
      <c r="DJ5" s="159"/>
      <c r="DK5" s="159"/>
      <c r="DL5" s="159"/>
      <c r="DM5" s="159"/>
      <c r="DN5" s="159"/>
      <c r="DO5" s="159"/>
      <c r="DP5" s="159"/>
      <c r="DQ5" s="159"/>
      <c r="DR5" s="42"/>
      <c r="DS5" s="42"/>
      <c r="DT5" s="42"/>
      <c r="DU5" s="42"/>
      <c r="DV5" s="42"/>
    </row>
    <row r="6" spans="1:126" s="3" customFormat="1" ht="17.25" customHeight="1">
      <c r="A6" s="176"/>
      <c r="B6" s="167"/>
      <c r="C6" s="168"/>
      <c r="D6" s="168"/>
      <c r="E6" s="168"/>
      <c r="F6" s="168"/>
      <c r="G6" s="168"/>
      <c r="H6" s="169"/>
      <c r="I6" s="177"/>
      <c r="J6" s="177"/>
      <c r="K6" s="177"/>
      <c r="L6" s="177"/>
      <c r="M6" s="158"/>
      <c r="N6" s="158"/>
      <c r="O6" s="177"/>
      <c r="P6" s="160" t="s">
        <v>36</v>
      </c>
      <c r="Q6" s="160" t="s">
        <v>29</v>
      </c>
      <c r="R6" s="160"/>
      <c r="S6" s="160"/>
      <c r="T6" s="160"/>
      <c r="U6" s="160"/>
      <c r="V6" s="178" t="s">
        <v>165</v>
      </c>
      <c r="W6" s="179"/>
      <c r="X6" s="179"/>
      <c r="Y6" s="179"/>
      <c r="Z6" s="179"/>
      <c r="AA6" s="160" t="s">
        <v>8</v>
      </c>
      <c r="AB6" s="160"/>
      <c r="AC6" s="160"/>
      <c r="AD6" s="160"/>
      <c r="AE6" s="160"/>
      <c r="AF6" s="160"/>
      <c r="AG6" s="160"/>
      <c r="AH6" s="160"/>
      <c r="AI6" s="160"/>
      <c r="AJ6" s="160"/>
      <c r="AK6" s="160"/>
      <c r="AL6" s="160"/>
      <c r="AM6" s="160"/>
      <c r="AN6" s="160"/>
      <c r="AO6" s="160"/>
      <c r="AP6" s="160"/>
      <c r="AQ6" s="160" t="s">
        <v>34</v>
      </c>
      <c r="AR6" s="160"/>
      <c r="AS6" s="160"/>
      <c r="AT6" s="160"/>
      <c r="AU6" s="160"/>
      <c r="AV6" s="182" t="s">
        <v>32</v>
      </c>
      <c r="AW6" s="175" t="s">
        <v>9</v>
      </c>
      <c r="AX6" s="175"/>
      <c r="AY6" s="175"/>
      <c r="AZ6" s="175"/>
      <c r="BA6" s="175"/>
      <c r="BB6" s="175"/>
      <c r="BC6" s="175"/>
      <c r="BD6" s="175"/>
      <c r="BE6" s="175"/>
      <c r="BF6" s="175"/>
      <c r="BG6" s="175"/>
      <c r="BH6" s="175" t="s">
        <v>24</v>
      </c>
      <c r="BI6" s="175"/>
      <c r="BJ6" s="175"/>
      <c r="BK6" s="175"/>
      <c r="BL6" s="175"/>
      <c r="BM6" s="175"/>
      <c r="BN6" s="175"/>
      <c r="BO6" s="175"/>
      <c r="BP6" s="175"/>
      <c r="BQ6" s="175"/>
      <c r="BR6" s="175"/>
      <c r="BS6" s="175"/>
      <c r="BT6" s="175"/>
      <c r="BU6" s="175"/>
      <c r="BV6" s="175"/>
      <c r="BW6" s="175"/>
      <c r="BX6" s="175"/>
      <c r="BY6" s="175"/>
      <c r="BZ6" s="175"/>
      <c r="CA6" s="175"/>
      <c r="CB6" s="175"/>
      <c r="CC6" s="162" t="s">
        <v>38</v>
      </c>
      <c r="CD6" s="161" t="s">
        <v>12</v>
      </c>
      <c r="CE6" s="161"/>
      <c r="CF6" s="161"/>
      <c r="CG6" s="161"/>
      <c r="CH6" s="161"/>
      <c r="CI6" s="161" t="s">
        <v>10</v>
      </c>
      <c r="CJ6" s="161"/>
      <c r="CK6" s="161"/>
      <c r="CL6" s="161"/>
      <c r="CM6" s="161"/>
      <c r="CN6" s="161" t="s">
        <v>11</v>
      </c>
      <c r="CO6" s="161"/>
      <c r="CP6" s="161"/>
      <c r="CQ6" s="161"/>
      <c r="CR6" s="161"/>
      <c r="CS6" s="161" t="s">
        <v>13</v>
      </c>
      <c r="CT6" s="161"/>
      <c r="CU6" s="161"/>
      <c r="CV6" s="161"/>
      <c r="CW6" s="161"/>
      <c r="CX6" s="161" t="s">
        <v>14</v>
      </c>
      <c r="CY6" s="161"/>
      <c r="CZ6" s="161"/>
      <c r="DA6" s="161"/>
      <c r="DB6" s="161"/>
      <c r="DC6" s="161" t="s">
        <v>37</v>
      </c>
      <c r="DD6" s="161"/>
      <c r="DE6" s="161"/>
      <c r="DF6" s="161"/>
      <c r="DG6" s="161"/>
      <c r="DH6" s="185" t="s">
        <v>39</v>
      </c>
      <c r="DI6" s="159"/>
      <c r="DJ6" s="159"/>
      <c r="DK6" s="159"/>
      <c r="DL6" s="159"/>
      <c r="DM6" s="159"/>
      <c r="DN6" s="159"/>
      <c r="DO6" s="159"/>
      <c r="DP6" s="159"/>
      <c r="DQ6" s="159"/>
      <c r="DR6" s="42"/>
      <c r="DS6" s="42"/>
      <c r="DT6" s="42"/>
      <c r="DU6" s="42"/>
      <c r="DV6" s="42"/>
    </row>
    <row r="7" spans="1:126" s="3" customFormat="1" ht="17.25" customHeight="1">
      <c r="A7" s="176"/>
      <c r="B7" s="170"/>
      <c r="C7" s="171"/>
      <c r="D7" s="171"/>
      <c r="E7" s="171"/>
      <c r="F7" s="171"/>
      <c r="G7" s="171"/>
      <c r="H7" s="172"/>
      <c r="I7" s="177"/>
      <c r="J7" s="177"/>
      <c r="K7" s="177"/>
      <c r="L7" s="177"/>
      <c r="M7" s="84" t="s">
        <v>159</v>
      </c>
      <c r="N7" s="84" t="s">
        <v>160</v>
      </c>
      <c r="O7" s="177"/>
      <c r="P7" s="160"/>
      <c r="Q7" s="160"/>
      <c r="R7" s="160"/>
      <c r="S7" s="160"/>
      <c r="T7" s="160"/>
      <c r="U7" s="160"/>
      <c r="V7" s="179"/>
      <c r="W7" s="179"/>
      <c r="X7" s="179"/>
      <c r="Y7" s="179"/>
      <c r="Z7" s="179"/>
      <c r="AA7" s="160" t="s">
        <v>67</v>
      </c>
      <c r="AB7" s="160"/>
      <c r="AC7" s="160"/>
      <c r="AD7" s="160"/>
      <c r="AE7" s="160"/>
      <c r="AF7" s="160" t="s">
        <v>30</v>
      </c>
      <c r="AG7" s="160"/>
      <c r="AH7" s="160"/>
      <c r="AI7" s="160"/>
      <c r="AJ7" s="160"/>
      <c r="AK7" s="160" t="s">
        <v>51</v>
      </c>
      <c r="AL7" s="160"/>
      <c r="AM7" s="160"/>
      <c r="AN7" s="160"/>
      <c r="AO7" s="160"/>
      <c r="AP7" s="160" t="s">
        <v>19</v>
      </c>
      <c r="AQ7" s="160"/>
      <c r="AR7" s="160"/>
      <c r="AS7" s="160"/>
      <c r="AT7" s="160"/>
      <c r="AU7" s="160"/>
      <c r="AV7" s="181"/>
      <c r="AW7" s="175" t="s">
        <v>33</v>
      </c>
      <c r="AX7" s="175"/>
      <c r="AY7" s="175"/>
      <c r="AZ7" s="175"/>
      <c r="BA7" s="175"/>
      <c r="BB7" s="175" t="s">
        <v>52</v>
      </c>
      <c r="BC7" s="175"/>
      <c r="BD7" s="175"/>
      <c r="BE7" s="175"/>
      <c r="BF7" s="175"/>
      <c r="BG7" s="175" t="s">
        <v>35</v>
      </c>
      <c r="BH7" s="175" t="s">
        <v>58</v>
      </c>
      <c r="BI7" s="175"/>
      <c r="BJ7" s="175"/>
      <c r="BK7" s="175"/>
      <c r="BL7" s="175"/>
      <c r="BM7" s="175" t="s">
        <v>59</v>
      </c>
      <c r="BN7" s="175"/>
      <c r="BO7" s="175"/>
      <c r="BP7" s="175"/>
      <c r="BQ7" s="175"/>
      <c r="BR7" s="175" t="s">
        <v>20</v>
      </c>
      <c r="BS7" s="175"/>
      <c r="BT7" s="175"/>
      <c r="BU7" s="175"/>
      <c r="BV7" s="175"/>
      <c r="BW7" s="175" t="s">
        <v>53</v>
      </c>
      <c r="BX7" s="175"/>
      <c r="BY7" s="175"/>
      <c r="BZ7" s="175"/>
      <c r="CA7" s="175"/>
      <c r="CB7" s="175" t="s">
        <v>7</v>
      </c>
      <c r="CC7" s="163"/>
      <c r="CD7" s="161"/>
      <c r="CE7" s="161"/>
      <c r="CF7" s="161"/>
      <c r="CG7" s="161"/>
      <c r="CH7" s="161"/>
      <c r="CI7" s="161"/>
      <c r="CJ7" s="161"/>
      <c r="CK7" s="161"/>
      <c r="CL7" s="161"/>
      <c r="CM7" s="161"/>
      <c r="CN7" s="161"/>
      <c r="CO7" s="161"/>
      <c r="CP7" s="161"/>
      <c r="CQ7" s="161"/>
      <c r="CR7" s="161"/>
      <c r="CS7" s="161"/>
      <c r="CT7" s="161"/>
      <c r="CU7" s="161"/>
      <c r="CV7" s="161"/>
      <c r="CW7" s="161"/>
      <c r="CX7" s="161"/>
      <c r="CY7" s="161"/>
      <c r="CZ7" s="161"/>
      <c r="DA7" s="161"/>
      <c r="DB7" s="161"/>
      <c r="DC7" s="161"/>
      <c r="DD7" s="161"/>
      <c r="DE7" s="161"/>
      <c r="DF7" s="161"/>
      <c r="DG7" s="161"/>
      <c r="DH7" s="161"/>
      <c r="DI7" s="159" t="s">
        <v>40</v>
      </c>
      <c r="DJ7" s="159" t="s">
        <v>41</v>
      </c>
      <c r="DK7" s="159" t="s">
        <v>42</v>
      </c>
      <c r="DL7" s="159" t="s">
        <v>54</v>
      </c>
      <c r="DM7" s="159" t="s">
        <v>55</v>
      </c>
      <c r="DN7" s="159" t="s">
        <v>48</v>
      </c>
      <c r="DO7" s="159" t="s">
        <v>56</v>
      </c>
      <c r="DP7" s="159"/>
      <c r="DQ7" s="159" t="s">
        <v>122</v>
      </c>
      <c r="DR7" s="42"/>
      <c r="DS7" s="42"/>
      <c r="DT7" s="42"/>
      <c r="DU7" s="42"/>
      <c r="DV7" s="42"/>
    </row>
    <row r="8" spans="1:126" s="3" customFormat="1" ht="17.25" customHeight="1">
      <c r="B8" s="7" t="s">
        <v>43</v>
      </c>
      <c r="C8" s="7" t="s">
        <v>16</v>
      </c>
      <c r="D8" s="9" t="s">
        <v>57</v>
      </c>
      <c r="E8" s="64" t="s">
        <v>127</v>
      </c>
      <c r="F8" s="7" t="s">
        <v>26</v>
      </c>
      <c r="G8" s="7" t="s">
        <v>17</v>
      </c>
      <c r="H8" s="7" t="s">
        <v>27</v>
      </c>
      <c r="I8" s="9" t="s">
        <v>2</v>
      </c>
      <c r="J8" s="9" t="s">
        <v>3</v>
      </c>
      <c r="K8" s="177"/>
      <c r="L8" s="177"/>
      <c r="M8" s="112">
        <v>46219</v>
      </c>
      <c r="N8" s="112">
        <v>46231</v>
      </c>
      <c r="O8" s="177"/>
      <c r="P8" s="160"/>
      <c r="Q8" s="10" t="s">
        <v>6</v>
      </c>
      <c r="R8" s="10" t="s">
        <v>46</v>
      </c>
      <c r="S8" s="10" t="s">
        <v>4</v>
      </c>
      <c r="T8" s="10" t="s">
        <v>0</v>
      </c>
      <c r="U8" s="10" t="s">
        <v>5</v>
      </c>
      <c r="V8" s="10" t="s">
        <v>6</v>
      </c>
      <c r="W8" s="10" t="s">
        <v>46</v>
      </c>
      <c r="X8" s="10" t="s">
        <v>4</v>
      </c>
      <c r="Y8" s="10" t="s">
        <v>0</v>
      </c>
      <c r="Z8" s="10" t="s">
        <v>5</v>
      </c>
      <c r="AA8" s="10" t="s">
        <v>6</v>
      </c>
      <c r="AB8" s="10" t="s">
        <v>46</v>
      </c>
      <c r="AC8" s="10" t="s">
        <v>4</v>
      </c>
      <c r="AD8" s="10" t="s">
        <v>0</v>
      </c>
      <c r="AE8" s="10" t="s">
        <v>5</v>
      </c>
      <c r="AF8" s="10" t="s">
        <v>6</v>
      </c>
      <c r="AG8" s="10" t="s">
        <v>46</v>
      </c>
      <c r="AH8" s="10" t="s">
        <v>4</v>
      </c>
      <c r="AI8" s="10" t="s">
        <v>0</v>
      </c>
      <c r="AJ8" s="10" t="s">
        <v>5</v>
      </c>
      <c r="AK8" s="10" t="s">
        <v>6</v>
      </c>
      <c r="AL8" s="10" t="s">
        <v>46</v>
      </c>
      <c r="AM8" s="10" t="s">
        <v>4</v>
      </c>
      <c r="AN8" s="10" t="s">
        <v>0</v>
      </c>
      <c r="AO8" s="10" t="s">
        <v>5</v>
      </c>
      <c r="AP8" s="160"/>
      <c r="AQ8" s="10" t="s">
        <v>6</v>
      </c>
      <c r="AR8" s="10" t="s">
        <v>46</v>
      </c>
      <c r="AS8" s="10" t="s">
        <v>4</v>
      </c>
      <c r="AT8" s="10" t="s">
        <v>0</v>
      </c>
      <c r="AU8" s="10" t="s">
        <v>5</v>
      </c>
      <c r="AV8" s="181"/>
      <c r="AW8" s="8" t="s">
        <v>6</v>
      </c>
      <c r="AX8" s="8" t="s">
        <v>47</v>
      </c>
      <c r="AY8" s="8" t="s">
        <v>4</v>
      </c>
      <c r="AZ8" s="8" t="s">
        <v>0</v>
      </c>
      <c r="BA8" s="8" t="s">
        <v>5</v>
      </c>
      <c r="BB8" s="8" t="s">
        <v>6</v>
      </c>
      <c r="BC8" s="8" t="s">
        <v>47</v>
      </c>
      <c r="BD8" s="8" t="s">
        <v>4</v>
      </c>
      <c r="BE8" s="8" t="s">
        <v>0</v>
      </c>
      <c r="BF8" s="8" t="s">
        <v>5</v>
      </c>
      <c r="BG8" s="175"/>
      <c r="BH8" s="8" t="s">
        <v>6</v>
      </c>
      <c r="BI8" s="8" t="s">
        <v>47</v>
      </c>
      <c r="BJ8" s="8" t="s">
        <v>4</v>
      </c>
      <c r="BK8" s="8" t="s">
        <v>0</v>
      </c>
      <c r="BL8" s="8" t="s">
        <v>5</v>
      </c>
      <c r="BM8" s="8" t="s">
        <v>6</v>
      </c>
      <c r="BN8" s="8" t="s">
        <v>47</v>
      </c>
      <c r="BO8" s="8" t="s">
        <v>4</v>
      </c>
      <c r="BP8" s="8" t="s">
        <v>0</v>
      </c>
      <c r="BQ8" s="8" t="s">
        <v>5</v>
      </c>
      <c r="BR8" s="8" t="s">
        <v>6</v>
      </c>
      <c r="BS8" s="8" t="s">
        <v>47</v>
      </c>
      <c r="BT8" s="8" t="s">
        <v>4</v>
      </c>
      <c r="BU8" s="8" t="s">
        <v>0</v>
      </c>
      <c r="BV8" s="8" t="s">
        <v>5</v>
      </c>
      <c r="BW8" s="8" t="s">
        <v>6</v>
      </c>
      <c r="BX8" s="8" t="s">
        <v>47</v>
      </c>
      <c r="BY8" s="8" t="s">
        <v>4</v>
      </c>
      <c r="BZ8" s="8" t="s">
        <v>0</v>
      </c>
      <c r="CA8" s="8" t="s">
        <v>5</v>
      </c>
      <c r="CB8" s="175"/>
      <c r="CC8" s="163"/>
      <c r="CD8" s="11" t="s">
        <v>6</v>
      </c>
      <c r="CE8" s="11" t="s">
        <v>47</v>
      </c>
      <c r="CF8" s="11" t="s">
        <v>4</v>
      </c>
      <c r="CG8" s="11" t="s">
        <v>0</v>
      </c>
      <c r="CH8" s="11" t="s">
        <v>5</v>
      </c>
      <c r="CI8" s="11" t="s">
        <v>6</v>
      </c>
      <c r="CJ8" s="11" t="s">
        <v>47</v>
      </c>
      <c r="CK8" s="11" t="s">
        <v>4</v>
      </c>
      <c r="CL8" s="11" t="s">
        <v>0</v>
      </c>
      <c r="CM8" s="11" t="s">
        <v>5</v>
      </c>
      <c r="CN8" s="11" t="s">
        <v>6</v>
      </c>
      <c r="CO8" s="11" t="s">
        <v>47</v>
      </c>
      <c r="CP8" s="11" t="s">
        <v>4</v>
      </c>
      <c r="CQ8" s="11" t="s">
        <v>0</v>
      </c>
      <c r="CR8" s="11" t="s">
        <v>5</v>
      </c>
      <c r="CS8" s="11" t="s">
        <v>6</v>
      </c>
      <c r="CT8" s="11" t="s">
        <v>47</v>
      </c>
      <c r="CU8" s="11" t="s">
        <v>4</v>
      </c>
      <c r="CV8" s="11" t="s">
        <v>0</v>
      </c>
      <c r="CW8" s="11" t="s">
        <v>5</v>
      </c>
      <c r="CX8" s="11" t="s">
        <v>6</v>
      </c>
      <c r="CY8" s="11" t="s">
        <v>47</v>
      </c>
      <c r="CZ8" s="11" t="s">
        <v>4</v>
      </c>
      <c r="DA8" s="11" t="s">
        <v>0</v>
      </c>
      <c r="DB8" s="11" t="s">
        <v>5</v>
      </c>
      <c r="DC8" s="11" t="s">
        <v>6</v>
      </c>
      <c r="DD8" s="11" t="s">
        <v>47</v>
      </c>
      <c r="DE8" s="11" t="s">
        <v>4</v>
      </c>
      <c r="DF8" s="11" t="s">
        <v>0</v>
      </c>
      <c r="DG8" s="11" t="s">
        <v>5</v>
      </c>
      <c r="DH8" s="161"/>
      <c r="DI8" s="159"/>
      <c r="DJ8" s="159"/>
      <c r="DK8" s="159"/>
      <c r="DL8" s="159"/>
      <c r="DM8" s="159"/>
      <c r="DN8" s="159"/>
      <c r="DO8" s="159"/>
      <c r="DP8" s="159"/>
      <c r="DQ8" s="159"/>
      <c r="DR8" s="42"/>
      <c r="DS8" s="42"/>
      <c r="DT8" s="42"/>
      <c r="DU8" s="42"/>
      <c r="DV8" s="42"/>
    </row>
    <row r="9" spans="1:126" s="3" customFormat="1" ht="17.25" hidden="1" customHeight="1">
      <c r="B9" s="75">
        <v>2</v>
      </c>
      <c r="C9" s="73" t="s">
        <v>65</v>
      </c>
      <c r="D9" s="74" t="s">
        <v>66</v>
      </c>
      <c r="E9" s="110"/>
      <c r="F9" s="12"/>
      <c r="G9" s="12" t="s">
        <v>18</v>
      </c>
      <c r="H9" s="13">
        <v>160</v>
      </c>
      <c r="I9" s="70">
        <v>501.1</v>
      </c>
      <c r="J9" s="70">
        <v>542.947</v>
      </c>
      <c r="K9" s="14">
        <f>J9-I9</f>
        <v>41.84699999999998</v>
      </c>
      <c r="L9" s="14" t="s">
        <v>50</v>
      </c>
      <c r="M9" s="14"/>
      <c r="N9" s="44">
        <v>8</v>
      </c>
      <c r="O9" s="14">
        <f>K9/N9</f>
        <v>5.2308749999999975</v>
      </c>
      <c r="P9" s="18">
        <v>1</v>
      </c>
      <c r="Q9" s="71">
        <v>63.188969999999969</v>
      </c>
      <c r="R9" s="67">
        <f>Q9/N9</f>
        <v>7.8986212499999962</v>
      </c>
      <c r="S9" s="16">
        <v>53.9</v>
      </c>
      <c r="T9" s="17">
        <v>1</v>
      </c>
      <c r="U9" s="18">
        <f>R9/S9/T9</f>
        <v>0.14654213821892387</v>
      </c>
      <c r="V9" s="68">
        <v>230.99543999999986</v>
      </c>
      <c r="W9" s="67">
        <f>V9/N9</f>
        <v>28.874429999999982</v>
      </c>
      <c r="X9" s="123">
        <v>190</v>
      </c>
      <c r="Y9" s="17">
        <v>1</v>
      </c>
      <c r="Z9" s="18">
        <f>W9/X9/Y9</f>
        <v>0.15197068421052623</v>
      </c>
      <c r="AA9" s="72">
        <v>56.074979999999975</v>
      </c>
      <c r="AB9" s="67">
        <f>AA9/N9</f>
        <v>7.0093724999999969</v>
      </c>
      <c r="AC9" s="19">
        <v>42</v>
      </c>
      <c r="AD9" s="17">
        <v>1</v>
      </c>
      <c r="AE9" s="18">
        <f>AB9/AC9/AD9+0.3</f>
        <v>0.46688982142857138</v>
      </c>
      <c r="AF9" s="68">
        <v>33.477599999999988</v>
      </c>
      <c r="AG9" s="67">
        <f>AF9/N9</f>
        <v>4.1846999999999985</v>
      </c>
      <c r="AH9" s="19">
        <v>40</v>
      </c>
      <c r="AI9" s="17">
        <v>1</v>
      </c>
      <c r="AJ9" s="18">
        <f>AG9/AH9/AI9</f>
        <v>0.10461749999999996</v>
      </c>
      <c r="AK9" s="72">
        <v>15.064919999999995</v>
      </c>
      <c r="AL9" s="67">
        <f>AK9/N9</f>
        <v>1.8831149999999994</v>
      </c>
      <c r="AM9" s="19">
        <v>130</v>
      </c>
      <c r="AN9" s="17">
        <v>1</v>
      </c>
      <c r="AO9" s="58">
        <f>AL9/AM9/AN9</f>
        <v>1.4485499999999995E-2</v>
      </c>
      <c r="AP9" s="15">
        <f>IF(G9="보통",2,IF(G9="조강",1,""))</f>
        <v>1</v>
      </c>
      <c r="AQ9" s="71">
        <v>47.705579999999976</v>
      </c>
      <c r="AR9" s="67">
        <f>AQ9/N9</f>
        <v>5.963197499999997</v>
      </c>
      <c r="AS9" s="19">
        <v>225</v>
      </c>
      <c r="AT9" s="17">
        <v>1</v>
      </c>
      <c r="AU9" s="53">
        <f>AR9/AS9/AT9</f>
        <v>2.6503099999999988E-2</v>
      </c>
      <c r="AV9" s="20">
        <f>CEILING(SUM(P9,U9,Z9,AE9,AJ9,AO9,AP9,AU9),0.5)</f>
        <v>3</v>
      </c>
      <c r="AW9" s="68">
        <v>16.738799999999994</v>
      </c>
      <c r="AX9" s="67">
        <f>AW9/N9</f>
        <v>2.0923499999999993</v>
      </c>
      <c r="AY9" s="21">
        <v>40</v>
      </c>
      <c r="AZ9" s="17">
        <v>1</v>
      </c>
      <c r="BA9" s="53">
        <f>AX9/AY9/AZ9</f>
        <v>5.230874999999998E-2</v>
      </c>
      <c r="BB9" s="68">
        <v>18.412679999999995</v>
      </c>
      <c r="BC9" s="67">
        <f>BB9/N9</f>
        <v>2.3015849999999993</v>
      </c>
      <c r="BD9" s="19">
        <v>130</v>
      </c>
      <c r="BE9" s="17">
        <v>1</v>
      </c>
      <c r="BF9" s="58">
        <f>BC9/BD9/BE9</f>
        <v>1.7704499999999995E-2</v>
      </c>
      <c r="BG9" s="15">
        <f>IF(G9="보통",5,IF(G9="조강",2,""))</f>
        <v>2</v>
      </c>
      <c r="BH9" s="59"/>
      <c r="BI9" s="60"/>
      <c r="BJ9" s="61"/>
      <c r="BK9" s="62"/>
      <c r="BL9" s="63"/>
      <c r="BM9" s="68">
        <v>63.105275999999968</v>
      </c>
      <c r="BN9" s="67">
        <f>BM9/N9</f>
        <v>7.888159499999996</v>
      </c>
      <c r="BO9" s="21">
        <v>35</v>
      </c>
      <c r="BP9" s="17">
        <v>1</v>
      </c>
      <c r="BQ9" s="58">
        <f>BN9/BO9/BP9</f>
        <v>0.2253759857142856</v>
      </c>
      <c r="BR9" s="68">
        <v>10.712831999999995</v>
      </c>
      <c r="BS9" s="67">
        <f>BR9/N9</f>
        <v>1.3391039999999994</v>
      </c>
      <c r="BT9" s="22">
        <v>3.4</v>
      </c>
      <c r="BU9" s="17">
        <v>1</v>
      </c>
      <c r="BV9" s="53">
        <f>BS9/BT9/BU9</f>
        <v>0.39385411764705863</v>
      </c>
      <c r="BW9" s="68">
        <v>57.414083999999974</v>
      </c>
      <c r="BX9" s="67">
        <f>BW9/N9</f>
        <v>7.1767604999999968</v>
      </c>
      <c r="BY9" s="19">
        <v>125</v>
      </c>
      <c r="BZ9" s="17">
        <v>1</v>
      </c>
      <c r="CA9" s="58">
        <f>BX9/BY9/BZ9</f>
        <v>5.7414083999999976E-2</v>
      </c>
      <c r="CB9" s="15">
        <f>IF(G9="보통",7,IF(G9="조강",3,""))</f>
        <v>3</v>
      </c>
      <c r="CC9" s="23">
        <f>CEILING(SUM(BA9,BF9,BG9,BL9,BQ9,BV9,CA9,CB9),0.5)</f>
        <v>6</v>
      </c>
      <c r="CD9" s="71">
        <v>20.67241799999999</v>
      </c>
      <c r="CE9" s="67">
        <f>CD9/N9</f>
        <v>2.5840522499999987</v>
      </c>
      <c r="CF9" s="19">
        <v>165</v>
      </c>
      <c r="CG9" s="17">
        <v>1</v>
      </c>
      <c r="CH9" s="53">
        <f>CE9/CF9/CG9</f>
        <v>1.5660922727272718E-2</v>
      </c>
      <c r="CI9" s="71">
        <v>28.037489999999988</v>
      </c>
      <c r="CJ9" s="67">
        <f>CI9/N9</f>
        <v>3.5046862499999984</v>
      </c>
      <c r="CK9" s="19">
        <v>150</v>
      </c>
      <c r="CL9" s="17">
        <v>1</v>
      </c>
      <c r="CM9" s="53">
        <f>CJ9/CK9/CL9</f>
        <v>2.3364574999999988E-2</v>
      </c>
      <c r="CN9" s="71">
        <v>170.73575999999991</v>
      </c>
      <c r="CO9" s="67">
        <f>CN9/N9</f>
        <v>21.341969999999989</v>
      </c>
      <c r="CP9" s="21">
        <v>320</v>
      </c>
      <c r="CQ9" s="17">
        <v>1</v>
      </c>
      <c r="CR9" s="53">
        <f>CO9/CP9/CQ9</f>
        <v>6.6693656249999969E-2</v>
      </c>
      <c r="CS9" s="68">
        <v>512.20727999999974</v>
      </c>
      <c r="CT9" s="67">
        <f>CS9/N9</f>
        <v>64.025909999999968</v>
      </c>
      <c r="CU9" s="21">
        <v>8000</v>
      </c>
      <c r="CV9" s="17">
        <v>1</v>
      </c>
      <c r="CW9" s="53">
        <f>CT9/CU9/CV9</f>
        <v>8.0032387499999955E-3</v>
      </c>
      <c r="CX9" s="68">
        <v>341.47151999999983</v>
      </c>
      <c r="CY9" s="67">
        <f>CX9/N9</f>
        <v>42.683939999999978</v>
      </c>
      <c r="CZ9" s="21">
        <v>300</v>
      </c>
      <c r="DA9" s="17">
        <v>1</v>
      </c>
      <c r="DB9" s="53">
        <f>CY9/CZ9/DA9</f>
        <v>0.14227979999999993</v>
      </c>
      <c r="DC9" s="24">
        <f>K9</f>
        <v>41.84699999999998</v>
      </c>
      <c r="DD9" s="67">
        <f>DC9/N9</f>
        <v>5.2308749999999975</v>
      </c>
      <c r="DE9" s="25">
        <v>50</v>
      </c>
      <c r="DF9" s="17">
        <v>1</v>
      </c>
      <c r="DG9" s="53">
        <f>DD9/DE9/DF9</f>
        <v>0.10461749999999995</v>
      </c>
      <c r="DH9" s="54">
        <f>CEILING(SUM(CH9,CM9,CR9,CW9,DB9,DG9),0.5)</f>
        <v>0.5</v>
      </c>
      <c r="DI9" s="50">
        <f t="shared" ref="DI9:DI10" si="0">AV9</f>
        <v>3</v>
      </c>
      <c r="DJ9" s="50">
        <f t="shared" ref="DJ9:DJ10" si="1">CC9</f>
        <v>6</v>
      </c>
      <c r="DK9" s="50">
        <f>DH9</f>
        <v>0.5</v>
      </c>
      <c r="DL9" s="50">
        <f>SUM(DI9:DK9)</f>
        <v>9.5</v>
      </c>
      <c r="DM9" s="47">
        <f>N9</f>
        <v>8</v>
      </c>
      <c r="DN9" s="50">
        <f>DL9*DM9</f>
        <v>76</v>
      </c>
      <c r="DO9" s="173">
        <f t="shared" ref="DO9:DO10" si="2">DN9+1</f>
        <v>77</v>
      </c>
      <c r="DP9" s="174"/>
      <c r="DQ9" s="42"/>
      <c r="DR9" s="42"/>
      <c r="DS9" s="42"/>
      <c r="DT9" s="42"/>
      <c r="DU9" s="42"/>
      <c r="DV9" s="42"/>
    </row>
    <row r="10" spans="1:126" s="3" customFormat="1" ht="17.25" hidden="1" customHeight="1">
      <c r="B10" s="12">
        <v>0</v>
      </c>
      <c r="C10" s="66" t="s">
        <v>61</v>
      </c>
      <c r="D10" s="66" t="s">
        <v>57</v>
      </c>
      <c r="E10" s="46"/>
      <c r="F10" s="12"/>
      <c r="G10" s="12" t="s">
        <v>18</v>
      </c>
      <c r="H10" s="13"/>
      <c r="I10" s="69"/>
      <c r="J10" s="69"/>
      <c r="K10" s="14">
        <f>J10-I10</f>
        <v>0</v>
      </c>
      <c r="L10" s="14" t="s">
        <v>50</v>
      </c>
      <c r="M10" s="14"/>
      <c r="N10" s="44"/>
      <c r="O10" s="14" t="e">
        <f>K10/N10</f>
        <v>#DIV/0!</v>
      </c>
      <c r="P10" s="18">
        <v>1</v>
      </c>
      <c r="Q10" s="116"/>
      <c r="R10" s="76" t="e">
        <f>Q10/N10</f>
        <v>#DIV/0!</v>
      </c>
      <c r="S10" s="16">
        <v>53.9</v>
      </c>
      <c r="T10" s="17">
        <v>1</v>
      </c>
      <c r="U10" s="18" t="e">
        <f>R10/S10/T10</f>
        <v>#DIV/0!</v>
      </c>
      <c r="V10" s="118"/>
      <c r="W10" s="76" t="e">
        <f>V10/N10</f>
        <v>#DIV/0!</v>
      </c>
      <c r="X10" s="123">
        <v>190</v>
      </c>
      <c r="Y10" s="17">
        <v>1</v>
      </c>
      <c r="Z10" s="18" t="e">
        <f>W10/X10/Y10</f>
        <v>#DIV/0!</v>
      </c>
      <c r="AA10" s="111"/>
      <c r="AB10" s="76" t="e">
        <f>AA10/N10</f>
        <v>#DIV/0!</v>
      </c>
      <c r="AC10" s="19">
        <v>42</v>
      </c>
      <c r="AD10" s="17">
        <v>1</v>
      </c>
      <c r="AE10" s="18" t="e">
        <f>AB10/AC10/AD10+0.3</f>
        <v>#DIV/0!</v>
      </c>
      <c r="AF10" s="118"/>
      <c r="AG10" s="76" t="e">
        <f>AF10/N10</f>
        <v>#DIV/0!</v>
      </c>
      <c r="AH10" s="19">
        <v>40</v>
      </c>
      <c r="AI10" s="17">
        <v>1</v>
      </c>
      <c r="AJ10" s="18" t="e">
        <f>AG10/AH10/AI10</f>
        <v>#DIV/0!</v>
      </c>
      <c r="AK10" s="111"/>
      <c r="AL10" s="76" t="e">
        <f>AK10/N10</f>
        <v>#DIV/0!</v>
      </c>
      <c r="AM10" s="19">
        <v>130</v>
      </c>
      <c r="AN10" s="17">
        <v>1</v>
      </c>
      <c r="AO10" s="58" t="e">
        <f>AL10/AM10/AN10</f>
        <v>#DIV/0!</v>
      </c>
      <c r="AP10" s="15">
        <f>IF(G10="보통",2,IF(G10="조강",1,""))</f>
        <v>1</v>
      </c>
      <c r="AQ10" s="116"/>
      <c r="AR10" s="76" t="e">
        <f>AQ10/N10</f>
        <v>#DIV/0!</v>
      </c>
      <c r="AS10" s="19">
        <v>225</v>
      </c>
      <c r="AT10" s="17">
        <v>1</v>
      </c>
      <c r="AU10" s="53" t="e">
        <f>AR10/AS10/AT10</f>
        <v>#DIV/0!</v>
      </c>
      <c r="AV10" s="20" t="e">
        <f>CEILING(SUM(P10,U10,Z10,AE10,AJ10,AO10,AP10,AU10),0.5)</f>
        <v>#DIV/0!</v>
      </c>
      <c r="AW10" s="118"/>
      <c r="AX10" s="76" t="e">
        <f>AW10/N10</f>
        <v>#DIV/0!</v>
      </c>
      <c r="AY10" s="21">
        <v>40</v>
      </c>
      <c r="AZ10" s="17">
        <v>1</v>
      </c>
      <c r="BA10" s="53" t="e">
        <f>AX10/AY10/AZ10</f>
        <v>#DIV/0!</v>
      </c>
      <c r="BB10" s="118"/>
      <c r="BC10" s="76" t="e">
        <f>BB10/N10</f>
        <v>#DIV/0!</v>
      </c>
      <c r="BD10" s="19">
        <v>130</v>
      </c>
      <c r="BE10" s="17">
        <v>1</v>
      </c>
      <c r="BF10" s="58" t="e">
        <f>BC10/BD10/BE10</f>
        <v>#DIV/0!</v>
      </c>
      <c r="BG10" s="15">
        <f>IF(G10="보통",5,IF(G10="조강",2,""))</f>
        <v>2</v>
      </c>
      <c r="BH10" s="59"/>
      <c r="BI10" s="60"/>
      <c r="BJ10" s="83"/>
      <c r="BK10" s="82"/>
      <c r="BL10" s="81"/>
      <c r="BM10" s="118"/>
      <c r="BN10" s="76" t="e">
        <f>BM10/N10</f>
        <v>#DIV/0!</v>
      </c>
      <c r="BO10" s="21">
        <v>35</v>
      </c>
      <c r="BP10" s="17">
        <v>1</v>
      </c>
      <c r="BQ10" s="58" t="e">
        <f>BN10/BO10/BP10</f>
        <v>#DIV/0!</v>
      </c>
      <c r="BR10" s="118"/>
      <c r="BS10" s="76" t="e">
        <f>BR10/N10</f>
        <v>#DIV/0!</v>
      </c>
      <c r="BT10" s="22">
        <v>3.4</v>
      </c>
      <c r="BU10" s="17">
        <v>1</v>
      </c>
      <c r="BV10" s="53" t="e">
        <f>BS10/BT10/BU10</f>
        <v>#DIV/0!</v>
      </c>
      <c r="BW10" s="118"/>
      <c r="BX10" s="76" t="e">
        <f>BW10/N10</f>
        <v>#DIV/0!</v>
      </c>
      <c r="BY10" s="19">
        <v>125</v>
      </c>
      <c r="BZ10" s="17">
        <v>1</v>
      </c>
      <c r="CA10" s="58" t="e">
        <f>BX10/BY10/BZ10</f>
        <v>#DIV/0!</v>
      </c>
      <c r="CB10" s="15">
        <f>IF(G10="보통",7,IF(G10="조강",3,""))</f>
        <v>3</v>
      </c>
      <c r="CC10" s="23" t="e">
        <f>CEILING(SUM(BA10,BF10,BG10,BL10,BQ10,BV10,CA10,CB10),0.5)</f>
        <v>#DIV/0!</v>
      </c>
      <c r="CD10" s="118"/>
      <c r="CE10" s="76" t="e">
        <f>CD10/N10</f>
        <v>#DIV/0!</v>
      </c>
      <c r="CF10" s="19">
        <v>165</v>
      </c>
      <c r="CG10" s="17">
        <v>1</v>
      </c>
      <c r="CH10" s="53" t="e">
        <f>CE10/CF10/CG10</f>
        <v>#DIV/0!</v>
      </c>
      <c r="CI10" s="118"/>
      <c r="CJ10" s="76" t="e">
        <f>CI10/N10</f>
        <v>#DIV/0!</v>
      </c>
      <c r="CK10" s="19">
        <v>150</v>
      </c>
      <c r="CL10" s="17">
        <v>1</v>
      </c>
      <c r="CM10" s="53" t="e">
        <f>CJ10/CK10/CL10</f>
        <v>#DIV/0!</v>
      </c>
      <c r="CN10" s="118"/>
      <c r="CO10" s="76" t="e">
        <f>CN10/N10</f>
        <v>#DIV/0!</v>
      </c>
      <c r="CP10" s="21">
        <v>320</v>
      </c>
      <c r="CQ10" s="17">
        <v>1</v>
      </c>
      <c r="CR10" s="53" t="e">
        <f>CO10/CP10/CQ10</f>
        <v>#DIV/0!</v>
      </c>
      <c r="CS10" s="118"/>
      <c r="CT10" s="76" t="e">
        <f>CS10/N10</f>
        <v>#DIV/0!</v>
      </c>
      <c r="CU10" s="21">
        <v>8000</v>
      </c>
      <c r="CV10" s="17">
        <v>1</v>
      </c>
      <c r="CW10" s="53" t="e">
        <f>CT10/CU10/CV10</f>
        <v>#DIV/0!</v>
      </c>
      <c r="CX10" s="118"/>
      <c r="CY10" s="76" t="e">
        <f>CX10/N10</f>
        <v>#DIV/0!</v>
      </c>
      <c r="CZ10" s="21">
        <v>300</v>
      </c>
      <c r="DA10" s="17">
        <v>1</v>
      </c>
      <c r="DB10" s="53" t="e">
        <f>CY10/CZ10/DA10</f>
        <v>#DIV/0!</v>
      </c>
      <c r="DC10" s="24">
        <f>K10</f>
        <v>0</v>
      </c>
      <c r="DD10" s="76" t="e">
        <f>DC10/N10</f>
        <v>#DIV/0!</v>
      </c>
      <c r="DE10" s="25">
        <v>50</v>
      </c>
      <c r="DF10" s="17">
        <v>1</v>
      </c>
      <c r="DG10" s="53" t="e">
        <f>DD10/DE10/DF10</f>
        <v>#DIV/0!</v>
      </c>
      <c r="DH10" s="54" t="e">
        <f>CEILING(SUM(CH10,CM10,CR10,CW10,DB10,DG10),0.5)</f>
        <v>#DIV/0!</v>
      </c>
      <c r="DI10" s="122" t="e">
        <f t="shared" si="0"/>
        <v>#DIV/0!</v>
      </c>
      <c r="DJ10" s="122" t="e">
        <f t="shared" si="1"/>
        <v>#DIV/0!</v>
      </c>
      <c r="DK10" s="122" t="e">
        <f>DH10</f>
        <v>#DIV/0!</v>
      </c>
      <c r="DL10" s="122" t="e">
        <f>SUM(DI10:DK10)</f>
        <v>#DIV/0!</v>
      </c>
      <c r="DM10" s="47">
        <f t="shared" ref="DM10" si="3">N10</f>
        <v>0</v>
      </c>
      <c r="DN10" s="122" t="e">
        <f>DL10*DM10</f>
        <v>#DIV/0!</v>
      </c>
      <c r="DO10" s="173" t="e">
        <f t="shared" si="2"/>
        <v>#DIV/0!</v>
      </c>
      <c r="DP10" s="174"/>
      <c r="DQ10" s="86" t="e">
        <f t="shared" ref="DQ10" si="4">DO10/19.2</f>
        <v>#DIV/0!</v>
      </c>
      <c r="DR10" s="42"/>
      <c r="DS10" s="42"/>
      <c r="DT10" s="42"/>
      <c r="DU10" s="42"/>
      <c r="DV10" s="42"/>
    </row>
    <row r="11" spans="1:126" s="3" customFormat="1" ht="17.25" customHeight="1">
      <c r="B11" s="183"/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 s="184"/>
      <c r="W11" s="184"/>
      <c r="X11" s="184"/>
      <c r="Y11" s="184"/>
      <c r="Z11" s="184"/>
      <c r="AA11" s="184"/>
      <c r="AB11" s="184"/>
      <c r="AC11" s="184"/>
      <c r="AD11" s="184"/>
      <c r="AE11" s="184"/>
      <c r="AF11" s="184"/>
      <c r="AG11" s="184"/>
      <c r="AH11" s="184"/>
      <c r="AI11" s="184"/>
      <c r="AJ11" s="184"/>
      <c r="AK11" s="184"/>
      <c r="AL11" s="184"/>
      <c r="AM11" s="184"/>
      <c r="AN11" s="184"/>
      <c r="AO11" s="184"/>
      <c r="AP11" s="184"/>
      <c r="AQ11" s="184"/>
      <c r="AR11" s="184"/>
      <c r="AS11" s="184"/>
      <c r="AT11" s="184"/>
      <c r="AU11" s="184"/>
      <c r="AV11" s="184"/>
      <c r="AW11" s="184"/>
      <c r="AX11" s="184"/>
      <c r="AY11" s="184"/>
      <c r="AZ11" s="184"/>
      <c r="BA11" s="184"/>
      <c r="BB11" s="184"/>
      <c r="BC11" s="184"/>
      <c r="BD11" s="184"/>
      <c r="BE11" s="184"/>
      <c r="BF11" s="184"/>
      <c r="BG11" s="184"/>
      <c r="BH11" s="184"/>
      <c r="BI11" s="184"/>
      <c r="BJ11" s="184"/>
      <c r="BK11" s="184"/>
      <c r="BL11" s="184"/>
      <c r="BM11" s="184"/>
      <c r="BN11" s="184"/>
      <c r="BO11" s="184"/>
      <c r="BP11" s="184"/>
      <c r="BQ11" s="184"/>
      <c r="BR11" s="184"/>
      <c r="BS11" s="184"/>
      <c r="BT11" s="184"/>
      <c r="BU11" s="184"/>
      <c r="BV11" s="184"/>
      <c r="BW11" s="184"/>
      <c r="BX11" s="184"/>
      <c r="BY11" s="184"/>
      <c r="BZ11" s="184"/>
      <c r="CA11" s="184"/>
      <c r="CB11" s="184"/>
      <c r="CC11" s="184"/>
      <c r="CD11" s="184"/>
      <c r="CE11" s="184"/>
      <c r="CF11" s="184"/>
      <c r="CG11" s="184"/>
      <c r="CH11" s="184"/>
      <c r="CI11" s="184"/>
      <c r="CJ11" s="184"/>
      <c r="CK11" s="184"/>
      <c r="CL11" s="184"/>
      <c r="CM11" s="184"/>
      <c r="CN11" s="184"/>
      <c r="CO11" s="184"/>
      <c r="CP11" s="184"/>
      <c r="CQ11" s="184"/>
      <c r="CR11" s="184"/>
      <c r="CS11" s="184"/>
      <c r="CT11" s="184"/>
      <c r="CU11" s="184"/>
      <c r="CV11" s="184"/>
      <c r="CW11" s="184"/>
      <c r="CX11" s="184"/>
      <c r="CY11" s="184"/>
      <c r="CZ11" s="184"/>
      <c r="DA11" s="184"/>
      <c r="DB11" s="184"/>
      <c r="DC11" s="184"/>
      <c r="DD11" s="184"/>
      <c r="DE11" s="184"/>
      <c r="DF11" s="184"/>
      <c r="DG11" s="184"/>
      <c r="DH11" s="184"/>
      <c r="DI11" s="184"/>
      <c r="DJ11" s="184"/>
      <c r="DK11" s="184"/>
      <c r="DL11" s="184"/>
      <c r="DM11" s="184"/>
      <c r="DN11" s="184"/>
      <c r="DO11" s="184"/>
      <c r="DP11" s="184"/>
      <c r="DQ11" s="184"/>
      <c r="DR11" s="42"/>
      <c r="DS11" s="42"/>
      <c r="DT11" s="42"/>
      <c r="DU11" s="42"/>
      <c r="DV11" s="42"/>
    </row>
    <row r="12" spans="1:126" s="3" customFormat="1" ht="17.25" customHeight="1">
      <c r="B12" s="151">
        <v>1</v>
      </c>
      <c r="C12" s="142" t="s">
        <v>62</v>
      </c>
      <c r="D12" s="147" t="s">
        <v>63</v>
      </c>
      <c r="E12" s="147"/>
      <c r="F12" s="108" t="s">
        <v>64</v>
      </c>
      <c r="G12" s="108" t="s">
        <v>18</v>
      </c>
      <c r="H12" s="107">
        <v>160</v>
      </c>
      <c r="I12" s="138">
        <v>195.11600000000001</v>
      </c>
      <c r="J12" s="138">
        <v>244.37100000000001</v>
      </c>
      <c r="K12" s="87">
        <f t="shared" ref="K12:K55" si="5">J12-I12</f>
        <v>49.254999999999995</v>
      </c>
      <c r="L12" s="87" t="s">
        <v>50</v>
      </c>
      <c r="M12" s="102">
        <v>1</v>
      </c>
      <c r="N12" s="102">
        <v>1</v>
      </c>
      <c r="O12" s="87">
        <f t="shared" ref="O12:O55" si="6">K12/N12</f>
        <v>49.254999999999995</v>
      </c>
      <c r="P12" s="90">
        <v>1</v>
      </c>
      <c r="Q12" s="139">
        <v>74.375049999999987</v>
      </c>
      <c r="R12" s="134">
        <f>Q12/N12</f>
        <v>74.375049999999987</v>
      </c>
      <c r="S12" s="88">
        <v>53.9</v>
      </c>
      <c r="T12" s="106">
        <v>1</v>
      </c>
      <c r="U12" s="90">
        <f>R12/S12/T12</f>
        <v>1.3798710575139144</v>
      </c>
      <c r="V12" s="133">
        <v>271.88759999999996</v>
      </c>
      <c r="W12" s="134">
        <f>V12/N12</f>
        <v>271.88759999999996</v>
      </c>
      <c r="X12" s="127">
        <v>190</v>
      </c>
      <c r="Y12" s="106">
        <v>1</v>
      </c>
      <c r="Z12" s="90">
        <f>W12/X12/Y12</f>
        <v>1.4309873684210523</v>
      </c>
      <c r="AA12" s="141">
        <v>66.0017</v>
      </c>
      <c r="AB12" s="134">
        <f>AA12/N12</f>
        <v>66.0017</v>
      </c>
      <c r="AC12" s="105">
        <v>42</v>
      </c>
      <c r="AD12" s="106">
        <v>1</v>
      </c>
      <c r="AE12" s="90">
        <f>AB12/AC12/AD12+0.3</f>
        <v>1.8714690476190476</v>
      </c>
      <c r="AF12" s="133">
        <v>39.403999999999996</v>
      </c>
      <c r="AG12" s="134">
        <f>AF12/N12</f>
        <v>39.403999999999996</v>
      </c>
      <c r="AH12" s="105">
        <v>40</v>
      </c>
      <c r="AI12" s="106">
        <v>1</v>
      </c>
      <c r="AJ12" s="90">
        <f>AG12/AH12/AI12</f>
        <v>0.98509999999999986</v>
      </c>
      <c r="AK12" s="141">
        <v>17.7318</v>
      </c>
      <c r="AL12" s="134">
        <f>AK12/N12</f>
        <v>17.7318</v>
      </c>
      <c r="AM12" s="105">
        <v>130</v>
      </c>
      <c r="AN12" s="106">
        <v>1</v>
      </c>
      <c r="AO12" s="104">
        <f>AL12/AM12/AN12</f>
        <v>0.13639846153846152</v>
      </c>
      <c r="AP12" s="89">
        <f>IF(G12="보통",2,IF(G12="조강",1,""))</f>
        <v>1</v>
      </c>
      <c r="AQ12" s="139">
        <v>56.150699999999993</v>
      </c>
      <c r="AR12" s="134">
        <f>AQ12/N12</f>
        <v>56.150699999999993</v>
      </c>
      <c r="AS12" s="105">
        <v>225</v>
      </c>
      <c r="AT12" s="106">
        <v>1</v>
      </c>
      <c r="AU12" s="91">
        <f>AR12/AS12/AT12</f>
        <v>0.24955866666666665</v>
      </c>
      <c r="AV12" s="92">
        <f>CEILING(SUM(P12,U12,Z12,AE12,AJ12,AO12,AP12,AU12),0.5)</f>
        <v>8.5</v>
      </c>
      <c r="AW12" s="133">
        <v>19.701999999999998</v>
      </c>
      <c r="AX12" s="134">
        <f>AW12/N12</f>
        <v>19.701999999999998</v>
      </c>
      <c r="AY12" s="93">
        <v>40</v>
      </c>
      <c r="AZ12" s="106">
        <v>1</v>
      </c>
      <c r="BA12" s="91">
        <f>AX12/AY12/AZ12</f>
        <v>0.49254999999999993</v>
      </c>
      <c r="BB12" s="133">
        <v>21.6722</v>
      </c>
      <c r="BC12" s="134">
        <f>BB12/N12</f>
        <v>21.6722</v>
      </c>
      <c r="BD12" s="105">
        <v>130</v>
      </c>
      <c r="BE12" s="106">
        <v>1</v>
      </c>
      <c r="BF12" s="104">
        <f>BC12/BD12/BE12</f>
        <v>0.16670923076923078</v>
      </c>
      <c r="BG12" s="89">
        <f>IF(G12="보통",5,IF(G12="조강",2,""))</f>
        <v>2</v>
      </c>
      <c r="BH12" s="59"/>
      <c r="BI12" s="59"/>
      <c r="BJ12" s="94"/>
      <c r="BK12" s="95"/>
      <c r="BL12" s="96"/>
      <c r="BM12" s="133">
        <v>74.276539999999997</v>
      </c>
      <c r="BN12" s="134">
        <f>BM12/N12</f>
        <v>74.276539999999997</v>
      </c>
      <c r="BO12" s="93">
        <v>35</v>
      </c>
      <c r="BP12" s="106">
        <v>1</v>
      </c>
      <c r="BQ12" s="104">
        <f>BN12/BO12/BP12</f>
        <v>2.1221868571428573</v>
      </c>
      <c r="BR12" s="133">
        <v>12.609279999999998</v>
      </c>
      <c r="BS12" s="134">
        <f>BR12/N12</f>
        <v>12.609279999999998</v>
      </c>
      <c r="BT12" s="97">
        <v>3.4</v>
      </c>
      <c r="BU12" s="106">
        <v>1</v>
      </c>
      <c r="BV12" s="91">
        <f>BS12/BT12/BU12</f>
        <v>3.7086117647058821</v>
      </c>
      <c r="BW12" s="133">
        <v>67.577860000000001</v>
      </c>
      <c r="BX12" s="134">
        <f>BW12/N12</f>
        <v>67.577860000000001</v>
      </c>
      <c r="BY12" s="105">
        <v>125</v>
      </c>
      <c r="BZ12" s="106">
        <v>1</v>
      </c>
      <c r="CA12" s="104">
        <f>BX12/BY12/BZ12</f>
        <v>0.54062288000000003</v>
      </c>
      <c r="CB12" s="89">
        <f>IF(G12="보통",7,IF(G12="조강",3,""))</f>
        <v>3</v>
      </c>
      <c r="CC12" s="98">
        <f>CEILING(SUM(BA12,BF12,BG12,BL12,BQ12,BV12,CA12,CB12),0.5)</f>
        <v>12.5</v>
      </c>
      <c r="CD12" s="133">
        <v>24.331969999999998</v>
      </c>
      <c r="CE12" s="134">
        <f>CD12/N12</f>
        <v>24.331969999999998</v>
      </c>
      <c r="CF12" s="105">
        <v>165</v>
      </c>
      <c r="CG12" s="106">
        <v>1</v>
      </c>
      <c r="CH12" s="91">
        <f>CE12/CF12/CG12</f>
        <v>0.14746648484848485</v>
      </c>
      <c r="CI12" s="133">
        <v>33.00085</v>
      </c>
      <c r="CJ12" s="134">
        <f>CI12/N12</f>
        <v>33.00085</v>
      </c>
      <c r="CK12" s="105">
        <v>150</v>
      </c>
      <c r="CL12" s="106">
        <v>1</v>
      </c>
      <c r="CM12" s="91">
        <f>CJ12/CK12/CL12</f>
        <v>0.22000566666666665</v>
      </c>
      <c r="CN12" s="133">
        <v>200.96039999999999</v>
      </c>
      <c r="CO12" s="134">
        <f>CN12/N12</f>
        <v>200.96039999999999</v>
      </c>
      <c r="CP12" s="93">
        <v>320</v>
      </c>
      <c r="CQ12" s="106">
        <v>1</v>
      </c>
      <c r="CR12" s="91">
        <f>CO12/CP12/CQ12</f>
        <v>0.62800124999999996</v>
      </c>
      <c r="CS12" s="133">
        <v>602.88120000000004</v>
      </c>
      <c r="CT12" s="134">
        <f>CS12/N12</f>
        <v>602.88120000000004</v>
      </c>
      <c r="CU12" s="93">
        <v>8000</v>
      </c>
      <c r="CV12" s="106">
        <v>1</v>
      </c>
      <c r="CW12" s="91">
        <f>CT12/CU12/CV12</f>
        <v>7.5360150000000001E-2</v>
      </c>
      <c r="CX12" s="133">
        <v>401.92079999999999</v>
      </c>
      <c r="CY12" s="134">
        <f>CX12/N12</f>
        <v>401.92079999999999</v>
      </c>
      <c r="CZ12" s="93">
        <v>300</v>
      </c>
      <c r="DA12" s="106">
        <v>1</v>
      </c>
      <c r="DB12" s="91">
        <f>CY12/CZ12/DA12</f>
        <v>1.339736</v>
      </c>
      <c r="DC12" s="99">
        <f>K12</f>
        <v>49.254999999999995</v>
      </c>
      <c r="DD12" s="134">
        <f>DC12/N12</f>
        <v>49.254999999999995</v>
      </c>
      <c r="DE12" s="100">
        <v>50</v>
      </c>
      <c r="DF12" s="106">
        <v>1</v>
      </c>
      <c r="DG12" s="91">
        <f>DD12/DE12/DF12</f>
        <v>0.98509999999999986</v>
      </c>
      <c r="DH12" s="101">
        <f>CEILING(SUM(CH12,CM12,CR12,CW12,DB12,DG12),0.5)</f>
        <v>3.5</v>
      </c>
      <c r="DI12" s="122">
        <f t="shared" ref="DI12:DI16" si="7">AV12</f>
        <v>8.5</v>
      </c>
      <c r="DJ12" s="122">
        <f t="shared" ref="DJ12:DJ16" si="8">CC12</f>
        <v>12.5</v>
      </c>
      <c r="DK12" s="122">
        <f>DH12</f>
        <v>3.5</v>
      </c>
      <c r="DL12" s="122">
        <f>ROUNDUP(SUM(DI12:DK12),0)</f>
        <v>25</v>
      </c>
      <c r="DM12" s="47">
        <f t="shared" ref="DM12:DM55" si="9">N12</f>
        <v>1</v>
      </c>
      <c r="DN12" s="122">
        <f>DL12*DM12</f>
        <v>25</v>
      </c>
      <c r="DO12" s="157">
        <f t="shared" ref="DO12:DO16" si="10">DN12+1</f>
        <v>26</v>
      </c>
      <c r="DP12" s="157"/>
      <c r="DQ12" s="86">
        <f t="shared" ref="DQ12:DQ27" si="11">DO12/19.2</f>
        <v>1.3541666666666667</v>
      </c>
      <c r="DR12" s="42"/>
      <c r="DS12" s="42"/>
      <c r="DT12" s="42"/>
      <c r="DU12" s="42"/>
      <c r="DV12" s="42"/>
    </row>
    <row r="13" spans="1:126" s="3" customFormat="1" ht="17.25" customHeight="1">
      <c r="B13" s="149">
        <v>2</v>
      </c>
      <c r="C13" s="143" t="s">
        <v>84</v>
      </c>
      <c r="D13" s="147" t="s">
        <v>66</v>
      </c>
      <c r="E13" s="147"/>
      <c r="F13" s="108"/>
      <c r="G13" s="108" t="s">
        <v>18</v>
      </c>
      <c r="H13" s="107">
        <v>160</v>
      </c>
      <c r="I13" s="138">
        <v>501.1</v>
      </c>
      <c r="J13" s="138">
        <v>542.947</v>
      </c>
      <c r="K13" s="87">
        <f t="shared" si="5"/>
        <v>41.84699999999998</v>
      </c>
      <c r="L13" s="87" t="s">
        <v>50</v>
      </c>
      <c r="M13" s="102">
        <v>8</v>
      </c>
      <c r="N13" s="113">
        <v>8</v>
      </c>
      <c r="O13" s="87">
        <f t="shared" si="6"/>
        <v>5.2308749999999975</v>
      </c>
      <c r="P13" s="90">
        <v>1</v>
      </c>
      <c r="Q13" s="139">
        <v>63.188969999999969</v>
      </c>
      <c r="R13" s="134">
        <f>Q13/N13</f>
        <v>7.8986212499999962</v>
      </c>
      <c r="S13" s="88">
        <v>53.9</v>
      </c>
      <c r="T13" s="106">
        <v>1</v>
      </c>
      <c r="U13" s="90">
        <f>R13/S13/T13</f>
        <v>0.14654213821892387</v>
      </c>
      <c r="V13" s="133">
        <v>230.99543999999986</v>
      </c>
      <c r="W13" s="134">
        <f>V13/N13</f>
        <v>28.874429999999982</v>
      </c>
      <c r="X13" s="127">
        <v>190</v>
      </c>
      <c r="Y13" s="106">
        <v>1</v>
      </c>
      <c r="Z13" s="90">
        <f>W13/X13/Y13</f>
        <v>0.15197068421052623</v>
      </c>
      <c r="AA13" s="141">
        <v>56.074979999999975</v>
      </c>
      <c r="AB13" s="134">
        <f>AA13/N13</f>
        <v>7.0093724999999969</v>
      </c>
      <c r="AC13" s="105">
        <v>42</v>
      </c>
      <c r="AD13" s="106">
        <v>1</v>
      </c>
      <c r="AE13" s="90">
        <f>AB13/AC13/AD13+0.3</f>
        <v>0.46688982142857138</v>
      </c>
      <c r="AF13" s="133">
        <v>33.477599999999988</v>
      </c>
      <c r="AG13" s="134">
        <f>AF13/N13</f>
        <v>4.1846999999999985</v>
      </c>
      <c r="AH13" s="105">
        <v>40</v>
      </c>
      <c r="AI13" s="106">
        <v>1</v>
      </c>
      <c r="AJ13" s="90">
        <f>AG13/AH13/AI13</f>
        <v>0.10461749999999996</v>
      </c>
      <c r="AK13" s="141">
        <v>15.064919999999995</v>
      </c>
      <c r="AL13" s="134">
        <f>AK13/N13</f>
        <v>1.8831149999999994</v>
      </c>
      <c r="AM13" s="105">
        <v>130</v>
      </c>
      <c r="AN13" s="106">
        <v>1</v>
      </c>
      <c r="AO13" s="104">
        <f>AL13/AM13/AN13</f>
        <v>1.4485499999999995E-2</v>
      </c>
      <c r="AP13" s="89">
        <f>IF(G13="보통",2,IF(G13="조강",1,""))</f>
        <v>1</v>
      </c>
      <c r="AQ13" s="139">
        <v>47.705579999999976</v>
      </c>
      <c r="AR13" s="134">
        <f>AQ13/N13</f>
        <v>5.963197499999997</v>
      </c>
      <c r="AS13" s="105">
        <v>225</v>
      </c>
      <c r="AT13" s="106">
        <v>1</v>
      </c>
      <c r="AU13" s="91">
        <f>AR13/AS13/AT13</f>
        <v>2.6503099999999988E-2</v>
      </c>
      <c r="AV13" s="92">
        <f>CEILING(SUM(P13,U13,Z13,AE13,AJ13,AO13,AP13,AU13),0.5)</f>
        <v>3</v>
      </c>
      <c r="AW13" s="133">
        <v>16.738799999999994</v>
      </c>
      <c r="AX13" s="134">
        <f>AW13/N13</f>
        <v>2.0923499999999993</v>
      </c>
      <c r="AY13" s="93">
        <v>40</v>
      </c>
      <c r="AZ13" s="106">
        <v>1</v>
      </c>
      <c r="BA13" s="91">
        <f>AX13/AY13/AZ13</f>
        <v>5.230874999999998E-2</v>
      </c>
      <c r="BB13" s="133">
        <v>18.412679999999995</v>
      </c>
      <c r="BC13" s="134">
        <f>BB13/N13</f>
        <v>2.3015849999999993</v>
      </c>
      <c r="BD13" s="105">
        <v>130</v>
      </c>
      <c r="BE13" s="106">
        <v>1</v>
      </c>
      <c r="BF13" s="104">
        <f>BC13/BD13/BE13</f>
        <v>1.7704499999999995E-2</v>
      </c>
      <c r="BG13" s="89">
        <f>IF(G13="보통",5,IF(G13="조강",2,""))</f>
        <v>2</v>
      </c>
      <c r="BH13" s="59"/>
      <c r="BI13" s="59"/>
      <c r="BJ13" s="94"/>
      <c r="BK13" s="95"/>
      <c r="BL13" s="96"/>
      <c r="BM13" s="133">
        <v>63.105275999999968</v>
      </c>
      <c r="BN13" s="134">
        <f>BM13/N13</f>
        <v>7.888159499999996</v>
      </c>
      <c r="BO13" s="93">
        <v>35</v>
      </c>
      <c r="BP13" s="106">
        <v>1</v>
      </c>
      <c r="BQ13" s="104">
        <f>BN13/BO13/BP13</f>
        <v>0.2253759857142856</v>
      </c>
      <c r="BR13" s="133">
        <v>10.712831999999995</v>
      </c>
      <c r="BS13" s="134">
        <f>BR13/N13</f>
        <v>1.3391039999999994</v>
      </c>
      <c r="BT13" s="97">
        <v>3.4</v>
      </c>
      <c r="BU13" s="106">
        <v>1</v>
      </c>
      <c r="BV13" s="91">
        <f>BS13/BT13/BU13</f>
        <v>0.39385411764705863</v>
      </c>
      <c r="BW13" s="133">
        <v>57.414083999999974</v>
      </c>
      <c r="BX13" s="134">
        <f>BW13/N13</f>
        <v>7.1767604999999968</v>
      </c>
      <c r="BY13" s="105">
        <v>125</v>
      </c>
      <c r="BZ13" s="106">
        <v>1</v>
      </c>
      <c r="CA13" s="104">
        <f>BX13/BY13/BZ13</f>
        <v>5.7414083999999976E-2</v>
      </c>
      <c r="CB13" s="89">
        <f>IF(G13="보통",7,IF(G13="조강",3,""))</f>
        <v>3</v>
      </c>
      <c r="CC13" s="98">
        <f>CEILING(SUM(BA13,BF13,BG13,BL13,BQ13,BV13,CA13,CB13),0.5)</f>
        <v>6</v>
      </c>
      <c r="CD13" s="139">
        <v>20.67241799999999</v>
      </c>
      <c r="CE13" s="134">
        <f>CD13/N13</f>
        <v>2.5840522499999987</v>
      </c>
      <c r="CF13" s="105">
        <v>165</v>
      </c>
      <c r="CG13" s="106">
        <v>1</v>
      </c>
      <c r="CH13" s="91">
        <f>CE13/CF13/CG13</f>
        <v>1.5660922727272718E-2</v>
      </c>
      <c r="CI13" s="139">
        <v>28.037489999999988</v>
      </c>
      <c r="CJ13" s="134">
        <f>CI13/N13</f>
        <v>3.5046862499999984</v>
      </c>
      <c r="CK13" s="105">
        <v>150</v>
      </c>
      <c r="CL13" s="106">
        <v>1</v>
      </c>
      <c r="CM13" s="91">
        <f>CJ13/CK13/CL13</f>
        <v>2.3364574999999988E-2</v>
      </c>
      <c r="CN13" s="139">
        <v>170.73575999999991</v>
      </c>
      <c r="CO13" s="134">
        <f>CN13/N13</f>
        <v>21.341969999999989</v>
      </c>
      <c r="CP13" s="93">
        <v>320</v>
      </c>
      <c r="CQ13" s="106">
        <v>1</v>
      </c>
      <c r="CR13" s="91">
        <f>CO13/CP13/CQ13</f>
        <v>6.6693656249999969E-2</v>
      </c>
      <c r="CS13" s="133">
        <v>512.20727999999974</v>
      </c>
      <c r="CT13" s="134">
        <f>CS13/N13</f>
        <v>64.025909999999968</v>
      </c>
      <c r="CU13" s="93">
        <v>8000</v>
      </c>
      <c r="CV13" s="106">
        <v>1</v>
      </c>
      <c r="CW13" s="91">
        <f>CT13/CU13/CV13</f>
        <v>8.0032387499999955E-3</v>
      </c>
      <c r="CX13" s="133">
        <v>341.47151999999983</v>
      </c>
      <c r="CY13" s="134">
        <f>CX13/N13</f>
        <v>42.683939999999978</v>
      </c>
      <c r="CZ13" s="93">
        <v>300</v>
      </c>
      <c r="DA13" s="106">
        <v>1</v>
      </c>
      <c r="DB13" s="91">
        <f>CY13/CZ13/DA13</f>
        <v>0.14227979999999993</v>
      </c>
      <c r="DC13" s="99">
        <f>K13</f>
        <v>41.84699999999998</v>
      </c>
      <c r="DD13" s="134">
        <f>DC13/N13</f>
        <v>5.2308749999999975</v>
      </c>
      <c r="DE13" s="100">
        <v>50</v>
      </c>
      <c r="DF13" s="106">
        <v>1</v>
      </c>
      <c r="DG13" s="91">
        <f>DD13/DE13/DF13</f>
        <v>0.10461749999999995</v>
      </c>
      <c r="DH13" s="101">
        <f>CEILING(SUM(CH13,CM13,CR13,CW13,DB13,DG13),0.5)</f>
        <v>0.5</v>
      </c>
      <c r="DI13" s="122">
        <f t="shared" si="7"/>
        <v>3</v>
      </c>
      <c r="DJ13" s="122">
        <f t="shared" si="8"/>
        <v>6</v>
      </c>
      <c r="DK13" s="122">
        <f>DH13</f>
        <v>0.5</v>
      </c>
      <c r="DL13" s="122">
        <f t="shared" ref="DL13:DL55" si="12">ROUNDUP(SUM(DI13:DK13),0)</f>
        <v>10</v>
      </c>
      <c r="DM13" s="47">
        <f t="shared" si="9"/>
        <v>8</v>
      </c>
      <c r="DN13" s="122">
        <f>DL13*DM13</f>
        <v>80</v>
      </c>
      <c r="DO13" s="157">
        <f t="shared" si="10"/>
        <v>81</v>
      </c>
      <c r="DP13" s="157"/>
      <c r="DQ13" s="86">
        <f t="shared" si="11"/>
        <v>4.21875</v>
      </c>
      <c r="DR13" s="42"/>
      <c r="DS13" s="42"/>
      <c r="DT13" s="42"/>
      <c r="DU13" s="42"/>
      <c r="DV13" s="42"/>
    </row>
    <row r="14" spans="1:126" s="3" customFormat="1" ht="17.25" customHeight="1">
      <c r="B14" s="150">
        <v>3</v>
      </c>
      <c r="C14" s="144" t="s">
        <v>68</v>
      </c>
      <c r="D14" s="147" t="s">
        <v>69</v>
      </c>
      <c r="E14" s="147"/>
      <c r="F14" s="108"/>
      <c r="G14" s="108" t="s">
        <v>18</v>
      </c>
      <c r="H14" s="107">
        <v>160</v>
      </c>
      <c r="I14" s="138">
        <v>621.89200000000005</v>
      </c>
      <c r="J14" s="138">
        <v>646.32600000000002</v>
      </c>
      <c r="K14" s="87">
        <f t="shared" si="5"/>
        <v>24.433999999999969</v>
      </c>
      <c r="L14" s="87" t="s">
        <v>50</v>
      </c>
      <c r="M14" s="102">
        <v>6</v>
      </c>
      <c r="N14" s="115">
        <v>5</v>
      </c>
      <c r="O14" s="87">
        <f t="shared" si="6"/>
        <v>4.8867999999999938</v>
      </c>
      <c r="P14" s="90">
        <v>1</v>
      </c>
      <c r="Q14" s="139">
        <v>36.895339999999955</v>
      </c>
      <c r="R14" s="134">
        <f>Q14/N14</f>
        <v>7.3790679999999913</v>
      </c>
      <c r="S14" s="88">
        <v>53.9</v>
      </c>
      <c r="T14" s="106">
        <v>1</v>
      </c>
      <c r="U14" s="90">
        <f>R14/S14/T14</f>
        <v>0.13690293135435977</v>
      </c>
      <c r="V14" s="133">
        <v>134.87567999999982</v>
      </c>
      <c r="W14" s="134">
        <f>V14/N14</f>
        <v>26.975135999999964</v>
      </c>
      <c r="X14" s="127">
        <v>190</v>
      </c>
      <c r="Y14" s="106">
        <v>1</v>
      </c>
      <c r="Z14" s="90">
        <f>W14/X14/Y14</f>
        <v>0.14197439999999981</v>
      </c>
      <c r="AA14" s="141">
        <v>32.741559999999957</v>
      </c>
      <c r="AB14" s="134">
        <f>AA14/N14</f>
        <v>6.5483119999999913</v>
      </c>
      <c r="AC14" s="105">
        <v>42</v>
      </c>
      <c r="AD14" s="106">
        <v>1</v>
      </c>
      <c r="AE14" s="90">
        <f>AB14/AC14/AD14+0.3</f>
        <v>0.45591219047619025</v>
      </c>
      <c r="AF14" s="133">
        <v>19.547199999999975</v>
      </c>
      <c r="AG14" s="134">
        <f>AF14/N14</f>
        <v>3.9094399999999951</v>
      </c>
      <c r="AH14" s="105">
        <v>40</v>
      </c>
      <c r="AI14" s="106">
        <v>1</v>
      </c>
      <c r="AJ14" s="90">
        <f>AG14/AH14/AI14</f>
        <v>9.7735999999999879E-2</v>
      </c>
      <c r="AK14" s="141">
        <v>8.7962399999999903</v>
      </c>
      <c r="AL14" s="134">
        <f>AK14/N14</f>
        <v>1.7592479999999981</v>
      </c>
      <c r="AM14" s="105">
        <v>130</v>
      </c>
      <c r="AN14" s="106">
        <v>1</v>
      </c>
      <c r="AO14" s="104">
        <f>AL14/AM14/AN14</f>
        <v>1.3532676923076909E-2</v>
      </c>
      <c r="AP14" s="89">
        <f>IF(G14="보통",2,IF(G14="조강",1,""))</f>
        <v>1</v>
      </c>
      <c r="AQ14" s="139">
        <v>27.854759999999963</v>
      </c>
      <c r="AR14" s="134">
        <f>AQ14/N14</f>
        <v>5.570951999999993</v>
      </c>
      <c r="AS14" s="105">
        <v>225</v>
      </c>
      <c r="AT14" s="106">
        <v>1</v>
      </c>
      <c r="AU14" s="91">
        <f>AR14/AS14/AT14</f>
        <v>2.4759786666666634E-2</v>
      </c>
      <c r="AV14" s="92">
        <f>CEILING(SUM(P14,U14,Z14,AE14,AJ14,AO14,AP14,AU14),0.5)</f>
        <v>3</v>
      </c>
      <c r="AW14" s="133">
        <v>9.7735999999999876</v>
      </c>
      <c r="AX14" s="134">
        <f>AW14/N14</f>
        <v>1.9547199999999976</v>
      </c>
      <c r="AY14" s="93">
        <v>40</v>
      </c>
      <c r="AZ14" s="106">
        <v>1</v>
      </c>
      <c r="BA14" s="91">
        <f>AX14/AY14/AZ14</f>
        <v>4.8867999999999939E-2</v>
      </c>
      <c r="BB14" s="133">
        <v>10.750959999999989</v>
      </c>
      <c r="BC14" s="134">
        <f>BB14/N14</f>
        <v>2.1501919999999979</v>
      </c>
      <c r="BD14" s="105">
        <v>130</v>
      </c>
      <c r="BE14" s="106">
        <v>1</v>
      </c>
      <c r="BF14" s="104">
        <f>BC14/BD14/BE14</f>
        <v>1.6539938461538447E-2</v>
      </c>
      <c r="BG14" s="89">
        <f>IF(G14="보통",5,IF(G14="조강",2,""))</f>
        <v>2</v>
      </c>
      <c r="BH14" s="59"/>
      <c r="BI14" s="59"/>
      <c r="BJ14" s="94"/>
      <c r="BK14" s="95"/>
      <c r="BL14" s="96"/>
      <c r="BM14" s="133">
        <v>36.846471999999956</v>
      </c>
      <c r="BN14" s="134">
        <f>BM14/N14</f>
        <v>7.3692943999999914</v>
      </c>
      <c r="BO14" s="93">
        <v>35</v>
      </c>
      <c r="BP14" s="106">
        <v>1</v>
      </c>
      <c r="BQ14" s="104">
        <f>BN14/BO14/BP14</f>
        <v>0.21055126857142833</v>
      </c>
      <c r="BR14" s="133">
        <v>6.2551039999999922</v>
      </c>
      <c r="BS14" s="134">
        <f>BR14/N14</f>
        <v>1.2510207999999985</v>
      </c>
      <c r="BT14" s="97">
        <v>3.4</v>
      </c>
      <c r="BU14" s="106">
        <v>1</v>
      </c>
      <c r="BV14" s="91">
        <f>BS14/BT14/BU14</f>
        <v>0.36794729411764665</v>
      </c>
      <c r="BW14" s="133">
        <v>33.523447999999959</v>
      </c>
      <c r="BX14" s="134">
        <f>BW14/N14</f>
        <v>6.704689599999992</v>
      </c>
      <c r="BY14" s="105">
        <v>125</v>
      </c>
      <c r="BZ14" s="106">
        <v>1</v>
      </c>
      <c r="CA14" s="104">
        <f>BX14/BY14/BZ14</f>
        <v>5.3637516799999937E-2</v>
      </c>
      <c r="CB14" s="89">
        <f>IF(G14="보통",7,IF(G14="조강",3,""))</f>
        <v>3</v>
      </c>
      <c r="CC14" s="98">
        <f>CEILING(SUM(BA14,BF14,BG14,BL14,BQ14,BV14,CA14,CB14),0.5)</f>
        <v>6</v>
      </c>
      <c r="CD14" s="139">
        <v>12.070395999999985</v>
      </c>
      <c r="CE14" s="134">
        <f>CD14/N14</f>
        <v>2.4140791999999971</v>
      </c>
      <c r="CF14" s="105">
        <v>165</v>
      </c>
      <c r="CG14" s="106">
        <v>1</v>
      </c>
      <c r="CH14" s="91">
        <f>CE14/CF14/CG14</f>
        <v>1.4630783030303013E-2</v>
      </c>
      <c r="CI14" s="139">
        <v>16.370779999999979</v>
      </c>
      <c r="CJ14" s="134">
        <f>CI14/N14</f>
        <v>3.2741559999999956</v>
      </c>
      <c r="CK14" s="105">
        <v>150</v>
      </c>
      <c r="CL14" s="106">
        <v>1</v>
      </c>
      <c r="CM14" s="91">
        <f>CJ14/CK14/CL14</f>
        <v>2.1827706666666637E-2</v>
      </c>
      <c r="CN14" s="139">
        <v>99.690719999999871</v>
      </c>
      <c r="CO14" s="134">
        <f>CN14/N14</f>
        <v>19.938143999999973</v>
      </c>
      <c r="CP14" s="93">
        <v>320</v>
      </c>
      <c r="CQ14" s="106">
        <v>1</v>
      </c>
      <c r="CR14" s="91">
        <f>CO14/CP14/CQ14</f>
        <v>6.2306699999999916E-2</v>
      </c>
      <c r="CS14" s="133">
        <v>299.0721599999996</v>
      </c>
      <c r="CT14" s="134">
        <f>CS14/N14</f>
        <v>59.814431999999918</v>
      </c>
      <c r="CU14" s="93">
        <v>8000</v>
      </c>
      <c r="CV14" s="106">
        <v>1</v>
      </c>
      <c r="CW14" s="91">
        <f>CT14/CU14/CV14</f>
        <v>7.4768039999999897E-3</v>
      </c>
      <c r="CX14" s="133">
        <v>199.38143999999974</v>
      </c>
      <c r="CY14" s="134">
        <f>CX14/N14</f>
        <v>39.876287999999946</v>
      </c>
      <c r="CZ14" s="93">
        <v>300</v>
      </c>
      <c r="DA14" s="106">
        <v>1</v>
      </c>
      <c r="DB14" s="91">
        <f>CY14/CZ14/DA14</f>
        <v>0.13292095999999981</v>
      </c>
      <c r="DC14" s="99">
        <f>K14</f>
        <v>24.433999999999969</v>
      </c>
      <c r="DD14" s="134">
        <f>DC14/N14</f>
        <v>4.8867999999999938</v>
      </c>
      <c r="DE14" s="100">
        <v>50</v>
      </c>
      <c r="DF14" s="106">
        <v>1</v>
      </c>
      <c r="DG14" s="91">
        <f>DD14/DE14/DF14</f>
        <v>9.7735999999999879E-2</v>
      </c>
      <c r="DH14" s="101">
        <f>CEILING(SUM(CH14,CM14,CR14,CW14,DB14,DG14),0.5)</f>
        <v>0.5</v>
      </c>
      <c r="DI14" s="122">
        <f t="shared" si="7"/>
        <v>3</v>
      </c>
      <c r="DJ14" s="122">
        <f t="shared" si="8"/>
        <v>6</v>
      </c>
      <c r="DK14" s="122">
        <f>DH14</f>
        <v>0.5</v>
      </c>
      <c r="DL14" s="122">
        <f t="shared" si="12"/>
        <v>10</v>
      </c>
      <c r="DM14" s="47">
        <f t="shared" si="9"/>
        <v>5</v>
      </c>
      <c r="DN14" s="122">
        <f>DL14*DM14</f>
        <v>50</v>
      </c>
      <c r="DO14" s="157">
        <f t="shared" si="10"/>
        <v>51</v>
      </c>
      <c r="DP14" s="157"/>
      <c r="DQ14" s="86">
        <f t="shared" si="11"/>
        <v>2.65625</v>
      </c>
      <c r="DR14" s="42"/>
      <c r="DS14" s="42"/>
      <c r="DT14" s="42"/>
      <c r="DU14" s="42"/>
      <c r="DV14" s="42"/>
    </row>
    <row r="15" spans="1:126" s="3" customFormat="1" ht="17.25" customHeight="1">
      <c r="B15" s="77">
        <v>4</v>
      </c>
      <c r="C15" s="78" t="s">
        <v>70</v>
      </c>
      <c r="D15" s="79" t="s">
        <v>71</v>
      </c>
      <c r="E15" s="79"/>
      <c r="F15" s="130"/>
      <c r="G15" s="130" t="s">
        <v>166</v>
      </c>
      <c r="H15" s="128">
        <v>160</v>
      </c>
      <c r="I15" s="80">
        <v>718.66600000000005</v>
      </c>
      <c r="J15" s="80">
        <v>745.85900000000004</v>
      </c>
      <c r="K15" s="132">
        <f t="shared" si="5"/>
        <v>27.192999999999984</v>
      </c>
      <c r="L15" s="126" t="s">
        <v>167</v>
      </c>
      <c r="M15" s="114">
        <v>8</v>
      </c>
      <c r="N15" s="115">
        <v>7</v>
      </c>
      <c r="O15" s="132">
        <f t="shared" si="6"/>
        <v>3.8847142857142836</v>
      </c>
      <c r="P15" s="90">
        <v>1</v>
      </c>
      <c r="Q15" s="139">
        <v>41.061429999999973</v>
      </c>
      <c r="R15" s="134">
        <f>Q15/N15</f>
        <v>5.8659185714285673</v>
      </c>
      <c r="S15" s="88">
        <v>53.9</v>
      </c>
      <c r="T15" s="106">
        <v>1</v>
      </c>
      <c r="U15" s="90">
        <f>R15/S15/T15</f>
        <v>0.10882965809700497</v>
      </c>
      <c r="V15" s="133">
        <v>150.10535999999991</v>
      </c>
      <c r="W15" s="134">
        <f>V15/N15</f>
        <v>21.443622857142845</v>
      </c>
      <c r="X15" s="127">
        <v>190</v>
      </c>
      <c r="Y15" s="106">
        <v>1</v>
      </c>
      <c r="Z15" s="90">
        <f>W15/X15/Y15</f>
        <v>0.11286117293233076</v>
      </c>
      <c r="AA15" s="141">
        <v>36.438619999999979</v>
      </c>
      <c r="AB15" s="134">
        <f>AA15/N15</f>
        <v>5.2055171428571398</v>
      </c>
      <c r="AC15" s="105">
        <v>42</v>
      </c>
      <c r="AD15" s="106">
        <v>1</v>
      </c>
      <c r="AE15" s="90">
        <f>AB15/AC15/AD15+0.3</f>
        <v>0.42394088435374144</v>
      </c>
      <c r="AF15" s="133">
        <v>21.75439999999999</v>
      </c>
      <c r="AG15" s="134">
        <f>AF15/N15</f>
        <v>3.1077714285714273</v>
      </c>
      <c r="AH15" s="105">
        <v>40</v>
      </c>
      <c r="AI15" s="106">
        <v>1</v>
      </c>
      <c r="AJ15" s="90">
        <f>AG15/AH15/AI15</f>
        <v>7.7694285714285688E-2</v>
      </c>
      <c r="AK15" s="141">
        <v>9.7894799999999957</v>
      </c>
      <c r="AL15" s="134">
        <f>AK15/N15</f>
        <v>1.3984971428571422</v>
      </c>
      <c r="AM15" s="105">
        <v>130</v>
      </c>
      <c r="AN15" s="106">
        <v>1</v>
      </c>
      <c r="AO15" s="104">
        <f>AL15/AM15/AN15</f>
        <v>1.0757670329670324E-2</v>
      </c>
      <c r="AP15" s="89">
        <f>IF(G15="보통",2,IF(G15="조강",1,""))</f>
        <v>1</v>
      </c>
      <c r="AQ15" s="139">
        <v>31.000019999999978</v>
      </c>
      <c r="AR15" s="134">
        <f>AQ15/N15</f>
        <v>4.4285742857142827</v>
      </c>
      <c r="AS15" s="105">
        <v>225</v>
      </c>
      <c r="AT15" s="106">
        <v>1</v>
      </c>
      <c r="AU15" s="91">
        <f>AR15/AS15/AT15</f>
        <v>1.9682552380952366E-2</v>
      </c>
      <c r="AV15" s="92">
        <f>CEILING(SUM(P15,U15,Z15,AE15,AJ15,AO15,AP15,AU15),0.5)</f>
        <v>3</v>
      </c>
      <c r="AW15" s="133">
        <v>10.877199999999995</v>
      </c>
      <c r="AX15" s="134">
        <f>AW15/N15</f>
        <v>1.5538857142857136</v>
      </c>
      <c r="AY15" s="93">
        <v>40</v>
      </c>
      <c r="AZ15" s="106">
        <v>1</v>
      </c>
      <c r="BA15" s="91">
        <f>AX15/AY15/AZ15</f>
        <v>3.8847142857142844E-2</v>
      </c>
      <c r="BB15" s="133">
        <v>11.964919999999994</v>
      </c>
      <c r="BC15" s="134">
        <f>BB15/N15</f>
        <v>1.7092742857142849</v>
      </c>
      <c r="BD15" s="105">
        <v>130</v>
      </c>
      <c r="BE15" s="106">
        <v>1</v>
      </c>
      <c r="BF15" s="104">
        <f>BC15/BD15/BE15</f>
        <v>1.3148263736263729E-2</v>
      </c>
      <c r="BG15" s="89">
        <f>IF(G15="보통",5,IF(G15="조강",2,""))</f>
        <v>2</v>
      </c>
      <c r="BH15" s="59"/>
      <c r="BI15" s="59"/>
      <c r="BJ15" s="129"/>
      <c r="BK15" s="131"/>
      <c r="BL15" s="124"/>
      <c r="BM15" s="133">
        <v>41.007043999999972</v>
      </c>
      <c r="BN15" s="134">
        <f>BM15/N15</f>
        <v>5.8581491428571386</v>
      </c>
      <c r="BO15" s="93">
        <v>35</v>
      </c>
      <c r="BP15" s="106">
        <v>1</v>
      </c>
      <c r="BQ15" s="104">
        <f>BN15/BO15/BP15</f>
        <v>0.16737568979591824</v>
      </c>
      <c r="BR15" s="133">
        <v>6.961407999999996</v>
      </c>
      <c r="BS15" s="134">
        <f>BR15/N15</f>
        <v>0.99448685714285656</v>
      </c>
      <c r="BT15" s="97">
        <v>3.4</v>
      </c>
      <c r="BU15" s="106">
        <v>1</v>
      </c>
      <c r="BV15" s="91">
        <f>BS15/BT15/BU15</f>
        <v>0.29249613445378136</v>
      </c>
      <c r="BW15" s="133">
        <v>37.30879599999998</v>
      </c>
      <c r="BX15" s="134">
        <f>BW15/N15</f>
        <v>5.3298279999999973</v>
      </c>
      <c r="BY15" s="105">
        <v>125</v>
      </c>
      <c r="BZ15" s="106">
        <v>1</v>
      </c>
      <c r="CA15" s="104">
        <f>BX15/BY15/BZ15</f>
        <v>4.2638623999999979E-2</v>
      </c>
      <c r="CB15" s="89">
        <f>IF(G15="보통",7,IF(G15="조강",3,""))</f>
        <v>3</v>
      </c>
      <c r="CC15" s="98">
        <f>CEILING(SUM(BA15,BF15,BG15,BL15,BQ15,BV15,CA15,CB15),0.5)</f>
        <v>6</v>
      </c>
      <c r="CD15" s="139">
        <v>13.433341999999993</v>
      </c>
      <c r="CE15" s="134">
        <f>CD15/N15</f>
        <v>1.9190488571428561</v>
      </c>
      <c r="CF15" s="105">
        <v>165</v>
      </c>
      <c r="CG15" s="106">
        <v>1</v>
      </c>
      <c r="CH15" s="91">
        <f>CE15/CF15/CG15</f>
        <v>1.1630599134199128E-2</v>
      </c>
      <c r="CI15" s="139">
        <v>18.219309999999989</v>
      </c>
      <c r="CJ15" s="134">
        <f>CI15/N15</f>
        <v>2.6027585714285699</v>
      </c>
      <c r="CK15" s="105">
        <v>150</v>
      </c>
      <c r="CL15" s="106">
        <v>1</v>
      </c>
      <c r="CM15" s="91">
        <f>CJ15/CK15/CL15</f>
        <v>1.7351723809523798E-2</v>
      </c>
      <c r="CN15" s="139">
        <v>110.94743999999993</v>
      </c>
      <c r="CO15" s="134">
        <f>CN15/N15</f>
        <v>15.849634285714275</v>
      </c>
      <c r="CP15" s="93">
        <v>320</v>
      </c>
      <c r="CQ15" s="106">
        <v>1</v>
      </c>
      <c r="CR15" s="91">
        <f>CO15/CP15/CQ15</f>
        <v>4.9530107142857112E-2</v>
      </c>
      <c r="CS15" s="133">
        <v>332.8423199999998</v>
      </c>
      <c r="CT15" s="134">
        <f>CS15/N15</f>
        <v>47.548902857142828</v>
      </c>
      <c r="CU15" s="93">
        <v>8000</v>
      </c>
      <c r="CV15" s="106">
        <v>1</v>
      </c>
      <c r="CW15" s="91">
        <f>CT15/CU15/CV15</f>
        <v>5.9436128571428532E-3</v>
      </c>
      <c r="CX15" s="133">
        <v>221.89487999999986</v>
      </c>
      <c r="CY15" s="134">
        <f>CX15/N15</f>
        <v>31.699268571428551</v>
      </c>
      <c r="CZ15" s="93">
        <v>300</v>
      </c>
      <c r="DA15" s="106">
        <v>1</v>
      </c>
      <c r="DB15" s="91">
        <f>CY15/CZ15/DA15</f>
        <v>0.1056642285714285</v>
      </c>
      <c r="DC15" s="99">
        <f>K15</f>
        <v>27.192999999999984</v>
      </c>
      <c r="DD15" s="134">
        <f>DC15/N15</f>
        <v>3.8847142857142836</v>
      </c>
      <c r="DE15" s="100">
        <v>50</v>
      </c>
      <c r="DF15" s="106">
        <v>1</v>
      </c>
      <c r="DG15" s="91">
        <f>DD15/DE15/DF15</f>
        <v>7.7694285714285674E-2</v>
      </c>
      <c r="DH15" s="101">
        <f>CEILING(SUM(CH15,CM15,CR15,CW15,DB15,DG15),0.5)</f>
        <v>0.5</v>
      </c>
      <c r="DI15" s="122">
        <f t="shared" ref="DI15" si="13">AV15</f>
        <v>3</v>
      </c>
      <c r="DJ15" s="122">
        <f t="shared" ref="DJ15" si="14">CC15</f>
        <v>6</v>
      </c>
      <c r="DK15" s="122">
        <f>DH15</f>
        <v>0.5</v>
      </c>
      <c r="DL15" s="122">
        <f t="shared" si="12"/>
        <v>10</v>
      </c>
      <c r="DM15" s="47">
        <f t="shared" ref="DM15" si="15">N15</f>
        <v>7</v>
      </c>
      <c r="DN15" s="122">
        <f>DL15*DM15</f>
        <v>70</v>
      </c>
      <c r="DO15" s="157">
        <f t="shared" ref="DO15" si="16">DN15+1</f>
        <v>71</v>
      </c>
      <c r="DP15" s="157"/>
      <c r="DQ15" s="86">
        <f t="shared" ref="DQ15" si="17">DO15/19.2</f>
        <v>3.697916666666667</v>
      </c>
      <c r="DR15" s="42"/>
      <c r="DS15" s="42"/>
      <c r="DT15" s="42"/>
      <c r="DU15" s="42"/>
      <c r="DV15" s="42"/>
    </row>
    <row r="16" spans="1:126" s="3" customFormat="1" ht="17.25" customHeight="1">
      <c r="B16" s="152">
        <v>5</v>
      </c>
      <c r="C16" s="145" t="s">
        <v>72</v>
      </c>
      <c r="D16" s="147" t="s">
        <v>73</v>
      </c>
      <c r="E16" s="147"/>
      <c r="F16" s="108"/>
      <c r="G16" s="108" t="s">
        <v>18</v>
      </c>
      <c r="H16" s="107">
        <v>160</v>
      </c>
      <c r="I16" s="138">
        <v>829.36900000000003</v>
      </c>
      <c r="J16" s="138">
        <v>844.03599999999994</v>
      </c>
      <c r="K16" s="87">
        <f t="shared" si="5"/>
        <v>14.666999999999916</v>
      </c>
      <c r="L16" s="87" t="s">
        <v>50</v>
      </c>
      <c r="M16" s="102">
        <v>4</v>
      </c>
      <c r="N16" s="113">
        <v>4</v>
      </c>
      <c r="O16" s="87">
        <f t="shared" si="6"/>
        <v>3.6667499999999791</v>
      </c>
      <c r="P16" s="90">
        <v>1</v>
      </c>
      <c r="Q16" s="139">
        <v>22.147169999999875</v>
      </c>
      <c r="R16" s="134">
        <f t="shared" ref="R16:R55" si="18">Q16/N16</f>
        <v>5.5367924999999687</v>
      </c>
      <c r="S16" s="88">
        <v>53.9</v>
      </c>
      <c r="T16" s="106">
        <v>1</v>
      </c>
      <c r="U16" s="90">
        <f t="shared" ref="U16:U55" si="19">R16/S16/T16</f>
        <v>0.10272342300556528</v>
      </c>
      <c r="V16" s="133">
        <v>80.96183999999954</v>
      </c>
      <c r="W16" s="134">
        <f t="shared" ref="W16:W55" si="20">V16/N16</f>
        <v>20.240459999999885</v>
      </c>
      <c r="X16" s="127">
        <v>190</v>
      </c>
      <c r="Y16" s="106">
        <v>1</v>
      </c>
      <c r="Z16" s="90">
        <f t="shared" ref="Z16:Z55" si="21">W16/X16/Y16</f>
        <v>0.10652873684210466</v>
      </c>
      <c r="AA16" s="141">
        <v>19.653779999999887</v>
      </c>
      <c r="AB16" s="134">
        <f t="shared" ref="AB16:AB55" si="22">AA16/N16</f>
        <v>4.9134449999999719</v>
      </c>
      <c r="AC16" s="105">
        <v>42</v>
      </c>
      <c r="AD16" s="106">
        <v>1</v>
      </c>
      <c r="AE16" s="90">
        <f t="shared" ref="AE16:AE55" si="23">AB16/AC16/AD16+0.3</f>
        <v>0.41698678571428505</v>
      </c>
      <c r="AF16" s="133">
        <v>11.733599999999933</v>
      </c>
      <c r="AG16" s="134">
        <f t="shared" ref="AG16:AG55" si="24">AF16/N16</f>
        <v>2.9333999999999834</v>
      </c>
      <c r="AH16" s="105">
        <v>40</v>
      </c>
      <c r="AI16" s="106">
        <v>1</v>
      </c>
      <c r="AJ16" s="90">
        <f t="shared" ref="AJ16:AJ55" si="25">AG16/AH16/AI16</f>
        <v>7.3334999999999581E-2</v>
      </c>
      <c r="AK16" s="141">
        <v>5.2801199999999708</v>
      </c>
      <c r="AL16" s="134">
        <f t="shared" ref="AL16:AL55" si="26">AK16/N16</f>
        <v>1.3200299999999927</v>
      </c>
      <c r="AM16" s="105">
        <v>130</v>
      </c>
      <c r="AN16" s="106">
        <v>1</v>
      </c>
      <c r="AO16" s="104">
        <f t="shared" ref="AO16:AO55" si="27">AL16/AM16/AN16</f>
        <v>1.0154076923076866E-2</v>
      </c>
      <c r="AP16" s="89">
        <f t="shared" ref="AP16:AP34" si="28">IF(G16="보통",2,IF(G16="조강",1,""))</f>
        <v>1</v>
      </c>
      <c r="AQ16" s="139">
        <v>16.720379999999903</v>
      </c>
      <c r="AR16" s="134">
        <f t="shared" ref="AR16:AR55" si="29">AQ16/N16</f>
        <v>4.1800949999999757</v>
      </c>
      <c r="AS16" s="105">
        <v>225</v>
      </c>
      <c r="AT16" s="106">
        <v>1</v>
      </c>
      <c r="AU16" s="91">
        <f t="shared" ref="AU16:AU55" si="30">AR16/AS16/AT16</f>
        <v>1.8578199999999892E-2</v>
      </c>
      <c r="AV16" s="92">
        <f t="shared" ref="AV16:AV55" si="31">CEILING(SUM(P16,U16,Z16,AE16,AJ16,AO16,AP16,AU16),0.5)</f>
        <v>3</v>
      </c>
      <c r="AW16" s="133">
        <v>5.8667999999999667</v>
      </c>
      <c r="AX16" s="134">
        <f t="shared" ref="AX16:AX55" si="32">AW16/N16</f>
        <v>1.4666999999999917</v>
      </c>
      <c r="AY16" s="93">
        <v>40</v>
      </c>
      <c r="AZ16" s="106">
        <v>1</v>
      </c>
      <c r="BA16" s="91">
        <f t="shared" ref="BA16:BA55" si="33">AX16/AY16/AZ16</f>
        <v>3.6667499999999791E-2</v>
      </c>
      <c r="BB16" s="133">
        <v>6.4534799999999644</v>
      </c>
      <c r="BC16" s="134">
        <f t="shared" ref="BC16:BC55" si="34">BB16/N16</f>
        <v>1.6133699999999911</v>
      </c>
      <c r="BD16" s="105">
        <v>130</v>
      </c>
      <c r="BE16" s="106">
        <v>1</v>
      </c>
      <c r="BF16" s="104">
        <f t="shared" ref="BF16:BF55" si="35">BC16/BD16/BE16</f>
        <v>1.2410538461538393E-2</v>
      </c>
      <c r="BG16" s="89">
        <f t="shared" ref="BG16:BG34" si="36">IF(G16="보통",5,IF(G16="조강",2,""))</f>
        <v>2</v>
      </c>
      <c r="BH16" s="59"/>
      <c r="BI16" s="59"/>
      <c r="BJ16" s="94"/>
      <c r="BK16" s="95"/>
      <c r="BL16" s="96"/>
      <c r="BM16" s="133">
        <v>22.117835999999873</v>
      </c>
      <c r="BN16" s="134">
        <f t="shared" ref="BN16:BN55" si="37">BM16/N16</f>
        <v>5.5294589999999681</v>
      </c>
      <c r="BO16" s="93">
        <v>35</v>
      </c>
      <c r="BP16" s="106">
        <v>1</v>
      </c>
      <c r="BQ16" s="104">
        <f t="shared" ref="BQ16:BQ55" si="38">BN16/BO16/BP16</f>
        <v>0.15798454285714195</v>
      </c>
      <c r="BR16" s="133">
        <v>3.7547519999999786</v>
      </c>
      <c r="BS16" s="134">
        <f t="shared" ref="BS16:BS55" si="39">BR16/N16</f>
        <v>0.93868799999999464</v>
      </c>
      <c r="BT16" s="97">
        <v>3.4</v>
      </c>
      <c r="BU16" s="106">
        <v>1</v>
      </c>
      <c r="BV16" s="91">
        <f t="shared" ref="BV16:BV55" si="40">BS16/BT16/BU16</f>
        <v>0.27608470588235134</v>
      </c>
      <c r="BW16" s="133">
        <v>20.123123999999887</v>
      </c>
      <c r="BX16" s="134">
        <f t="shared" ref="BX16:BX55" si="41">BW16/N16</f>
        <v>5.0307809999999717</v>
      </c>
      <c r="BY16" s="105">
        <v>125</v>
      </c>
      <c r="BZ16" s="106">
        <v>1</v>
      </c>
      <c r="CA16" s="104">
        <f t="shared" ref="CA16:CA55" si="42">BX16/BY16/BZ16</f>
        <v>4.0246247999999776E-2</v>
      </c>
      <c r="CB16" s="89">
        <f t="shared" ref="CB16:CB34" si="43">IF(G16="보통",7,IF(G16="조강",3,""))</f>
        <v>3</v>
      </c>
      <c r="CC16" s="98">
        <f t="shared" ref="CC16:CC55" si="44">CEILING(SUM(BA16,BF16,BG16,BL16,BQ16,BV16,CA16,CB16),0.5)</f>
        <v>6</v>
      </c>
      <c r="CD16" s="139">
        <v>7.2454979999999587</v>
      </c>
      <c r="CE16" s="134">
        <f t="shared" ref="CE16:CE55" si="45">CD16/N16</f>
        <v>1.8113744999999897</v>
      </c>
      <c r="CF16" s="105">
        <v>165</v>
      </c>
      <c r="CG16" s="106">
        <v>1</v>
      </c>
      <c r="CH16" s="91">
        <f t="shared" ref="CH16:CH55" si="46">CE16/CF16/CG16</f>
        <v>1.097802727272721E-2</v>
      </c>
      <c r="CI16" s="139">
        <v>9.8268899999999437</v>
      </c>
      <c r="CJ16" s="134">
        <f t="shared" ref="CJ16:CJ55" si="47">CI16/N16</f>
        <v>2.4567224999999859</v>
      </c>
      <c r="CK16" s="105">
        <v>150</v>
      </c>
      <c r="CL16" s="106">
        <v>1</v>
      </c>
      <c r="CM16" s="91">
        <f t="shared" ref="CM16:CM55" si="48">CJ16/CK16/CL16</f>
        <v>1.6378149999999907E-2</v>
      </c>
      <c r="CN16" s="139">
        <v>59.841359999999661</v>
      </c>
      <c r="CO16" s="134">
        <f t="shared" ref="CO16:CO55" si="49">CN16/N16</f>
        <v>14.960339999999915</v>
      </c>
      <c r="CP16" s="93">
        <v>320</v>
      </c>
      <c r="CQ16" s="106">
        <v>1</v>
      </c>
      <c r="CR16" s="91">
        <f t="shared" ref="CR16:CR55" si="50">CO16/CP16/CQ16</f>
        <v>4.6751062499999732E-2</v>
      </c>
      <c r="CS16" s="133">
        <v>179.52407999999897</v>
      </c>
      <c r="CT16" s="134">
        <f t="shared" ref="CT16:CT55" si="51">CS16/N16</f>
        <v>44.881019999999744</v>
      </c>
      <c r="CU16" s="93">
        <v>8000</v>
      </c>
      <c r="CV16" s="106">
        <v>1</v>
      </c>
      <c r="CW16" s="91">
        <f t="shared" ref="CW16:CW55" si="52">CT16/CU16/CV16</f>
        <v>5.610127499999968E-3</v>
      </c>
      <c r="CX16" s="133">
        <v>119.68271999999932</v>
      </c>
      <c r="CY16" s="134">
        <f t="shared" ref="CY16:CY55" si="53">CX16/N16</f>
        <v>29.92067999999983</v>
      </c>
      <c r="CZ16" s="93">
        <v>300</v>
      </c>
      <c r="DA16" s="106">
        <v>1</v>
      </c>
      <c r="DB16" s="91">
        <f t="shared" ref="DB16:DB55" si="54">CY16/CZ16/DA16</f>
        <v>9.9735599999999439E-2</v>
      </c>
      <c r="DC16" s="99">
        <f t="shared" ref="DC16:DC34" si="55">K16</f>
        <v>14.666999999999916</v>
      </c>
      <c r="DD16" s="134">
        <f t="shared" ref="DD16:DD55" si="56">DC16/N16</f>
        <v>3.6667499999999791</v>
      </c>
      <c r="DE16" s="100">
        <v>50</v>
      </c>
      <c r="DF16" s="106">
        <v>1</v>
      </c>
      <c r="DG16" s="91">
        <f t="shared" ref="DG16:DG55" si="57">DD16/DE16/DF16</f>
        <v>7.3334999999999581E-2</v>
      </c>
      <c r="DH16" s="101">
        <f t="shared" ref="DH16:DH55" si="58">CEILING(SUM(CH16,CM16,CR16,CW16,DB16,DG16),0.5)</f>
        <v>0.5</v>
      </c>
      <c r="DI16" s="122">
        <f t="shared" si="7"/>
        <v>3</v>
      </c>
      <c r="DJ16" s="122">
        <f t="shared" si="8"/>
        <v>6</v>
      </c>
      <c r="DK16" s="122">
        <f t="shared" ref="DK16:DK55" si="59">DH16</f>
        <v>0.5</v>
      </c>
      <c r="DL16" s="122">
        <f t="shared" si="12"/>
        <v>10</v>
      </c>
      <c r="DM16" s="47">
        <f t="shared" si="9"/>
        <v>4</v>
      </c>
      <c r="DN16" s="122">
        <f t="shared" ref="DN16:DN55" si="60">DL16*DM16</f>
        <v>40</v>
      </c>
      <c r="DO16" s="157">
        <f t="shared" si="10"/>
        <v>41</v>
      </c>
      <c r="DP16" s="157"/>
      <c r="DQ16" s="86">
        <f t="shared" si="11"/>
        <v>2.135416666666667</v>
      </c>
      <c r="DR16" s="42"/>
      <c r="DS16" s="42"/>
      <c r="DT16" s="42"/>
      <c r="DU16" s="42"/>
      <c r="DV16" s="42"/>
    </row>
    <row r="17" spans="2:126" s="3" customFormat="1" ht="17.25" customHeight="1">
      <c r="B17" s="148">
        <v>6</v>
      </c>
      <c r="C17" s="146" t="s">
        <v>74</v>
      </c>
      <c r="D17" s="147" t="s">
        <v>75</v>
      </c>
      <c r="E17" s="147"/>
      <c r="F17" s="108"/>
      <c r="G17" s="108" t="s">
        <v>18</v>
      </c>
      <c r="H17" s="107">
        <v>160</v>
      </c>
      <c r="I17" s="138">
        <v>942.20600000000002</v>
      </c>
      <c r="J17" s="138">
        <v>985.51300000000003</v>
      </c>
      <c r="K17" s="87">
        <f t="shared" si="5"/>
        <v>43.307000000000016</v>
      </c>
      <c r="L17" s="87" t="s">
        <v>50</v>
      </c>
      <c r="M17" s="102">
        <v>10</v>
      </c>
      <c r="N17" s="115">
        <v>9</v>
      </c>
      <c r="O17" s="87">
        <f t="shared" si="6"/>
        <v>4.8118888888888911</v>
      </c>
      <c r="P17" s="90">
        <v>1</v>
      </c>
      <c r="Q17" s="139">
        <v>65.393570000000025</v>
      </c>
      <c r="R17" s="134">
        <f t="shared" si="18"/>
        <v>7.265952222222225</v>
      </c>
      <c r="S17" s="88">
        <v>53.9</v>
      </c>
      <c r="T17" s="106">
        <v>1</v>
      </c>
      <c r="U17" s="90">
        <f t="shared" si="19"/>
        <v>0.13480430839002272</v>
      </c>
      <c r="V17" s="133">
        <v>239.05464000000009</v>
      </c>
      <c r="W17" s="134">
        <f t="shared" si="20"/>
        <v>26.561626666666676</v>
      </c>
      <c r="X17" s="127">
        <v>190</v>
      </c>
      <c r="Y17" s="106">
        <v>1</v>
      </c>
      <c r="Z17" s="90">
        <f t="shared" si="21"/>
        <v>0.13979803508771935</v>
      </c>
      <c r="AA17" s="141">
        <v>58.031380000000027</v>
      </c>
      <c r="AB17" s="134">
        <f t="shared" si="22"/>
        <v>6.4479311111111137</v>
      </c>
      <c r="AC17" s="105">
        <v>42</v>
      </c>
      <c r="AD17" s="106">
        <v>1</v>
      </c>
      <c r="AE17" s="90">
        <f t="shared" si="23"/>
        <v>0.45352216931216938</v>
      </c>
      <c r="AF17" s="133">
        <v>34.645600000000016</v>
      </c>
      <c r="AG17" s="134">
        <f t="shared" si="24"/>
        <v>3.8495111111111129</v>
      </c>
      <c r="AH17" s="105">
        <v>40</v>
      </c>
      <c r="AI17" s="106">
        <v>1</v>
      </c>
      <c r="AJ17" s="90">
        <f t="shared" si="25"/>
        <v>9.6237777777777825E-2</v>
      </c>
      <c r="AK17" s="141">
        <v>15.590520000000009</v>
      </c>
      <c r="AL17" s="134">
        <f t="shared" si="26"/>
        <v>1.7322800000000009</v>
      </c>
      <c r="AM17" s="105">
        <v>130</v>
      </c>
      <c r="AN17" s="106">
        <v>1</v>
      </c>
      <c r="AO17" s="104">
        <f t="shared" si="27"/>
        <v>1.3325230769230777E-2</v>
      </c>
      <c r="AP17" s="89">
        <f t="shared" si="28"/>
        <v>1</v>
      </c>
      <c r="AQ17" s="139">
        <v>49.369980000000012</v>
      </c>
      <c r="AR17" s="134">
        <f t="shared" si="29"/>
        <v>5.4855533333333346</v>
      </c>
      <c r="AS17" s="105">
        <v>225</v>
      </c>
      <c r="AT17" s="106">
        <v>1</v>
      </c>
      <c r="AU17" s="91">
        <f t="shared" si="30"/>
        <v>2.4380237037037043E-2</v>
      </c>
      <c r="AV17" s="92">
        <f t="shared" si="31"/>
        <v>3</v>
      </c>
      <c r="AW17" s="133">
        <v>17.322800000000008</v>
      </c>
      <c r="AX17" s="134">
        <f t="shared" si="32"/>
        <v>1.9247555555555564</v>
      </c>
      <c r="AY17" s="93">
        <v>40</v>
      </c>
      <c r="AZ17" s="106">
        <v>1</v>
      </c>
      <c r="BA17" s="91">
        <f t="shared" si="33"/>
        <v>4.8118888888888912E-2</v>
      </c>
      <c r="BB17" s="133">
        <v>19.055080000000011</v>
      </c>
      <c r="BC17" s="134">
        <f t="shared" si="34"/>
        <v>2.1172311111111122</v>
      </c>
      <c r="BD17" s="105">
        <v>130</v>
      </c>
      <c r="BE17" s="106">
        <v>1</v>
      </c>
      <c r="BF17" s="104">
        <f t="shared" si="35"/>
        <v>1.6286393162393172E-2</v>
      </c>
      <c r="BG17" s="89">
        <f t="shared" si="36"/>
        <v>2</v>
      </c>
      <c r="BH17" s="59"/>
      <c r="BI17" s="59"/>
      <c r="BJ17" s="94"/>
      <c r="BK17" s="95"/>
      <c r="BL17" s="96"/>
      <c r="BM17" s="133">
        <v>65.306956000000028</v>
      </c>
      <c r="BN17" s="134">
        <f t="shared" si="37"/>
        <v>7.2563284444444474</v>
      </c>
      <c r="BO17" s="93">
        <v>35</v>
      </c>
      <c r="BP17" s="106">
        <v>1</v>
      </c>
      <c r="BQ17" s="104">
        <f t="shared" si="38"/>
        <v>0.20732366984126993</v>
      </c>
      <c r="BR17" s="133">
        <v>11.086592000000005</v>
      </c>
      <c r="BS17" s="134">
        <f t="shared" si="39"/>
        <v>1.231843555555556</v>
      </c>
      <c r="BT17" s="97">
        <v>3.4</v>
      </c>
      <c r="BU17" s="106">
        <v>1</v>
      </c>
      <c r="BV17" s="91">
        <f t="shared" si="40"/>
        <v>0.36230692810457532</v>
      </c>
      <c r="BW17" s="133">
        <v>59.417204000000027</v>
      </c>
      <c r="BX17" s="134">
        <f t="shared" si="41"/>
        <v>6.6019115555555583</v>
      </c>
      <c r="BY17" s="105">
        <v>125</v>
      </c>
      <c r="BZ17" s="106">
        <v>1</v>
      </c>
      <c r="CA17" s="104">
        <f t="shared" si="42"/>
        <v>5.2815292444444467E-2</v>
      </c>
      <c r="CB17" s="89">
        <f t="shared" si="43"/>
        <v>3</v>
      </c>
      <c r="CC17" s="98">
        <f t="shared" si="44"/>
        <v>6</v>
      </c>
      <c r="CD17" s="139">
        <v>21.393658000000009</v>
      </c>
      <c r="CE17" s="134">
        <f t="shared" si="45"/>
        <v>2.3770731111111121</v>
      </c>
      <c r="CF17" s="105">
        <v>165</v>
      </c>
      <c r="CG17" s="106">
        <v>1</v>
      </c>
      <c r="CH17" s="91">
        <f t="shared" si="46"/>
        <v>1.4406503703703709E-2</v>
      </c>
      <c r="CI17" s="139">
        <v>29.015690000000014</v>
      </c>
      <c r="CJ17" s="134">
        <f t="shared" si="47"/>
        <v>3.2239655555555569</v>
      </c>
      <c r="CK17" s="105">
        <v>150</v>
      </c>
      <c r="CL17" s="106">
        <v>1</v>
      </c>
      <c r="CM17" s="91">
        <f t="shared" si="48"/>
        <v>2.1493103703703713E-2</v>
      </c>
      <c r="CN17" s="139">
        <v>176.69256000000007</v>
      </c>
      <c r="CO17" s="134">
        <f t="shared" si="49"/>
        <v>19.632506666666675</v>
      </c>
      <c r="CP17" s="93">
        <v>320</v>
      </c>
      <c r="CQ17" s="106">
        <v>1</v>
      </c>
      <c r="CR17" s="91">
        <f t="shared" si="50"/>
        <v>6.1351583333333362E-2</v>
      </c>
      <c r="CS17" s="133">
        <v>530.07768000000021</v>
      </c>
      <c r="CT17" s="134">
        <f t="shared" si="51"/>
        <v>58.897520000000021</v>
      </c>
      <c r="CU17" s="93">
        <v>8000</v>
      </c>
      <c r="CV17" s="106">
        <v>1</v>
      </c>
      <c r="CW17" s="91">
        <f t="shared" si="52"/>
        <v>7.3621900000000028E-3</v>
      </c>
      <c r="CX17" s="133">
        <v>353.38512000000014</v>
      </c>
      <c r="CY17" s="134">
        <f t="shared" si="53"/>
        <v>39.26501333333335</v>
      </c>
      <c r="CZ17" s="93">
        <v>300</v>
      </c>
      <c r="DA17" s="106">
        <v>1</v>
      </c>
      <c r="DB17" s="91">
        <f t="shared" si="54"/>
        <v>0.13088337777777784</v>
      </c>
      <c r="DC17" s="99">
        <f t="shared" si="55"/>
        <v>43.307000000000016</v>
      </c>
      <c r="DD17" s="134">
        <f t="shared" si="56"/>
        <v>4.8118888888888911</v>
      </c>
      <c r="DE17" s="100">
        <v>50</v>
      </c>
      <c r="DF17" s="106">
        <v>1</v>
      </c>
      <c r="DG17" s="91">
        <f t="shared" si="57"/>
        <v>9.6237777777777825E-2</v>
      </c>
      <c r="DH17" s="101">
        <f t="shared" si="58"/>
        <v>0.5</v>
      </c>
      <c r="DI17" s="122">
        <f t="shared" ref="DI17:DI39" si="61">AV17</f>
        <v>3</v>
      </c>
      <c r="DJ17" s="122">
        <f t="shared" ref="DJ17:DJ39" si="62">CC17</f>
        <v>6</v>
      </c>
      <c r="DK17" s="122">
        <f t="shared" si="59"/>
        <v>0.5</v>
      </c>
      <c r="DL17" s="122">
        <f t="shared" si="12"/>
        <v>10</v>
      </c>
      <c r="DM17" s="47">
        <f t="shared" si="9"/>
        <v>9</v>
      </c>
      <c r="DN17" s="122">
        <f t="shared" si="60"/>
        <v>90</v>
      </c>
      <c r="DO17" s="157">
        <f t="shared" ref="DO17:DO39" si="63">DN17+1</f>
        <v>91</v>
      </c>
      <c r="DP17" s="157"/>
      <c r="DQ17" s="86">
        <f t="shared" si="11"/>
        <v>4.7395833333333339</v>
      </c>
      <c r="DR17" s="42"/>
      <c r="DS17" s="42"/>
      <c r="DT17" s="42"/>
      <c r="DU17" s="42"/>
      <c r="DV17" s="42"/>
    </row>
    <row r="18" spans="2:126" s="3" customFormat="1" ht="17.25" customHeight="1">
      <c r="B18" s="148">
        <v>7</v>
      </c>
      <c r="C18" s="146" t="s">
        <v>76</v>
      </c>
      <c r="D18" s="147" t="s">
        <v>77</v>
      </c>
      <c r="E18" s="147"/>
      <c r="F18" s="108"/>
      <c r="G18" s="108" t="s">
        <v>18</v>
      </c>
      <c r="H18" s="107">
        <v>160</v>
      </c>
      <c r="I18" s="138">
        <v>1133.664</v>
      </c>
      <c r="J18" s="138">
        <v>1176.8019999999999</v>
      </c>
      <c r="K18" s="87">
        <f t="shared" si="5"/>
        <v>43.13799999999992</v>
      </c>
      <c r="L18" s="87" t="s">
        <v>50</v>
      </c>
      <c r="M18" s="102">
        <v>9</v>
      </c>
      <c r="N18" s="113">
        <v>9</v>
      </c>
      <c r="O18" s="87">
        <f t="shared" si="6"/>
        <v>4.7931111111111022</v>
      </c>
      <c r="P18" s="90">
        <v>1</v>
      </c>
      <c r="Q18" s="139">
        <v>65.138379999999884</v>
      </c>
      <c r="R18" s="134">
        <f t="shared" si="18"/>
        <v>7.2375977777777649</v>
      </c>
      <c r="S18" s="88">
        <v>53.9</v>
      </c>
      <c r="T18" s="106">
        <v>1</v>
      </c>
      <c r="U18" s="90">
        <f t="shared" si="19"/>
        <v>0.1342782519068231</v>
      </c>
      <c r="V18" s="133">
        <v>238.12175999999954</v>
      </c>
      <c r="W18" s="134">
        <f t="shared" si="20"/>
        <v>26.457973333333282</v>
      </c>
      <c r="X18" s="127">
        <v>190</v>
      </c>
      <c r="Y18" s="106">
        <v>1</v>
      </c>
      <c r="Z18" s="90">
        <f t="shared" si="21"/>
        <v>0.1392524912280699</v>
      </c>
      <c r="AA18" s="141">
        <v>57.804919999999896</v>
      </c>
      <c r="AB18" s="134">
        <f t="shared" si="22"/>
        <v>6.4227688888888776</v>
      </c>
      <c r="AC18" s="105">
        <v>42</v>
      </c>
      <c r="AD18" s="106">
        <v>1</v>
      </c>
      <c r="AE18" s="90">
        <f t="shared" si="23"/>
        <v>0.45292306878306854</v>
      </c>
      <c r="AF18" s="133">
        <v>34.51039999999994</v>
      </c>
      <c r="AG18" s="134">
        <f t="shared" si="24"/>
        <v>3.8344888888888824</v>
      </c>
      <c r="AH18" s="105">
        <v>40</v>
      </c>
      <c r="AI18" s="106">
        <v>1</v>
      </c>
      <c r="AJ18" s="90">
        <f t="shared" si="25"/>
        <v>9.5862222222222057E-2</v>
      </c>
      <c r="AK18" s="141">
        <v>15.529679999999972</v>
      </c>
      <c r="AL18" s="134">
        <f t="shared" si="26"/>
        <v>1.7255199999999968</v>
      </c>
      <c r="AM18" s="105">
        <v>130</v>
      </c>
      <c r="AN18" s="106">
        <v>1</v>
      </c>
      <c r="AO18" s="104">
        <f t="shared" si="27"/>
        <v>1.3273230769230746E-2</v>
      </c>
      <c r="AP18" s="89">
        <f t="shared" si="28"/>
        <v>1</v>
      </c>
      <c r="AQ18" s="139">
        <v>49.177319999999902</v>
      </c>
      <c r="AR18" s="134">
        <f t="shared" si="29"/>
        <v>5.4641466666666556</v>
      </c>
      <c r="AS18" s="105">
        <v>225</v>
      </c>
      <c r="AT18" s="106">
        <v>1</v>
      </c>
      <c r="AU18" s="91">
        <f t="shared" si="30"/>
        <v>2.4285096296296247E-2</v>
      </c>
      <c r="AV18" s="92">
        <f t="shared" si="31"/>
        <v>3</v>
      </c>
      <c r="AW18" s="133">
        <v>17.25519999999997</v>
      </c>
      <c r="AX18" s="134">
        <f t="shared" si="32"/>
        <v>1.9172444444444412</v>
      </c>
      <c r="AY18" s="93">
        <v>40</v>
      </c>
      <c r="AZ18" s="106">
        <v>1</v>
      </c>
      <c r="BA18" s="91">
        <f t="shared" si="33"/>
        <v>4.7931111111111029E-2</v>
      </c>
      <c r="BB18" s="133">
        <v>18.980719999999966</v>
      </c>
      <c r="BC18" s="134">
        <f t="shared" si="34"/>
        <v>2.1089688888888851</v>
      </c>
      <c r="BD18" s="105">
        <v>130</v>
      </c>
      <c r="BE18" s="106">
        <v>1</v>
      </c>
      <c r="BF18" s="104">
        <f t="shared" si="35"/>
        <v>1.6222837606837577E-2</v>
      </c>
      <c r="BG18" s="89">
        <f t="shared" si="36"/>
        <v>2</v>
      </c>
      <c r="BH18" s="59"/>
      <c r="BI18" s="59"/>
      <c r="BJ18" s="94"/>
      <c r="BK18" s="95"/>
      <c r="BL18" s="96"/>
      <c r="BM18" s="133">
        <v>65.052103999999886</v>
      </c>
      <c r="BN18" s="134">
        <f t="shared" si="37"/>
        <v>7.2280115555555433</v>
      </c>
      <c r="BO18" s="93">
        <v>35</v>
      </c>
      <c r="BP18" s="106">
        <v>1</v>
      </c>
      <c r="BQ18" s="104">
        <f t="shared" si="38"/>
        <v>0.20651461587301553</v>
      </c>
      <c r="BR18" s="133">
        <v>11.043327999999979</v>
      </c>
      <c r="BS18" s="134">
        <f t="shared" si="39"/>
        <v>1.2270364444444422</v>
      </c>
      <c r="BT18" s="97">
        <v>3.4</v>
      </c>
      <c r="BU18" s="106">
        <v>1</v>
      </c>
      <c r="BV18" s="91">
        <f t="shared" si="40"/>
        <v>0.36089307189542419</v>
      </c>
      <c r="BW18" s="133">
        <v>59.185335999999893</v>
      </c>
      <c r="BX18" s="134">
        <f t="shared" si="41"/>
        <v>6.5761484444444323</v>
      </c>
      <c r="BY18" s="105">
        <v>125</v>
      </c>
      <c r="BZ18" s="106">
        <v>1</v>
      </c>
      <c r="CA18" s="104">
        <f t="shared" si="42"/>
        <v>5.2609187555555458E-2</v>
      </c>
      <c r="CB18" s="89">
        <f t="shared" si="43"/>
        <v>3</v>
      </c>
      <c r="CC18" s="98">
        <f t="shared" si="44"/>
        <v>6</v>
      </c>
      <c r="CD18" s="139">
        <v>21.310171999999959</v>
      </c>
      <c r="CE18" s="134">
        <f t="shared" si="45"/>
        <v>2.3677968888888845</v>
      </c>
      <c r="CF18" s="105">
        <v>165</v>
      </c>
      <c r="CG18" s="106">
        <v>1</v>
      </c>
      <c r="CH18" s="91">
        <f t="shared" si="46"/>
        <v>1.4350284175084148E-2</v>
      </c>
      <c r="CI18" s="139">
        <v>28.902459999999948</v>
      </c>
      <c r="CJ18" s="134">
        <f t="shared" si="47"/>
        <v>3.2113844444444388</v>
      </c>
      <c r="CK18" s="105">
        <v>150</v>
      </c>
      <c r="CL18" s="106">
        <v>1</v>
      </c>
      <c r="CM18" s="91">
        <f t="shared" si="48"/>
        <v>2.1409229629629593E-2</v>
      </c>
      <c r="CN18" s="139">
        <v>176.00303999999969</v>
      </c>
      <c r="CO18" s="134">
        <f t="shared" si="49"/>
        <v>19.555893333333298</v>
      </c>
      <c r="CP18" s="93">
        <v>320</v>
      </c>
      <c r="CQ18" s="106">
        <v>1</v>
      </c>
      <c r="CR18" s="91">
        <f t="shared" si="50"/>
        <v>6.1112166666666558E-2</v>
      </c>
      <c r="CS18" s="133">
        <v>528.00911999999903</v>
      </c>
      <c r="CT18" s="134">
        <f t="shared" si="51"/>
        <v>58.667679999999891</v>
      </c>
      <c r="CU18" s="93">
        <v>8000</v>
      </c>
      <c r="CV18" s="106">
        <v>1</v>
      </c>
      <c r="CW18" s="91">
        <f t="shared" si="52"/>
        <v>7.3334599999999861E-3</v>
      </c>
      <c r="CX18" s="133">
        <v>352.00607999999937</v>
      </c>
      <c r="CY18" s="134">
        <f t="shared" si="53"/>
        <v>39.111786666666596</v>
      </c>
      <c r="CZ18" s="93">
        <v>300</v>
      </c>
      <c r="DA18" s="106">
        <v>1</v>
      </c>
      <c r="DB18" s="91">
        <f t="shared" si="54"/>
        <v>0.13037262222222198</v>
      </c>
      <c r="DC18" s="99">
        <f t="shared" si="55"/>
        <v>43.13799999999992</v>
      </c>
      <c r="DD18" s="134">
        <f t="shared" si="56"/>
        <v>4.7931111111111022</v>
      </c>
      <c r="DE18" s="100">
        <v>50</v>
      </c>
      <c r="DF18" s="106">
        <v>1</v>
      </c>
      <c r="DG18" s="91">
        <f t="shared" si="57"/>
        <v>9.5862222222222043E-2</v>
      </c>
      <c r="DH18" s="101">
        <f t="shared" si="58"/>
        <v>0.5</v>
      </c>
      <c r="DI18" s="122">
        <f t="shared" si="61"/>
        <v>3</v>
      </c>
      <c r="DJ18" s="122">
        <f t="shared" si="62"/>
        <v>6</v>
      </c>
      <c r="DK18" s="122">
        <f t="shared" si="59"/>
        <v>0.5</v>
      </c>
      <c r="DL18" s="122">
        <f t="shared" si="12"/>
        <v>10</v>
      </c>
      <c r="DM18" s="47">
        <f t="shared" si="9"/>
        <v>9</v>
      </c>
      <c r="DN18" s="122">
        <f t="shared" si="60"/>
        <v>90</v>
      </c>
      <c r="DO18" s="157">
        <f t="shared" si="63"/>
        <v>91</v>
      </c>
      <c r="DP18" s="157"/>
      <c r="DQ18" s="86">
        <f t="shared" si="11"/>
        <v>4.7395833333333339</v>
      </c>
      <c r="DR18" s="42"/>
      <c r="DS18" s="42"/>
      <c r="DT18" s="42"/>
      <c r="DU18" s="42"/>
      <c r="DV18" s="42"/>
    </row>
    <row r="19" spans="2:126" s="3" customFormat="1" ht="17.25" customHeight="1">
      <c r="B19" s="152">
        <v>8</v>
      </c>
      <c r="C19" s="145" t="s">
        <v>78</v>
      </c>
      <c r="D19" s="147" t="s">
        <v>79</v>
      </c>
      <c r="E19" s="147"/>
      <c r="F19" s="108"/>
      <c r="G19" s="108" t="s">
        <v>18</v>
      </c>
      <c r="H19" s="107">
        <v>160</v>
      </c>
      <c r="I19" s="138">
        <v>1358.4670000000001</v>
      </c>
      <c r="J19" s="138">
        <v>1391.136</v>
      </c>
      <c r="K19" s="87">
        <f t="shared" si="5"/>
        <v>32.668999999999869</v>
      </c>
      <c r="L19" s="87" t="s">
        <v>50</v>
      </c>
      <c r="M19" s="102">
        <v>8</v>
      </c>
      <c r="N19" s="115">
        <v>7</v>
      </c>
      <c r="O19" s="87">
        <f t="shared" si="6"/>
        <v>4.6669999999999812</v>
      </c>
      <c r="P19" s="90">
        <v>1</v>
      </c>
      <c r="Q19" s="139">
        <v>49.330189999999803</v>
      </c>
      <c r="R19" s="134">
        <f t="shared" si="18"/>
        <v>7.047169999999972</v>
      </c>
      <c r="S19" s="88">
        <v>53.9</v>
      </c>
      <c r="T19" s="106">
        <v>1</v>
      </c>
      <c r="U19" s="90">
        <f t="shared" si="19"/>
        <v>0.13074526901669706</v>
      </c>
      <c r="V19" s="133">
        <v>180.33287999999928</v>
      </c>
      <c r="W19" s="134">
        <f t="shared" si="20"/>
        <v>25.761839999999896</v>
      </c>
      <c r="X19" s="127">
        <v>190</v>
      </c>
      <c r="Y19" s="106">
        <v>1</v>
      </c>
      <c r="Z19" s="90">
        <f t="shared" si="21"/>
        <v>0.13558863157894682</v>
      </c>
      <c r="AA19" s="141">
        <v>43.77645999999983</v>
      </c>
      <c r="AB19" s="134">
        <f t="shared" si="22"/>
        <v>6.2537799999999759</v>
      </c>
      <c r="AC19" s="105">
        <v>42</v>
      </c>
      <c r="AD19" s="106">
        <v>1</v>
      </c>
      <c r="AE19" s="90">
        <f t="shared" si="23"/>
        <v>0.44889952380952325</v>
      </c>
      <c r="AF19" s="133">
        <v>26.135199999999898</v>
      </c>
      <c r="AG19" s="134">
        <f t="shared" si="24"/>
        <v>3.7335999999999854</v>
      </c>
      <c r="AH19" s="105">
        <v>40</v>
      </c>
      <c r="AI19" s="106">
        <v>1</v>
      </c>
      <c r="AJ19" s="90">
        <f t="shared" si="25"/>
        <v>9.3339999999999632E-2</v>
      </c>
      <c r="AK19" s="141">
        <v>11.760839999999954</v>
      </c>
      <c r="AL19" s="134">
        <f t="shared" si="26"/>
        <v>1.6801199999999934</v>
      </c>
      <c r="AM19" s="105">
        <v>130</v>
      </c>
      <c r="AN19" s="106">
        <v>1</v>
      </c>
      <c r="AO19" s="104">
        <f t="shared" si="27"/>
        <v>1.2923999999999949E-2</v>
      </c>
      <c r="AP19" s="89">
        <f t="shared" si="28"/>
        <v>1</v>
      </c>
      <c r="AQ19" s="139">
        <v>37.242659999999844</v>
      </c>
      <c r="AR19" s="134">
        <f t="shared" si="29"/>
        <v>5.3203799999999779</v>
      </c>
      <c r="AS19" s="105">
        <v>225</v>
      </c>
      <c r="AT19" s="106">
        <v>1</v>
      </c>
      <c r="AU19" s="91">
        <f t="shared" si="30"/>
        <v>2.3646133333333236E-2</v>
      </c>
      <c r="AV19" s="92">
        <f t="shared" si="31"/>
        <v>3</v>
      </c>
      <c r="AW19" s="133">
        <v>13.067599999999949</v>
      </c>
      <c r="AX19" s="134">
        <f t="shared" si="32"/>
        <v>1.8667999999999927</v>
      </c>
      <c r="AY19" s="93">
        <v>40</v>
      </c>
      <c r="AZ19" s="106">
        <v>1</v>
      </c>
      <c r="BA19" s="91">
        <f t="shared" si="33"/>
        <v>4.6669999999999816E-2</v>
      </c>
      <c r="BB19" s="133">
        <v>14.374359999999944</v>
      </c>
      <c r="BC19" s="134">
        <f t="shared" si="34"/>
        <v>2.053479999999992</v>
      </c>
      <c r="BD19" s="105">
        <v>130</v>
      </c>
      <c r="BE19" s="106">
        <v>1</v>
      </c>
      <c r="BF19" s="104">
        <f t="shared" si="35"/>
        <v>1.5795999999999939E-2</v>
      </c>
      <c r="BG19" s="89">
        <f t="shared" si="36"/>
        <v>2</v>
      </c>
      <c r="BH19" s="59"/>
      <c r="BI19" s="59"/>
      <c r="BJ19" s="94"/>
      <c r="BK19" s="95"/>
      <c r="BL19" s="96"/>
      <c r="BM19" s="133">
        <v>49.264851999999806</v>
      </c>
      <c r="BN19" s="134">
        <f t="shared" si="37"/>
        <v>7.037835999999972</v>
      </c>
      <c r="BO19" s="93">
        <v>35</v>
      </c>
      <c r="BP19" s="106">
        <v>1</v>
      </c>
      <c r="BQ19" s="104">
        <f t="shared" si="38"/>
        <v>0.20108102857142776</v>
      </c>
      <c r="BR19" s="133">
        <v>8.3632639999999672</v>
      </c>
      <c r="BS19" s="134">
        <f t="shared" si="39"/>
        <v>1.1947519999999954</v>
      </c>
      <c r="BT19" s="97">
        <v>3.4</v>
      </c>
      <c r="BU19" s="106">
        <v>1</v>
      </c>
      <c r="BV19" s="91">
        <f t="shared" si="40"/>
        <v>0.3513976470588222</v>
      </c>
      <c r="BW19" s="133">
        <v>44.821867999999824</v>
      </c>
      <c r="BX19" s="134">
        <f t="shared" si="41"/>
        <v>6.4031239999999752</v>
      </c>
      <c r="BY19" s="105">
        <v>125</v>
      </c>
      <c r="BZ19" s="106">
        <v>1</v>
      </c>
      <c r="CA19" s="104">
        <f t="shared" si="42"/>
        <v>5.1224991999999803E-2</v>
      </c>
      <c r="CB19" s="89">
        <f t="shared" si="43"/>
        <v>3</v>
      </c>
      <c r="CC19" s="98">
        <f t="shared" si="44"/>
        <v>6</v>
      </c>
      <c r="CD19" s="139">
        <v>16.138485999999936</v>
      </c>
      <c r="CE19" s="134">
        <f t="shared" si="45"/>
        <v>2.3054979999999907</v>
      </c>
      <c r="CF19" s="105">
        <v>165</v>
      </c>
      <c r="CG19" s="106">
        <v>1</v>
      </c>
      <c r="CH19" s="91">
        <f t="shared" si="46"/>
        <v>1.3972715151515096E-2</v>
      </c>
      <c r="CI19" s="139">
        <v>21.888229999999915</v>
      </c>
      <c r="CJ19" s="134">
        <f t="shared" si="47"/>
        <v>3.126889999999988</v>
      </c>
      <c r="CK19" s="105">
        <v>150</v>
      </c>
      <c r="CL19" s="106">
        <v>1</v>
      </c>
      <c r="CM19" s="91">
        <f t="shared" si="48"/>
        <v>2.0845933333333254E-2</v>
      </c>
      <c r="CN19" s="139">
        <v>133.28951999999947</v>
      </c>
      <c r="CO19" s="134">
        <f t="shared" si="49"/>
        <v>19.041359999999923</v>
      </c>
      <c r="CP19" s="93">
        <v>320</v>
      </c>
      <c r="CQ19" s="106">
        <v>1</v>
      </c>
      <c r="CR19" s="91">
        <f t="shared" si="50"/>
        <v>5.9504249999999759E-2</v>
      </c>
      <c r="CS19" s="133">
        <v>399.86855999999841</v>
      </c>
      <c r="CT19" s="134">
        <f t="shared" si="51"/>
        <v>57.124079999999772</v>
      </c>
      <c r="CU19" s="93">
        <v>8000</v>
      </c>
      <c r="CV19" s="106">
        <v>1</v>
      </c>
      <c r="CW19" s="91">
        <f t="shared" si="52"/>
        <v>7.1405099999999715E-3</v>
      </c>
      <c r="CX19" s="133">
        <v>266.57903999999894</v>
      </c>
      <c r="CY19" s="134">
        <f t="shared" si="53"/>
        <v>38.082719999999846</v>
      </c>
      <c r="CZ19" s="93">
        <v>300</v>
      </c>
      <c r="DA19" s="106">
        <v>1</v>
      </c>
      <c r="DB19" s="91">
        <f t="shared" si="54"/>
        <v>0.12694239999999948</v>
      </c>
      <c r="DC19" s="99">
        <f t="shared" si="55"/>
        <v>32.668999999999869</v>
      </c>
      <c r="DD19" s="134">
        <f t="shared" si="56"/>
        <v>4.6669999999999812</v>
      </c>
      <c r="DE19" s="100">
        <v>50</v>
      </c>
      <c r="DF19" s="106">
        <v>1</v>
      </c>
      <c r="DG19" s="91">
        <f t="shared" si="57"/>
        <v>9.3339999999999618E-2</v>
      </c>
      <c r="DH19" s="101">
        <f t="shared" si="58"/>
        <v>0.5</v>
      </c>
      <c r="DI19" s="122">
        <f t="shared" si="61"/>
        <v>3</v>
      </c>
      <c r="DJ19" s="122">
        <f t="shared" si="62"/>
        <v>6</v>
      </c>
      <c r="DK19" s="122">
        <f t="shared" si="59"/>
        <v>0.5</v>
      </c>
      <c r="DL19" s="122">
        <f t="shared" si="12"/>
        <v>10</v>
      </c>
      <c r="DM19" s="47">
        <f t="shared" si="9"/>
        <v>7</v>
      </c>
      <c r="DN19" s="122">
        <f t="shared" si="60"/>
        <v>70</v>
      </c>
      <c r="DO19" s="157">
        <f t="shared" si="63"/>
        <v>71</v>
      </c>
      <c r="DP19" s="157"/>
      <c r="DQ19" s="86">
        <f t="shared" si="11"/>
        <v>3.697916666666667</v>
      </c>
      <c r="DR19" s="42"/>
      <c r="DS19" s="42"/>
      <c r="DT19" s="42"/>
      <c r="DU19" s="42"/>
      <c r="DV19" s="42"/>
    </row>
    <row r="20" spans="2:126" s="3" customFormat="1" ht="17.25" customHeight="1">
      <c r="B20" s="152">
        <v>9</v>
      </c>
      <c r="C20" s="145" t="s">
        <v>80</v>
      </c>
      <c r="D20" s="65" t="s">
        <v>81</v>
      </c>
      <c r="E20" s="65"/>
      <c r="F20" s="108"/>
      <c r="G20" s="108" t="s">
        <v>18</v>
      </c>
      <c r="H20" s="107">
        <v>160</v>
      </c>
      <c r="I20" s="138">
        <v>1425.5519999999999</v>
      </c>
      <c r="J20" s="138">
        <v>1459.942</v>
      </c>
      <c r="K20" s="87">
        <f t="shared" si="5"/>
        <v>34.3900000000001</v>
      </c>
      <c r="L20" s="87" t="s">
        <v>50</v>
      </c>
      <c r="M20" s="102">
        <v>9</v>
      </c>
      <c r="N20" s="113">
        <v>9</v>
      </c>
      <c r="O20" s="87">
        <f t="shared" si="6"/>
        <v>3.8211111111111222</v>
      </c>
      <c r="P20" s="90">
        <v>1</v>
      </c>
      <c r="Q20" s="103">
        <v>51.928900000000148</v>
      </c>
      <c r="R20" s="134">
        <f t="shared" si="18"/>
        <v>5.7698777777777943</v>
      </c>
      <c r="S20" s="88">
        <v>53.9</v>
      </c>
      <c r="T20" s="106">
        <v>1</v>
      </c>
      <c r="U20" s="90">
        <f t="shared" si="19"/>
        <v>0.10704782519068265</v>
      </c>
      <c r="V20" s="103">
        <v>189.83280000000056</v>
      </c>
      <c r="W20" s="134">
        <f t="shared" si="20"/>
        <v>21.092533333333396</v>
      </c>
      <c r="X20" s="127">
        <v>190</v>
      </c>
      <c r="Y20" s="106">
        <v>1</v>
      </c>
      <c r="Z20" s="90">
        <f t="shared" si="21"/>
        <v>0.11101333333333366</v>
      </c>
      <c r="AA20" s="103">
        <v>46.082600000000141</v>
      </c>
      <c r="AB20" s="134">
        <f t="shared" si="22"/>
        <v>5.1202888888889042</v>
      </c>
      <c r="AC20" s="105">
        <v>42</v>
      </c>
      <c r="AD20" s="106">
        <v>1</v>
      </c>
      <c r="AE20" s="90">
        <f t="shared" si="23"/>
        <v>0.42191164021164057</v>
      </c>
      <c r="AF20" s="103">
        <v>27.512000000000082</v>
      </c>
      <c r="AG20" s="134">
        <f t="shared" si="24"/>
        <v>3.0568888888888979</v>
      </c>
      <c r="AH20" s="105">
        <v>40</v>
      </c>
      <c r="AI20" s="106">
        <v>1</v>
      </c>
      <c r="AJ20" s="90">
        <f t="shared" si="25"/>
        <v>7.6422222222222447E-2</v>
      </c>
      <c r="AK20" s="103">
        <v>12.380400000000037</v>
      </c>
      <c r="AL20" s="134">
        <f t="shared" si="26"/>
        <v>1.3756000000000042</v>
      </c>
      <c r="AM20" s="105">
        <v>130</v>
      </c>
      <c r="AN20" s="106">
        <v>1</v>
      </c>
      <c r="AO20" s="104">
        <f t="shared" si="27"/>
        <v>1.0581538461538493E-2</v>
      </c>
      <c r="AP20" s="89">
        <f t="shared" si="28"/>
        <v>1</v>
      </c>
      <c r="AQ20" s="103">
        <v>39.204600000000113</v>
      </c>
      <c r="AR20" s="134">
        <f t="shared" si="29"/>
        <v>4.3560666666666794</v>
      </c>
      <c r="AS20" s="105">
        <v>225</v>
      </c>
      <c r="AT20" s="106">
        <v>1</v>
      </c>
      <c r="AU20" s="91">
        <f t="shared" si="30"/>
        <v>1.9360296296296355E-2</v>
      </c>
      <c r="AV20" s="92">
        <f t="shared" si="31"/>
        <v>3</v>
      </c>
      <c r="AW20" s="103">
        <v>13.756000000000041</v>
      </c>
      <c r="AX20" s="134">
        <f t="shared" si="32"/>
        <v>1.5284444444444489</v>
      </c>
      <c r="AY20" s="93">
        <v>40</v>
      </c>
      <c r="AZ20" s="106">
        <v>1</v>
      </c>
      <c r="BA20" s="91">
        <f t="shared" si="33"/>
        <v>3.8211111111111223E-2</v>
      </c>
      <c r="BB20" s="103">
        <v>15.131600000000045</v>
      </c>
      <c r="BC20" s="134">
        <f t="shared" si="34"/>
        <v>1.6812888888888939</v>
      </c>
      <c r="BD20" s="105">
        <v>130</v>
      </c>
      <c r="BE20" s="106">
        <v>1</v>
      </c>
      <c r="BF20" s="104">
        <f t="shared" si="35"/>
        <v>1.2932991452991491E-2</v>
      </c>
      <c r="BG20" s="89">
        <f t="shared" si="36"/>
        <v>2</v>
      </c>
      <c r="BH20" s="59"/>
      <c r="BI20" s="59"/>
      <c r="BJ20" s="94"/>
      <c r="BK20" s="95"/>
      <c r="BL20" s="96"/>
      <c r="BM20" s="103">
        <v>51.860120000000151</v>
      </c>
      <c r="BN20" s="134">
        <f t="shared" si="37"/>
        <v>5.7622355555555727</v>
      </c>
      <c r="BO20" s="93">
        <v>35</v>
      </c>
      <c r="BP20" s="106">
        <v>1</v>
      </c>
      <c r="BQ20" s="104">
        <f t="shared" si="38"/>
        <v>0.16463530158730208</v>
      </c>
      <c r="BR20" s="103">
        <v>8.8038400000000259</v>
      </c>
      <c r="BS20" s="134">
        <f t="shared" si="39"/>
        <v>0.97820444444444732</v>
      </c>
      <c r="BT20" s="97">
        <v>3.4</v>
      </c>
      <c r="BU20" s="106">
        <v>1</v>
      </c>
      <c r="BV20" s="91">
        <f t="shared" si="40"/>
        <v>0.28770718954248453</v>
      </c>
      <c r="BW20" s="103">
        <v>47.183080000000146</v>
      </c>
      <c r="BX20" s="134">
        <f t="shared" si="41"/>
        <v>5.2425644444444606</v>
      </c>
      <c r="BY20" s="105">
        <v>125</v>
      </c>
      <c r="BZ20" s="106">
        <v>1</v>
      </c>
      <c r="CA20" s="104">
        <f t="shared" si="42"/>
        <v>4.1940515555555682E-2</v>
      </c>
      <c r="CB20" s="89">
        <f t="shared" si="43"/>
        <v>3</v>
      </c>
      <c r="CC20" s="98">
        <f t="shared" si="44"/>
        <v>6</v>
      </c>
      <c r="CD20" s="103">
        <v>16.988660000000049</v>
      </c>
      <c r="CE20" s="134">
        <f t="shared" si="45"/>
        <v>1.8876288888888944</v>
      </c>
      <c r="CF20" s="105">
        <v>165</v>
      </c>
      <c r="CG20" s="106">
        <v>1</v>
      </c>
      <c r="CH20" s="91">
        <f t="shared" si="46"/>
        <v>1.1440175084175117E-2</v>
      </c>
      <c r="CI20" s="103">
        <v>23.041300000000071</v>
      </c>
      <c r="CJ20" s="134">
        <f t="shared" si="47"/>
        <v>2.5601444444444521</v>
      </c>
      <c r="CK20" s="105">
        <v>150</v>
      </c>
      <c r="CL20" s="106">
        <v>1</v>
      </c>
      <c r="CM20" s="91">
        <f t="shared" si="48"/>
        <v>1.7067629629629679E-2</v>
      </c>
      <c r="CN20" s="103">
        <v>140.31120000000041</v>
      </c>
      <c r="CO20" s="134">
        <f t="shared" si="49"/>
        <v>15.590133333333378</v>
      </c>
      <c r="CP20" s="93">
        <v>320</v>
      </c>
      <c r="CQ20" s="106">
        <v>1</v>
      </c>
      <c r="CR20" s="91">
        <f t="shared" si="50"/>
        <v>4.8719166666666806E-2</v>
      </c>
      <c r="CS20" s="103">
        <v>420.93360000000121</v>
      </c>
      <c r="CT20" s="134">
        <f t="shared" si="51"/>
        <v>46.770400000000137</v>
      </c>
      <c r="CU20" s="93">
        <v>8000</v>
      </c>
      <c r="CV20" s="106">
        <v>1</v>
      </c>
      <c r="CW20" s="91">
        <f t="shared" si="52"/>
        <v>5.8463000000000169E-3</v>
      </c>
      <c r="CX20" s="103">
        <v>280.62240000000082</v>
      </c>
      <c r="CY20" s="134">
        <f t="shared" si="53"/>
        <v>31.180266666666757</v>
      </c>
      <c r="CZ20" s="93">
        <v>300</v>
      </c>
      <c r="DA20" s="106">
        <v>1</v>
      </c>
      <c r="DB20" s="91">
        <f t="shared" si="54"/>
        <v>0.10393422222222252</v>
      </c>
      <c r="DC20" s="99">
        <f t="shared" si="55"/>
        <v>34.3900000000001</v>
      </c>
      <c r="DD20" s="134">
        <f t="shared" si="56"/>
        <v>3.8211111111111222</v>
      </c>
      <c r="DE20" s="100">
        <v>50</v>
      </c>
      <c r="DF20" s="106">
        <v>1</v>
      </c>
      <c r="DG20" s="91">
        <f t="shared" si="57"/>
        <v>7.6422222222222447E-2</v>
      </c>
      <c r="DH20" s="101">
        <f t="shared" si="58"/>
        <v>0.5</v>
      </c>
      <c r="DI20" s="122">
        <f t="shared" si="61"/>
        <v>3</v>
      </c>
      <c r="DJ20" s="122">
        <f t="shared" si="62"/>
        <v>6</v>
      </c>
      <c r="DK20" s="122">
        <f t="shared" si="59"/>
        <v>0.5</v>
      </c>
      <c r="DL20" s="122">
        <f t="shared" si="12"/>
        <v>10</v>
      </c>
      <c r="DM20" s="47">
        <f t="shared" si="9"/>
        <v>9</v>
      </c>
      <c r="DN20" s="122">
        <f t="shared" si="60"/>
        <v>90</v>
      </c>
      <c r="DO20" s="157">
        <f t="shared" si="63"/>
        <v>91</v>
      </c>
      <c r="DP20" s="157"/>
      <c r="DQ20" s="86">
        <f t="shared" si="11"/>
        <v>4.7395833333333339</v>
      </c>
      <c r="DR20" s="42"/>
      <c r="DS20" s="42"/>
      <c r="DT20" s="42"/>
      <c r="DU20" s="42"/>
      <c r="DV20" s="42"/>
    </row>
    <row r="21" spans="2:126" s="3" customFormat="1" ht="17.25" customHeight="1">
      <c r="B21" s="150">
        <v>10</v>
      </c>
      <c r="C21" s="144" t="s">
        <v>82</v>
      </c>
      <c r="D21" s="147" t="s">
        <v>83</v>
      </c>
      <c r="E21" s="147"/>
      <c r="F21" s="108"/>
      <c r="G21" s="108" t="s">
        <v>18</v>
      </c>
      <c r="H21" s="107">
        <v>160</v>
      </c>
      <c r="I21" s="138">
        <v>1619.7460000000001</v>
      </c>
      <c r="J21" s="138">
        <v>1646.635</v>
      </c>
      <c r="K21" s="87">
        <f t="shared" si="5"/>
        <v>26.888999999999896</v>
      </c>
      <c r="L21" s="87" t="s">
        <v>50</v>
      </c>
      <c r="M21" s="102">
        <v>8</v>
      </c>
      <c r="N21" s="115">
        <v>7</v>
      </c>
      <c r="O21" s="87">
        <f t="shared" si="6"/>
        <v>3.8412857142856995</v>
      </c>
      <c r="P21" s="90">
        <v>1</v>
      </c>
      <c r="Q21" s="139">
        <v>40.602389999999843</v>
      </c>
      <c r="R21" s="134">
        <f t="shared" si="18"/>
        <v>5.8003414285714063</v>
      </c>
      <c r="S21" s="88">
        <v>53.9</v>
      </c>
      <c r="T21" s="106">
        <v>1</v>
      </c>
      <c r="U21" s="90">
        <f t="shared" si="19"/>
        <v>0.10761301351709474</v>
      </c>
      <c r="V21" s="133">
        <v>148.42727999999943</v>
      </c>
      <c r="W21" s="134">
        <f t="shared" si="20"/>
        <v>21.203897142857063</v>
      </c>
      <c r="X21" s="127">
        <v>190</v>
      </c>
      <c r="Y21" s="106">
        <v>1</v>
      </c>
      <c r="Z21" s="90">
        <f t="shared" si="21"/>
        <v>0.11159945864661612</v>
      </c>
      <c r="AA21" s="141">
        <v>36.031259999999861</v>
      </c>
      <c r="AB21" s="134">
        <f t="shared" si="22"/>
        <v>5.1473228571428375</v>
      </c>
      <c r="AC21" s="105">
        <v>42</v>
      </c>
      <c r="AD21" s="106">
        <v>1</v>
      </c>
      <c r="AE21" s="90">
        <f t="shared" si="23"/>
        <v>0.42255530612244852</v>
      </c>
      <c r="AF21" s="133">
        <v>21.511199999999917</v>
      </c>
      <c r="AG21" s="134">
        <f t="shared" si="24"/>
        <v>3.0730285714285595</v>
      </c>
      <c r="AH21" s="105">
        <v>40</v>
      </c>
      <c r="AI21" s="106">
        <v>1</v>
      </c>
      <c r="AJ21" s="90">
        <f t="shared" si="25"/>
        <v>7.6825714285713984E-2</v>
      </c>
      <c r="AK21" s="141">
        <v>9.6800399999999645</v>
      </c>
      <c r="AL21" s="134">
        <f t="shared" si="26"/>
        <v>1.3828628571428521</v>
      </c>
      <c r="AM21" s="105">
        <v>130</v>
      </c>
      <c r="AN21" s="106">
        <v>1</v>
      </c>
      <c r="AO21" s="104">
        <f t="shared" si="27"/>
        <v>1.0637406593406555E-2</v>
      </c>
      <c r="AP21" s="89">
        <f t="shared" si="28"/>
        <v>1</v>
      </c>
      <c r="AQ21" s="139">
        <v>30.653459999999878</v>
      </c>
      <c r="AR21" s="134">
        <f t="shared" si="29"/>
        <v>4.379065714285697</v>
      </c>
      <c r="AS21" s="105">
        <v>225</v>
      </c>
      <c r="AT21" s="106">
        <v>1</v>
      </c>
      <c r="AU21" s="91">
        <f t="shared" si="30"/>
        <v>1.9462514285714209E-2</v>
      </c>
      <c r="AV21" s="92">
        <f t="shared" si="31"/>
        <v>3</v>
      </c>
      <c r="AW21" s="133">
        <v>10.755599999999959</v>
      </c>
      <c r="AX21" s="134">
        <f t="shared" si="32"/>
        <v>1.5365142857142797</v>
      </c>
      <c r="AY21" s="93">
        <v>40</v>
      </c>
      <c r="AZ21" s="106">
        <v>1</v>
      </c>
      <c r="BA21" s="91">
        <f t="shared" si="33"/>
        <v>3.8412857142856992E-2</v>
      </c>
      <c r="BB21" s="133">
        <v>11.831159999999956</v>
      </c>
      <c r="BC21" s="134">
        <f t="shared" si="34"/>
        <v>1.6901657142857081</v>
      </c>
      <c r="BD21" s="105">
        <v>130</v>
      </c>
      <c r="BE21" s="106">
        <v>1</v>
      </c>
      <c r="BF21" s="104">
        <f t="shared" si="35"/>
        <v>1.3001274725274677E-2</v>
      </c>
      <c r="BG21" s="89">
        <f t="shared" si="36"/>
        <v>2</v>
      </c>
      <c r="BH21" s="59"/>
      <c r="BI21" s="59"/>
      <c r="BJ21" s="94"/>
      <c r="BK21" s="95"/>
      <c r="BL21" s="96"/>
      <c r="BM21" s="133">
        <v>40.548611999999842</v>
      </c>
      <c r="BN21" s="134">
        <f t="shared" si="37"/>
        <v>5.7926588571428343</v>
      </c>
      <c r="BO21" s="93">
        <v>35</v>
      </c>
      <c r="BP21" s="106">
        <v>1</v>
      </c>
      <c r="BQ21" s="104">
        <f t="shared" si="38"/>
        <v>0.16550453877550955</v>
      </c>
      <c r="BR21" s="133">
        <v>6.8835839999999733</v>
      </c>
      <c r="BS21" s="134">
        <f t="shared" si="39"/>
        <v>0.98336914285713906</v>
      </c>
      <c r="BT21" s="97">
        <v>3.4</v>
      </c>
      <c r="BU21" s="106">
        <v>1</v>
      </c>
      <c r="BV21" s="91">
        <f t="shared" si="40"/>
        <v>0.28922621848739383</v>
      </c>
      <c r="BW21" s="133">
        <v>36.891707999999859</v>
      </c>
      <c r="BX21" s="134">
        <f t="shared" si="41"/>
        <v>5.2702439999999795</v>
      </c>
      <c r="BY21" s="105">
        <v>125</v>
      </c>
      <c r="BZ21" s="106">
        <v>1</v>
      </c>
      <c r="CA21" s="104">
        <f t="shared" si="42"/>
        <v>4.2161951999999836E-2</v>
      </c>
      <c r="CB21" s="89">
        <f t="shared" si="43"/>
        <v>3</v>
      </c>
      <c r="CC21" s="98">
        <f t="shared" si="44"/>
        <v>6</v>
      </c>
      <c r="CD21" s="139">
        <v>13.283165999999948</v>
      </c>
      <c r="CE21" s="134">
        <f t="shared" si="45"/>
        <v>1.8975951428571354</v>
      </c>
      <c r="CF21" s="105">
        <v>165</v>
      </c>
      <c r="CG21" s="106">
        <v>1</v>
      </c>
      <c r="CH21" s="91">
        <f t="shared" si="46"/>
        <v>1.1500576623376578E-2</v>
      </c>
      <c r="CI21" s="139">
        <v>18.015629999999931</v>
      </c>
      <c r="CJ21" s="134">
        <f t="shared" si="47"/>
        <v>2.5736614285714188</v>
      </c>
      <c r="CK21" s="105">
        <v>150</v>
      </c>
      <c r="CL21" s="106">
        <v>1</v>
      </c>
      <c r="CM21" s="91">
        <f t="shared" si="48"/>
        <v>1.7157742857142791E-2</v>
      </c>
      <c r="CN21" s="139">
        <v>109.70711999999958</v>
      </c>
      <c r="CO21" s="134">
        <f t="shared" si="49"/>
        <v>15.672445714285654</v>
      </c>
      <c r="CP21" s="93">
        <v>320</v>
      </c>
      <c r="CQ21" s="106">
        <v>1</v>
      </c>
      <c r="CR21" s="91">
        <f t="shared" si="50"/>
        <v>4.897639285714267E-2</v>
      </c>
      <c r="CS21" s="133">
        <v>329.12135999999873</v>
      </c>
      <c r="CT21" s="134">
        <f t="shared" si="51"/>
        <v>47.01733714285696</v>
      </c>
      <c r="CU21" s="93">
        <v>8000</v>
      </c>
      <c r="CV21" s="106">
        <v>1</v>
      </c>
      <c r="CW21" s="91">
        <f t="shared" si="52"/>
        <v>5.8771671428571202E-3</v>
      </c>
      <c r="CX21" s="133">
        <v>219.41423999999915</v>
      </c>
      <c r="CY21" s="134">
        <f t="shared" si="53"/>
        <v>31.344891428571309</v>
      </c>
      <c r="CZ21" s="93">
        <v>300</v>
      </c>
      <c r="DA21" s="106">
        <v>1</v>
      </c>
      <c r="DB21" s="91">
        <f t="shared" si="54"/>
        <v>0.10448297142857103</v>
      </c>
      <c r="DC21" s="99">
        <f t="shared" si="55"/>
        <v>26.888999999999896</v>
      </c>
      <c r="DD21" s="134">
        <f t="shared" si="56"/>
        <v>3.8412857142856995</v>
      </c>
      <c r="DE21" s="100">
        <v>50</v>
      </c>
      <c r="DF21" s="106">
        <v>1</v>
      </c>
      <c r="DG21" s="91">
        <f t="shared" si="57"/>
        <v>7.6825714285713997E-2</v>
      </c>
      <c r="DH21" s="101">
        <f t="shared" si="58"/>
        <v>0.5</v>
      </c>
      <c r="DI21" s="122">
        <f t="shared" si="61"/>
        <v>3</v>
      </c>
      <c r="DJ21" s="122">
        <f t="shared" si="62"/>
        <v>6</v>
      </c>
      <c r="DK21" s="122">
        <f t="shared" si="59"/>
        <v>0.5</v>
      </c>
      <c r="DL21" s="122">
        <f t="shared" si="12"/>
        <v>10</v>
      </c>
      <c r="DM21" s="47">
        <f t="shared" si="9"/>
        <v>7</v>
      </c>
      <c r="DN21" s="122">
        <f t="shared" si="60"/>
        <v>70</v>
      </c>
      <c r="DO21" s="157">
        <f t="shared" si="63"/>
        <v>71</v>
      </c>
      <c r="DP21" s="157"/>
      <c r="DQ21" s="86">
        <f t="shared" si="11"/>
        <v>3.697916666666667</v>
      </c>
      <c r="DS21" s="42"/>
      <c r="DT21" s="85">
        <f>SUM(DO12:DP21)/19.2</f>
        <v>35.677083333333336</v>
      </c>
      <c r="DU21" s="42"/>
      <c r="DV21" s="42"/>
    </row>
    <row r="22" spans="2:126" s="3" customFormat="1" ht="17.25" customHeight="1">
      <c r="B22" s="152">
        <v>11</v>
      </c>
      <c r="C22" s="145" t="s">
        <v>85</v>
      </c>
      <c r="D22" s="147" t="s">
        <v>86</v>
      </c>
      <c r="E22" s="147"/>
      <c r="F22" s="108"/>
      <c r="G22" s="108" t="s">
        <v>18</v>
      </c>
      <c r="H22" s="107">
        <v>160</v>
      </c>
      <c r="I22" s="138">
        <v>1727.463</v>
      </c>
      <c r="J22" s="138">
        <v>1757.2639999999999</v>
      </c>
      <c r="K22" s="87">
        <f t="shared" si="5"/>
        <v>29.800999999999931</v>
      </c>
      <c r="L22" s="87" t="s">
        <v>50</v>
      </c>
      <c r="M22" s="102">
        <v>6</v>
      </c>
      <c r="N22" s="115">
        <v>5</v>
      </c>
      <c r="O22" s="87">
        <f t="shared" si="6"/>
        <v>5.9601999999999862</v>
      </c>
      <c r="P22" s="90">
        <v>1</v>
      </c>
      <c r="Q22" s="139">
        <v>44.999509999999894</v>
      </c>
      <c r="R22" s="134">
        <f t="shared" si="18"/>
        <v>8.9999019999999792</v>
      </c>
      <c r="S22" s="88">
        <v>53.9</v>
      </c>
      <c r="T22" s="106">
        <v>1</v>
      </c>
      <c r="U22" s="90">
        <f t="shared" si="19"/>
        <v>0.166974063079777</v>
      </c>
      <c r="V22" s="133">
        <v>164.50151999999963</v>
      </c>
      <c r="W22" s="134">
        <f t="shared" si="20"/>
        <v>32.900303999999927</v>
      </c>
      <c r="X22" s="127">
        <v>190</v>
      </c>
      <c r="Y22" s="106">
        <v>1</v>
      </c>
      <c r="Z22" s="90">
        <f t="shared" si="21"/>
        <v>0.17315949473684172</v>
      </c>
      <c r="AA22" s="141">
        <v>39.933339999999909</v>
      </c>
      <c r="AB22" s="134">
        <f t="shared" si="22"/>
        <v>7.9866679999999821</v>
      </c>
      <c r="AC22" s="105">
        <v>42</v>
      </c>
      <c r="AD22" s="106">
        <v>1</v>
      </c>
      <c r="AE22" s="90">
        <f t="shared" si="23"/>
        <v>0.49015876190476149</v>
      </c>
      <c r="AF22" s="133">
        <v>23.840799999999945</v>
      </c>
      <c r="AG22" s="134">
        <f t="shared" si="24"/>
        <v>4.7681599999999893</v>
      </c>
      <c r="AH22" s="105">
        <v>40</v>
      </c>
      <c r="AI22" s="106">
        <v>1</v>
      </c>
      <c r="AJ22" s="90">
        <f t="shared" si="25"/>
        <v>0.11920399999999973</v>
      </c>
      <c r="AK22" s="141">
        <v>10.728359999999977</v>
      </c>
      <c r="AL22" s="134">
        <f t="shared" si="26"/>
        <v>2.1456719999999954</v>
      </c>
      <c r="AM22" s="105">
        <v>130</v>
      </c>
      <c r="AN22" s="106">
        <v>1</v>
      </c>
      <c r="AO22" s="104">
        <f t="shared" si="27"/>
        <v>1.6505169230769196E-2</v>
      </c>
      <c r="AP22" s="89">
        <f t="shared" si="28"/>
        <v>1</v>
      </c>
      <c r="AQ22" s="139">
        <v>33.973139999999916</v>
      </c>
      <c r="AR22" s="134">
        <f t="shared" si="29"/>
        <v>6.7946279999999835</v>
      </c>
      <c r="AS22" s="105">
        <v>225</v>
      </c>
      <c r="AT22" s="106">
        <v>1</v>
      </c>
      <c r="AU22" s="91">
        <f t="shared" si="30"/>
        <v>3.0198346666666594E-2</v>
      </c>
      <c r="AV22" s="92">
        <f t="shared" si="31"/>
        <v>3</v>
      </c>
      <c r="AW22" s="133">
        <v>11.920399999999972</v>
      </c>
      <c r="AX22" s="134">
        <f t="shared" si="32"/>
        <v>2.3840799999999946</v>
      </c>
      <c r="AY22" s="93">
        <v>40</v>
      </c>
      <c r="AZ22" s="106">
        <v>1</v>
      </c>
      <c r="BA22" s="91">
        <f t="shared" si="33"/>
        <v>5.9601999999999863E-2</v>
      </c>
      <c r="BB22" s="133">
        <v>13.112439999999971</v>
      </c>
      <c r="BC22" s="134">
        <f t="shared" si="34"/>
        <v>2.6224879999999944</v>
      </c>
      <c r="BD22" s="105">
        <v>130</v>
      </c>
      <c r="BE22" s="106">
        <v>1</v>
      </c>
      <c r="BF22" s="104">
        <f t="shared" si="35"/>
        <v>2.0172984615384571E-2</v>
      </c>
      <c r="BG22" s="89">
        <f t="shared" si="36"/>
        <v>2</v>
      </c>
      <c r="BH22" s="59"/>
      <c r="BI22" s="59"/>
      <c r="BJ22" s="94"/>
      <c r="BK22" s="95"/>
      <c r="BL22" s="96"/>
      <c r="BM22" s="133">
        <v>44.939907999999896</v>
      </c>
      <c r="BN22" s="134">
        <f t="shared" si="37"/>
        <v>8.9879815999999799</v>
      </c>
      <c r="BO22" s="93">
        <v>35</v>
      </c>
      <c r="BP22" s="106">
        <v>1</v>
      </c>
      <c r="BQ22" s="104">
        <f t="shared" si="38"/>
        <v>0.2567994742857137</v>
      </c>
      <c r="BR22" s="133">
        <v>7.6290559999999825</v>
      </c>
      <c r="BS22" s="134">
        <f t="shared" si="39"/>
        <v>1.5258111999999966</v>
      </c>
      <c r="BT22" s="97">
        <v>3.4</v>
      </c>
      <c r="BU22" s="106">
        <v>1</v>
      </c>
      <c r="BV22" s="91">
        <f t="shared" si="40"/>
        <v>0.448767999999999</v>
      </c>
      <c r="BW22" s="133">
        <v>40.886971999999908</v>
      </c>
      <c r="BX22" s="134">
        <f t="shared" si="41"/>
        <v>8.1773943999999812</v>
      </c>
      <c r="BY22" s="105">
        <v>125</v>
      </c>
      <c r="BZ22" s="106">
        <v>1</v>
      </c>
      <c r="CA22" s="104">
        <f t="shared" si="42"/>
        <v>6.5419155199999843E-2</v>
      </c>
      <c r="CB22" s="89">
        <f t="shared" si="43"/>
        <v>3</v>
      </c>
      <c r="CC22" s="98">
        <f t="shared" si="44"/>
        <v>6</v>
      </c>
      <c r="CD22" s="139">
        <v>14.721693999999966</v>
      </c>
      <c r="CE22" s="134">
        <f t="shared" si="45"/>
        <v>2.944338799999993</v>
      </c>
      <c r="CF22" s="105">
        <v>165</v>
      </c>
      <c r="CG22" s="106">
        <v>1</v>
      </c>
      <c r="CH22" s="91">
        <f t="shared" si="46"/>
        <v>1.7844477575757533E-2</v>
      </c>
      <c r="CI22" s="139">
        <v>19.966669999999954</v>
      </c>
      <c r="CJ22" s="134">
        <f t="shared" si="47"/>
        <v>3.9933339999999911</v>
      </c>
      <c r="CK22" s="105">
        <v>150</v>
      </c>
      <c r="CL22" s="106">
        <v>1</v>
      </c>
      <c r="CM22" s="91">
        <f t="shared" si="48"/>
        <v>2.6622226666666606E-2</v>
      </c>
      <c r="CN22" s="139">
        <v>121.58807999999972</v>
      </c>
      <c r="CO22" s="134">
        <f t="shared" si="49"/>
        <v>24.317615999999944</v>
      </c>
      <c r="CP22" s="93">
        <v>320</v>
      </c>
      <c r="CQ22" s="106">
        <v>1</v>
      </c>
      <c r="CR22" s="91">
        <f t="shared" si="50"/>
        <v>7.5992549999999826E-2</v>
      </c>
      <c r="CS22" s="133">
        <v>364.76423999999918</v>
      </c>
      <c r="CT22" s="134">
        <f t="shared" si="51"/>
        <v>72.952847999999832</v>
      </c>
      <c r="CU22" s="93">
        <v>8000</v>
      </c>
      <c r="CV22" s="106">
        <v>1</v>
      </c>
      <c r="CW22" s="91">
        <f t="shared" si="52"/>
        <v>9.1191059999999793E-3</v>
      </c>
      <c r="CX22" s="133">
        <v>243.17615999999944</v>
      </c>
      <c r="CY22" s="134">
        <f t="shared" si="53"/>
        <v>48.635231999999888</v>
      </c>
      <c r="CZ22" s="93">
        <v>300</v>
      </c>
      <c r="DA22" s="106">
        <v>1</v>
      </c>
      <c r="DB22" s="91">
        <f t="shared" si="54"/>
        <v>0.16211743999999964</v>
      </c>
      <c r="DC22" s="99">
        <f t="shared" si="55"/>
        <v>29.800999999999931</v>
      </c>
      <c r="DD22" s="134">
        <f t="shared" si="56"/>
        <v>5.9601999999999862</v>
      </c>
      <c r="DE22" s="100">
        <v>50</v>
      </c>
      <c r="DF22" s="106">
        <v>1</v>
      </c>
      <c r="DG22" s="91">
        <f t="shared" si="57"/>
        <v>0.11920399999999973</v>
      </c>
      <c r="DH22" s="101">
        <f t="shared" si="58"/>
        <v>0.5</v>
      </c>
      <c r="DI22" s="122">
        <f t="shared" si="61"/>
        <v>3</v>
      </c>
      <c r="DJ22" s="122">
        <f t="shared" si="62"/>
        <v>6</v>
      </c>
      <c r="DK22" s="122">
        <f t="shared" si="59"/>
        <v>0.5</v>
      </c>
      <c r="DL22" s="122">
        <f t="shared" si="12"/>
        <v>10</v>
      </c>
      <c r="DM22" s="47">
        <f t="shared" si="9"/>
        <v>5</v>
      </c>
      <c r="DN22" s="122">
        <f t="shared" si="60"/>
        <v>50</v>
      </c>
      <c r="DO22" s="157">
        <f t="shared" si="63"/>
        <v>51</v>
      </c>
      <c r="DP22" s="157"/>
      <c r="DQ22" s="86">
        <f t="shared" si="11"/>
        <v>2.65625</v>
      </c>
      <c r="DS22" s="42"/>
      <c r="DT22" s="42"/>
      <c r="DU22" s="42"/>
      <c r="DV22" s="42"/>
    </row>
    <row r="23" spans="2:126" s="3" customFormat="1" ht="17.25" customHeight="1">
      <c r="B23" s="152">
        <v>12</v>
      </c>
      <c r="C23" s="145" t="s">
        <v>87</v>
      </c>
      <c r="D23" s="65" t="s">
        <v>88</v>
      </c>
      <c r="E23" s="65"/>
      <c r="F23" s="108"/>
      <c r="G23" s="108" t="s">
        <v>18</v>
      </c>
      <c r="H23" s="107">
        <v>160</v>
      </c>
      <c r="I23" s="138">
        <v>1949.395</v>
      </c>
      <c r="J23" s="138">
        <v>2007.5809999999999</v>
      </c>
      <c r="K23" s="87">
        <f t="shared" si="5"/>
        <v>58.185999999999922</v>
      </c>
      <c r="L23" s="87" t="s">
        <v>50</v>
      </c>
      <c r="M23" s="102">
        <v>12</v>
      </c>
      <c r="N23" s="115">
        <v>10</v>
      </c>
      <c r="O23" s="87">
        <f t="shared" si="6"/>
        <v>5.818599999999992</v>
      </c>
      <c r="P23" s="90">
        <v>1</v>
      </c>
      <c r="Q23" s="103">
        <v>128.43357999999981</v>
      </c>
      <c r="R23" s="134">
        <f t="shared" si="18"/>
        <v>12.843357999999981</v>
      </c>
      <c r="S23" s="88">
        <v>53.9</v>
      </c>
      <c r="T23" s="106">
        <v>1</v>
      </c>
      <c r="U23" s="90">
        <f t="shared" si="19"/>
        <v>0.23828122448979558</v>
      </c>
      <c r="V23" s="103">
        <v>425.43606999999935</v>
      </c>
      <c r="W23" s="134">
        <f t="shared" si="20"/>
        <v>42.543606999999938</v>
      </c>
      <c r="X23" s="127">
        <v>190</v>
      </c>
      <c r="Y23" s="106">
        <v>1</v>
      </c>
      <c r="Z23" s="90">
        <f t="shared" si="21"/>
        <v>0.22391372105263124</v>
      </c>
      <c r="AA23" s="103">
        <v>77.9692399999999</v>
      </c>
      <c r="AB23" s="134">
        <f t="shared" si="22"/>
        <v>7.79692399999999</v>
      </c>
      <c r="AC23" s="105">
        <v>42</v>
      </c>
      <c r="AD23" s="106">
        <v>1</v>
      </c>
      <c r="AE23" s="90">
        <f t="shared" si="23"/>
        <v>0.48564104761904736</v>
      </c>
      <c r="AF23" s="103">
        <v>46.548799999999943</v>
      </c>
      <c r="AG23" s="134">
        <f t="shared" si="24"/>
        <v>4.6548799999999941</v>
      </c>
      <c r="AH23" s="105">
        <v>40</v>
      </c>
      <c r="AI23" s="106">
        <v>1</v>
      </c>
      <c r="AJ23" s="90">
        <f t="shared" si="25"/>
        <v>0.11637199999999985</v>
      </c>
      <c r="AK23" s="103">
        <v>20.946959999999976</v>
      </c>
      <c r="AL23" s="134">
        <f t="shared" si="26"/>
        <v>2.0946959999999977</v>
      </c>
      <c r="AM23" s="105">
        <v>130</v>
      </c>
      <c r="AN23" s="106">
        <v>1</v>
      </c>
      <c r="AO23" s="104">
        <f t="shared" si="27"/>
        <v>1.6113046153846136E-2</v>
      </c>
      <c r="AP23" s="89">
        <f t="shared" si="28"/>
        <v>1</v>
      </c>
      <c r="AQ23" s="103">
        <v>109.15879999999981</v>
      </c>
      <c r="AR23" s="134">
        <f t="shared" si="29"/>
        <v>10.915879999999982</v>
      </c>
      <c r="AS23" s="105">
        <v>225</v>
      </c>
      <c r="AT23" s="106">
        <v>1</v>
      </c>
      <c r="AU23" s="91">
        <f t="shared" si="30"/>
        <v>4.8515022222222141E-2</v>
      </c>
      <c r="AV23" s="92">
        <f t="shared" si="31"/>
        <v>3.5</v>
      </c>
      <c r="AW23" s="103">
        <v>23.274399999999972</v>
      </c>
      <c r="AX23" s="134">
        <f t="shared" si="32"/>
        <v>2.3274399999999971</v>
      </c>
      <c r="AY23" s="93">
        <v>40</v>
      </c>
      <c r="AZ23" s="106">
        <v>1</v>
      </c>
      <c r="BA23" s="91">
        <f t="shared" si="33"/>
        <v>5.8185999999999925E-2</v>
      </c>
      <c r="BB23" s="103">
        <v>25.601839999999967</v>
      </c>
      <c r="BC23" s="134">
        <f t="shared" si="34"/>
        <v>2.5601839999999969</v>
      </c>
      <c r="BD23" s="105">
        <v>130</v>
      </c>
      <c r="BE23" s="106">
        <v>1</v>
      </c>
      <c r="BF23" s="104">
        <f t="shared" si="35"/>
        <v>1.9693723076923055E-2</v>
      </c>
      <c r="BG23" s="89">
        <f t="shared" si="36"/>
        <v>2</v>
      </c>
      <c r="BH23" s="59"/>
      <c r="BI23" s="59"/>
      <c r="BJ23" s="94"/>
      <c r="BK23" s="95"/>
      <c r="BL23" s="96"/>
      <c r="BM23" s="103">
        <v>87.744487999999876</v>
      </c>
      <c r="BN23" s="134">
        <f t="shared" si="37"/>
        <v>8.7744487999999876</v>
      </c>
      <c r="BO23" s="93">
        <v>35</v>
      </c>
      <c r="BP23" s="106">
        <v>1</v>
      </c>
      <c r="BQ23" s="104">
        <f t="shared" si="38"/>
        <v>0.25069853714285678</v>
      </c>
      <c r="BR23" s="103">
        <v>14.895615999999981</v>
      </c>
      <c r="BS23" s="134">
        <f t="shared" si="39"/>
        <v>1.489561599999998</v>
      </c>
      <c r="BT23" s="97">
        <v>3.4</v>
      </c>
      <c r="BU23" s="106">
        <v>1</v>
      </c>
      <c r="BV23" s="91">
        <f t="shared" si="40"/>
        <v>0.43810635294117589</v>
      </c>
      <c r="BW23" s="103">
        <v>79.831191999999902</v>
      </c>
      <c r="BX23" s="134">
        <f t="shared" si="41"/>
        <v>7.9831191999999902</v>
      </c>
      <c r="BY23" s="105">
        <v>125</v>
      </c>
      <c r="BZ23" s="106">
        <v>1</v>
      </c>
      <c r="CA23" s="104">
        <f t="shared" si="42"/>
        <v>6.3864953599999927E-2</v>
      </c>
      <c r="CB23" s="89">
        <f t="shared" si="43"/>
        <v>3</v>
      </c>
      <c r="CC23" s="98">
        <f t="shared" si="44"/>
        <v>6</v>
      </c>
      <c r="CD23" s="103">
        <v>53.763727999999908</v>
      </c>
      <c r="CE23" s="134">
        <f t="shared" si="45"/>
        <v>5.3763727999999906</v>
      </c>
      <c r="CF23" s="105">
        <v>165</v>
      </c>
      <c r="CG23" s="106">
        <v>1</v>
      </c>
      <c r="CH23" s="91">
        <f t="shared" si="46"/>
        <v>3.2584077575757521E-2</v>
      </c>
      <c r="CI23" s="103">
        <v>75.387365999999886</v>
      </c>
      <c r="CJ23" s="134">
        <f t="shared" si="47"/>
        <v>7.5387365999999885</v>
      </c>
      <c r="CK23" s="105">
        <v>150</v>
      </c>
      <c r="CL23" s="106">
        <v>1</v>
      </c>
      <c r="CM23" s="91">
        <f t="shared" si="48"/>
        <v>5.0258243999999924E-2</v>
      </c>
      <c r="CN23" s="103">
        <v>451.53267999999923</v>
      </c>
      <c r="CO23" s="134">
        <f t="shared" si="49"/>
        <v>45.153267999999926</v>
      </c>
      <c r="CP23" s="93">
        <v>320</v>
      </c>
      <c r="CQ23" s="106">
        <v>1</v>
      </c>
      <c r="CR23" s="91">
        <f t="shared" si="50"/>
        <v>0.14110396249999976</v>
      </c>
      <c r="CS23" s="103">
        <v>1354.5980399999976</v>
      </c>
      <c r="CT23" s="134">
        <f t="shared" si="51"/>
        <v>135.45980399999976</v>
      </c>
      <c r="CU23" s="93">
        <v>8000</v>
      </c>
      <c r="CV23" s="106">
        <v>1</v>
      </c>
      <c r="CW23" s="91">
        <f t="shared" si="52"/>
        <v>1.6932475499999971E-2</v>
      </c>
      <c r="CX23" s="103">
        <v>903.06535999999846</v>
      </c>
      <c r="CY23" s="134">
        <f t="shared" si="53"/>
        <v>90.306535999999852</v>
      </c>
      <c r="CZ23" s="93">
        <v>300</v>
      </c>
      <c r="DA23" s="106">
        <v>1</v>
      </c>
      <c r="DB23" s="91">
        <f t="shared" si="54"/>
        <v>0.30102178666666618</v>
      </c>
      <c r="DC23" s="99">
        <f t="shared" si="55"/>
        <v>58.185999999999922</v>
      </c>
      <c r="DD23" s="134">
        <f t="shared" si="56"/>
        <v>5.818599999999992</v>
      </c>
      <c r="DE23" s="100">
        <v>50</v>
      </c>
      <c r="DF23" s="106">
        <v>1</v>
      </c>
      <c r="DG23" s="91">
        <f t="shared" si="57"/>
        <v>0.11637199999999984</v>
      </c>
      <c r="DH23" s="101">
        <f t="shared" si="58"/>
        <v>1</v>
      </c>
      <c r="DI23" s="122">
        <f t="shared" si="61"/>
        <v>3.5</v>
      </c>
      <c r="DJ23" s="122">
        <f t="shared" si="62"/>
        <v>6</v>
      </c>
      <c r="DK23" s="122">
        <f t="shared" si="59"/>
        <v>1</v>
      </c>
      <c r="DL23" s="122">
        <f t="shared" si="12"/>
        <v>11</v>
      </c>
      <c r="DM23" s="47">
        <f t="shared" si="9"/>
        <v>10</v>
      </c>
      <c r="DN23" s="122">
        <f t="shared" si="60"/>
        <v>110</v>
      </c>
      <c r="DO23" s="157">
        <f t="shared" si="63"/>
        <v>111</v>
      </c>
      <c r="DP23" s="157"/>
      <c r="DQ23" s="86">
        <f t="shared" si="11"/>
        <v>5.78125</v>
      </c>
      <c r="DS23" s="42"/>
      <c r="DT23" s="42"/>
      <c r="DU23" s="42"/>
      <c r="DV23" s="42"/>
    </row>
    <row r="24" spans="2:126" s="3" customFormat="1" ht="17.25" customHeight="1">
      <c r="B24" s="152">
        <v>13</v>
      </c>
      <c r="C24" s="145" t="s">
        <v>89</v>
      </c>
      <c r="D24" s="147" t="s">
        <v>90</v>
      </c>
      <c r="E24" s="147"/>
      <c r="F24" s="108"/>
      <c r="G24" s="108" t="s">
        <v>18</v>
      </c>
      <c r="H24" s="107">
        <v>255</v>
      </c>
      <c r="I24" s="138">
        <v>2229.5410000000002</v>
      </c>
      <c r="J24" s="138">
        <v>2269.2350000000001</v>
      </c>
      <c r="K24" s="87">
        <f t="shared" si="5"/>
        <v>39.69399999999996</v>
      </c>
      <c r="L24" s="87" t="s">
        <v>50</v>
      </c>
      <c r="M24" s="102">
        <v>6</v>
      </c>
      <c r="N24" s="115">
        <v>5</v>
      </c>
      <c r="O24" s="87">
        <f t="shared" si="6"/>
        <v>7.9387999999999916</v>
      </c>
      <c r="P24" s="90">
        <v>1</v>
      </c>
      <c r="Q24" s="139">
        <v>59.937939999999941</v>
      </c>
      <c r="R24" s="134">
        <f t="shared" si="18"/>
        <v>11.987587999999988</v>
      </c>
      <c r="S24" s="88">
        <v>53.9</v>
      </c>
      <c r="T24" s="106">
        <v>1</v>
      </c>
      <c r="U24" s="90">
        <f t="shared" si="19"/>
        <v>0.2224042300556584</v>
      </c>
      <c r="V24" s="133">
        <v>219.11087999999978</v>
      </c>
      <c r="W24" s="134">
        <f t="shared" si="20"/>
        <v>43.822175999999956</v>
      </c>
      <c r="X24" s="127">
        <v>190</v>
      </c>
      <c r="Y24" s="106">
        <v>1</v>
      </c>
      <c r="Z24" s="90">
        <f t="shared" si="21"/>
        <v>0.23064303157894714</v>
      </c>
      <c r="AA24" s="140">
        <v>53.18995999999995</v>
      </c>
      <c r="AB24" s="134">
        <f t="shared" si="22"/>
        <v>10.63799199999999</v>
      </c>
      <c r="AC24" s="105">
        <v>42</v>
      </c>
      <c r="AD24" s="106">
        <v>1</v>
      </c>
      <c r="AE24" s="90">
        <f t="shared" si="23"/>
        <v>0.55328552380952356</v>
      </c>
      <c r="AF24" s="133">
        <v>31.75519999999997</v>
      </c>
      <c r="AG24" s="134">
        <f t="shared" si="24"/>
        <v>6.351039999999994</v>
      </c>
      <c r="AH24" s="105">
        <v>40</v>
      </c>
      <c r="AI24" s="106">
        <v>1</v>
      </c>
      <c r="AJ24" s="90">
        <f t="shared" si="25"/>
        <v>0.15877599999999986</v>
      </c>
      <c r="AK24" s="140">
        <v>14.289839999999987</v>
      </c>
      <c r="AL24" s="134">
        <f t="shared" si="26"/>
        <v>2.8579679999999974</v>
      </c>
      <c r="AM24" s="105">
        <v>130</v>
      </c>
      <c r="AN24" s="106">
        <v>1</v>
      </c>
      <c r="AO24" s="104">
        <f t="shared" si="27"/>
        <v>2.1984369230769209E-2</v>
      </c>
      <c r="AP24" s="89">
        <f t="shared" si="28"/>
        <v>1</v>
      </c>
      <c r="AQ24" s="139">
        <v>45.251159999999949</v>
      </c>
      <c r="AR24" s="134">
        <f t="shared" si="29"/>
        <v>9.0502319999999905</v>
      </c>
      <c r="AS24" s="105">
        <v>225</v>
      </c>
      <c r="AT24" s="106">
        <v>1</v>
      </c>
      <c r="AU24" s="91">
        <f t="shared" si="30"/>
        <v>4.0223253333333292E-2</v>
      </c>
      <c r="AV24" s="92">
        <f t="shared" si="31"/>
        <v>3.5</v>
      </c>
      <c r="AW24" s="133">
        <v>15.877599999999985</v>
      </c>
      <c r="AX24" s="134">
        <f t="shared" si="32"/>
        <v>3.175519999999997</v>
      </c>
      <c r="AY24" s="93">
        <v>40</v>
      </c>
      <c r="AZ24" s="106">
        <v>1</v>
      </c>
      <c r="BA24" s="91">
        <f t="shared" si="33"/>
        <v>7.9387999999999931E-2</v>
      </c>
      <c r="BB24" s="133">
        <v>17.465359999999986</v>
      </c>
      <c r="BC24" s="134">
        <f t="shared" si="34"/>
        <v>3.4930719999999971</v>
      </c>
      <c r="BD24" s="105">
        <v>130</v>
      </c>
      <c r="BE24" s="106">
        <v>1</v>
      </c>
      <c r="BF24" s="104">
        <f t="shared" si="35"/>
        <v>2.6869784615384591E-2</v>
      </c>
      <c r="BG24" s="89">
        <f t="shared" si="36"/>
        <v>2</v>
      </c>
      <c r="BH24" s="59"/>
      <c r="BI24" s="59"/>
      <c r="BJ24" s="94"/>
      <c r="BK24" s="95"/>
      <c r="BL24" s="96"/>
      <c r="BM24" s="133">
        <v>59.858551999999939</v>
      </c>
      <c r="BN24" s="134">
        <f t="shared" si="37"/>
        <v>11.971710399999989</v>
      </c>
      <c r="BO24" s="93">
        <v>35</v>
      </c>
      <c r="BP24" s="106">
        <v>1</v>
      </c>
      <c r="BQ24" s="104">
        <f t="shared" si="38"/>
        <v>0.34204886857142824</v>
      </c>
      <c r="BR24" s="133">
        <v>10.161663999999989</v>
      </c>
      <c r="BS24" s="134">
        <f t="shared" si="39"/>
        <v>2.0323327999999981</v>
      </c>
      <c r="BT24" s="97">
        <v>3.4</v>
      </c>
      <c r="BU24" s="106">
        <v>1</v>
      </c>
      <c r="BV24" s="91">
        <f t="shared" si="40"/>
        <v>0.59774494117647003</v>
      </c>
      <c r="BW24" s="133">
        <v>54.460167999999946</v>
      </c>
      <c r="BX24" s="134">
        <f t="shared" si="41"/>
        <v>10.892033599999989</v>
      </c>
      <c r="BY24" s="105">
        <v>125</v>
      </c>
      <c r="BZ24" s="106">
        <v>1</v>
      </c>
      <c r="CA24" s="104">
        <f t="shared" si="42"/>
        <v>8.7136268799999916E-2</v>
      </c>
      <c r="CB24" s="89">
        <f t="shared" si="43"/>
        <v>3</v>
      </c>
      <c r="CC24" s="98">
        <f t="shared" si="44"/>
        <v>6.5</v>
      </c>
      <c r="CD24" s="139">
        <v>19.608835999999979</v>
      </c>
      <c r="CE24" s="134">
        <f t="shared" si="45"/>
        <v>3.9217671999999957</v>
      </c>
      <c r="CF24" s="105">
        <v>165</v>
      </c>
      <c r="CG24" s="106">
        <v>1</v>
      </c>
      <c r="CH24" s="91">
        <f t="shared" si="46"/>
        <v>2.3768286060606034E-2</v>
      </c>
      <c r="CI24" s="139">
        <v>26.594979999999975</v>
      </c>
      <c r="CJ24" s="134">
        <f t="shared" si="47"/>
        <v>5.318995999999995</v>
      </c>
      <c r="CK24" s="105">
        <v>150</v>
      </c>
      <c r="CL24" s="106">
        <v>1</v>
      </c>
      <c r="CM24" s="91">
        <f t="shared" si="48"/>
        <v>3.5459973333333297E-2</v>
      </c>
      <c r="CN24" s="139">
        <v>161.95151999999985</v>
      </c>
      <c r="CO24" s="134">
        <f t="shared" si="49"/>
        <v>32.390303999999972</v>
      </c>
      <c r="CP24" s="93">
        <v>320</v>
      </c>
      <c r="CQ24" s="106">
        <v>1</v>
      </c>
      <c r="CR24" s="91">
        <f t="shared" si="50"/>
        <v>0.10121969999999991</v>
      </c>
      <c r="CS24" s="133">
        <v>485.85455999999954</v>
      </c>
      <c r="CT24" s="134">
        <f t="shared" si="51"/>
        <v>97.170911999999902</v>
      </c>
      <c r="CU24" s="93">
        <v>8000</v>
      </c>
      <c r="CV24" s="106">
        <v>1</v>
      </c>
      <c r="CW24" s="91">
        <f t="shared" si="52"/>
        <v>1.2146363999999988E-2</v>
      </c>
      <c r="CX24" s="133">
        <v>323.90303999999969</v>
      </c>
      <c r="CY24" s="134">
        <f t="shared" si="53"/>
        <v>64.780607999999944</v>
      </c>
      <c r="CZ24" s="93">
        <v>300</v>
      </c>
      <c r="DA24" s="106">
        <v>1</v>
      </c>
      <c r="DB24" s="91">
        <f t="shared" si="54"/>
        <v>0.21593535999999983</v>
      </c>
      <c r="DC24" s="99">
        <f t="shared" si="55"/>
        <v>39.69399999999996</v>
      </c>
      <c r="DD24" s="134">
        <f t="shared" si="56"/>
        <v>7.9387999999999916</v>
      </c>
      <c r="DE24" s="100">
        <v>50</v>
      </c>
      <c r="DF24" s="106">
        <v>1</v>
      </c>
      <c r="DG24" s="91">
        <f t="shared" si="57"/>
        <v>0.15877599999999983</v>
      </c>
      <c r="DH24" s="101">
        <f t="shared" si="58"/>
        <v>1</v>
      </c>
      <c r="DI24" s="122">
        <f t="shared" si="61"/>
        <v>3.5</v>
      </c>
      <c r="DJ24" s="122">
        <f t="shared" si="62"/>
        <v>6.5</v>
      </c>
      <c r="DK24" s="122">
        <f t="shared" si="59"/>
        <v>1</v>
      </c>
      <c r="DL24" s="122">
        <f t="shared" si="12"/>
        <v>11</v>
      </c>
      <c r="DM24" s="47">
        <f t="shared" si="9"/>
        <v>5</v>
      </c>
      <c r="DN24" s="122">
        <f t="shared" si="60"/>
        <v>55</v>
      </c>
      <c r="DO24" s="157">
        <f t="shared" si="63"/>
        <v>56</v>
      </c>
      <c r="DP24" s="157"/>
      <c r="DQ24" s="86">
        <f t="shared" si="11"/>
        <v>2.916666666666667</v>
      </c>
      <c r="DS24" s="42"/>
      <c r="DT24" s="42"/>
      <c r="DU24" s="42"/>
      <c r="DV24" s="42"/>
    </row>
    <row r="25" spans="2:126" s="3" customFormat="1" ht="17.25" customHeight="1">
      <c r="B25" s="152">
        <v>14</v>
      </c>
      <c r="C25" s="145" t="s">
        <v>91</v>
      </c>
      <c r="D25" s="137" t="s">
        <v>92</v>
      </c>
      <c r="E25" s="137"/>
      <c r="F25" s="108"/>
      <c r="G25" s="108" t="s">
        <v>18</v>
      </c>
      <c r="H25" s="107">
        <v>160</v>
      </c>
      <c r="I25" s="138">
        <v>2547.6759999999999</v>
      </c>
      <c r="J25" s="138">
        <v>2581.6219999999998</v>
      </c>
      <c r="K25" s="87">
        <f t="shared" si="5"/>
        <v>33.945999999999913</v>
      </c>
      <c r="L25" s="87" t="s">
        <v>50</v>
      </c>
      <c r="M25" s="136">
        <v>8</v>
      </c>
      <c r="N25" s="115">
        <v>7</v>
      </c>
      <c r="O25" s="87">
        <f t="shared" si="6"/>
        <v>4.8494285714285592</v>
      </c>
      <c r="P25" s="90">
        <v>1</v>
      </c>
      <c r="Q25" s="139">
        <v>24.780579999999937</v>
      </c>
      <c r="R25" s="134">
        <f t="shared" si="18"/>
        <v>3.5400828571428482</v>
      </c>
      <c r="S25" s="88">
        <v>53.9</v>
      </c>
      <c r="T25" s="106">
        <v>1</v>
      </c>
      <c r="U25" s="90">
        <f t="shared" si="19"/>
        <v>6.5678717201166012E-2</v>
      </c>
      <c r="V25" s="133">
        <v>90.975279999999771</v>
      </c>
      <c r="W25" s="134">
        <f t="shared" si="20"/>
        <v>12.996468571428538</v>
      </c>
      <c r="X25" s="127">
        <v>190</v>
      </c>
      <c r="Y25" s="106">
        <v>1</v>
      </c>
      <c r="Z25" s="90">
        <f t="shared" si="21"/>
        <v>6.8402466165413359E-2</v>
      </c>
      <c r="AA25" s="141">
        <v>22.743819999999943</v>
      </c>
      <c r="AB25" s="134">
        <f t="shared" si="22"/>
        <v>3.2491171428571346</v>
      </c>
      <c r="AC25" s="105">
        <v>42</v>
      </c>
      <c r="AD25" s="106">
        <v>1</v>
      </c>
      <c r="AE25" s="90">
        <f t="shared" si="23"/>
        <v>0.37735993197278894</v>
      </c>
      <c r="AF25" s="133">
        <v>13.578399999999966</v>
      </c>
      <c r="AG25" s="134">
        <f t="shared" si="24"/>
        <v>1.9397714285714238</v>
      </c>
      <c r="AH25" s="105">
        <v>40</v>
      </c>
      <c r="AI25" s="106">
        <v>1</v>
      </c>
      <c r="AJ25" s="90">
        <f t="shared" si="25"/>
        <v>4.8494285714285594E-2</v>
      </c>
      <c r="AK25" s="141">
        <v>6.1102799999999853</v>
      </c>
      <c r="AL25" s="134">
        <f t="shared" si="26"/>
        <v>0.87289714285714071</v>
      </c>
      <c r="AM25" s="105">
        <v>130</v>
      </c>
      <c r="AN25" s="106">
        <v>1</v>
      </c>
      <c r="AO25" s="104">
        <f t="shared" si="27"/>
        <v>6.7145934065933896E-3</v>
      </c>
      <c r="AP25" s="89">
        <f t="shared" si="28"/>
        <v>1</v>
      </c>
      <c r="AQ25" s="139">
        <v>14.936239999999962</v>
      </c>
      <c r="AR25" s="134">
        <f t="shared" si="29"/>
        <v>2.133748571428566</v>
      </c>
      <c r="AS25" s="105">
        <v>225</v>
      </c>
      <c r="AT25" s="106">
        <v>1</v>
      </c>
      <c r="AU25" s="91">
        <f t="shared" si="30"/>
        <v>9.4833269841269607E-3</v>
      </c>
      <c r="AV25" s="92">
        <f t="shared" si="31"/>
        <v>3</v>
      </c>
      <c r="AW25" s="133">
        <v>6.7891999999999832</v>
      </c>
      <c r="AX25" s="134">
        <f t="shared" si="32"/>
        <v>0.96988571428571191</v>
      </c>
      <c r="AY25" s="93">
        <v>40</v>
      </c>
      <c r="AZ25" s="106">
        <v>1</v>
      </c>
      <c r="BA25" s="91">
        <f t="shared" si="33"/>
        <v>2.4247142857142797E-2</v>
      </c>
      <c r="BB25" s="133">
        <v>7.4681199999999821</v>
      </c>
      <c r="BC25" s="134">
        <f t="shared" si="34"/>
        <v>1.0668742857142832</v>
      </c>
      <c r="BD25" s="105">
        <v>130</v>
      </c>
      <c r="BE25" s="106">
        <v>1</v>
      </c>
      <c r="BF25" s="104">
        <f t="shared" si="35"/>
        <v>8.2067252747252562E-3</v>
      </c>
      <c r="BG25" s="89">
        <f t="shared" si="36"/>
        <v>2</v>
      </c>
      <c r="BH25" s="59"/>
      <c r="BI25" s="59"/>
      <c r="BJ25" s="94"/>
      <c r="BK25" s="95"/>
      <c r="BL25" s="96"/>
      <c r="BM25" s="133">
        <v>25.595283999999936</v>
      </c>
      <c r="BN25" s="134">
        <f t="shared" si="37"/>
        <v>3.6564691428571336</v>
      </c>
      <c r="BO25" s="93">
        <v>35</v>
      </c>
      <c r="BP25" s="106">
        <v>1</v>
      </c>
      <c r="BQ25" s="104">
        <f t="shared" si="38"/>
        <v>0.10447054693877525</v>
      </c>
      <c r="BR25" s="133">
        <v>4.345087999999989</v>
      </c>
      <c r="BS25" s="134">
        <f t="shared" si="39"/>
        <v>0.62072685714285558</v>
      </c>
      <c r="BT25" s="97">
        <v>3.4</v>
      </c>
      <c r="BU25" s="106">
        <v>1</v>
      </c>
      <c r="BV25" s="91">
        <f t="shared" si="40"/>
        <v>0.18256672268907517</v>
      </c>
      <c r="BW25" s="133">
        <v>23.286955999999943</v>
      </c>
      <c r="BX25" s="134">
        <f t="shared" si="41"/>
        <v>3.326707999999992</v>
      </c>
      <c r="BY25" s="105">
        <v>125</v>
      </c>
      <c r="BZ25" s="106">
        <v>1</v>
      </c>
      <c r="CA25" s="104">
        <f t="shared" si="42"/>
        <v>2.6613663999999936E-2</v>
      </c>
      <c r="CB25" s="89">
        <f t="shared" si="43"/>
        <v>3</v>
      </c>
      <c r="CC25" s="98">
        <f t="shared" si="44"/>
        <v>5.5</v>
      </c>
      <c r="CD25" s="139">
        <v>10.828773999999973</v>
      </c>
      <c r="CE25" s="134">
        <f t="shared" si="45"/>
        <v>1.5469677142857103</v>
      </c>
      <c r="CF25" s="105">
        <v>165</v>
      </c>
      <c r="CG25" s="106">
        <v>1</v>
      </c>
      <c r="CH25" s="91">
        <f t="shared" si="46"/>
        <v>9.375561904761881E-3</v>
      </c>
      <c r="CI25" s="139">
        <v>10.455367999999973</v>
      </c>
      <c r="CJ25" s="134">
        <f t="shared" si="47"/>
        <v>1.4936239999999963</v>
      </c>
      <c r="CK25" s="105">
        <v>150</v>
      </c>
      <c r="CL25" s="106">
        <v>1</v>
      </c>
      <c r="CM25" s="91">
        <f t="shared" si="48"/>
        <v>9.9574933333333084E-3</v>
      </c>
      <c r="CN25" s="139">
        <v>64.12399399999984</v>
      </c>
      <c r="CO25" s="134">
        <f t="shared" si="49"/>
        <v>9.1605705714285488</v>
      </c>
      <c r="CP25" s="93">
        <v>320</v>
      </c>
      <c r="CQ25" s="106">
        <v>1</v>
      </c>
      <c r="CR25" s="91">
        <f t="shared" si="50"/>
        <v>2.8626783035714216E-2</v>
      </c>
      <c r="CS25" s="133">
        <v>192.37198199999952</v>
      </c>
      <c r="CT25" s="134">
        <f t="shared" si="51"/>
        <v>27.481711714285645</v>
      </c>
      <c r="CU25" s="93">
        <v>8000</v>
      </c>
      <c r="CV25" s="106">
        <v>1</v>
      </c>
      <c r="CW25" s="91">
        <f t="shared" si="52"/>
        <v>3.4352139642857054E-3</v>
      </c>
      <c r="CX25" s="133">
        <v>128.24798799999968</v>
      </c>
      <c r="CY25" s="134">
        <f t="shared" si="53"/>
        <v>18.321141142857098</v>
      </c>
      <c r="CZ25" s="93">
        <v>300</v>
      </c>
      <c r="DA25" s="106">
        <v>1</v>
      </c>
      <c r="DB25" s="91">
        <f t="shared" si="54"/>
        <v>6.1070470476190325E-2</v>
      </c>
      <c r="DC25" s="99">
        <f t="shared" si="55"/>
        <v>33.945999999999913</v>
      </c>
      <c r="DD25" s="134">
        <f t="shared" si="56"/>
        <v>4.8494285714285592</v>
      </c>
      <c r="DE25" s="100">
        <v>50</v>
      </c>
      <c r="DF25" s="106">
        <v>1</v>
      </c>
      <c r="DG25" s="91">
        <f t="shared" si="57"/>
        <v>9.6988571428571188E-2</v>
      </c>
      <c r="DH25" s="101">
        <f t="shared" si="58"/>
        <v>0.5</v>
      </c>
      <c r="DI25" s="122">
        <f t="shared" si="61"/>
        <v>3</v>
      </c>
      <c r="DJ25" s="122">
        <f t="shared" si="62"/>
        <v>5.5</v>
      </c>
      <c r="DK25" s="122">
        <f t="shared" si="59"/>
        <v>0.5</v>
      </c>
      <c r="DL25" s="122">
        <f t="shared" si="12"/>
        <v>9</v>
      </c>
      <c r="DM25" s="47">
        <f t="shared" si="9"/>
        <v>7</v>
      </c>
      <c r="DN25" s="122">
        <f t="shared" si="60"/>
        <v>63</v>
      </c>
      <c r="DO25" s="157">
        <f t="shared" si="63"/>
        <v>64</v>
      </c>
      <c r="DP25" s="157"/>
      <c r="DQ25" s="86">
        <f t="shared" si="11"/>
        <v>3.3333333333333335</v>
      </c>
      <c r="DS25" s="42"/>
      <c r="DT25" s="42"/>
      <c r="DU25" s="42"/>
      <c r="DV25" s="42"/>
    </row>
    <row r="26" spans="2:126" s="3" customFormat="1" ht="17.25" customHeight="1">
      <c r="B26" s="152">
        <v>15</v>
      </c>
      <c r="C26" s="145" t="s">
        <v>93</v>
      </c>
      <c r="D26" s="137" t="s">
        <v>94</v>
      </c>
      <c r="E26" s="137"/>
      <c r="F26" s="108"/>
      <c r="G26" s="108" t="s">
        <v>18</v>
      </c>
      <c r="H26" s="107">
        <v>160</v>
      </c>
      <c r="I26" s="138">
        <v>2949.096</v>
      </c>
      <c r="J26" s="138">
        <v>2978.6210000000001</v>
      </c>
      <c r="K26" s="87">
        <f t="shared" si="5"/>
        <v>29.525000000000091</v>
      </c>
      <c r="L26" s="87" t="s">
        <v>50</v>
      </c>
      <c r="M26" s="136">
        <v>1</v>
      </c>
      <c r="N26" s="136">
        <v>1</v>
      </c>
      <c r="O26" s="87">
        <f t="shared" si="6"/>
        <v>29.525000000000091</v>
      </c>
      <c r="P26" s="90">
        <v>1</v>
      </c>
      <c r="Q26" s="139">
        <v>21.553250000000066</v>
      </c>
      <c r="R26" s="134">
        <f t="shared" si="18"/>
        <v>21.553250000000066</v>
      </c>
      <c r="S26" s="88">
        <v>53.9</v>
      </c>
      <c r="T26" s="106">
        <v>1</v>
      </c>
      <c r="U26" s="90">
        <f t="shared" si="19"/>
        <v>0.39987476808905503</v>
      </c>
      <c r="V26" s="133">
        <v>79.127000000000251</v>
      </c>
      <c r="W26" s="134">
        <f t="shared" si="20"/>
        <v>79.127000000000251</v>
      </c>
      <c r="X26" s="127">
        <v>190</v>
      </c>
      <c r="Y26" s="106">
        <v>1</v>
      </c>
      <c r="Z26" s="90">
        <f t="shared" si="21"/>
        <v>0.41645789473684341</v>
      </c>
      <c r="AA26" s="141">
        <v>19.781750000000063</v>
      </c>
      <c r="AB26" s="134">
        <f t="shared" si="22"/>
        <v>19.781750000000063</v>
      </c>
      <c r="AC26" s="105">
        <v>42</v>
      </c>
      <c r="AD26" s="106">
        <v>1</v>
      </c>
      <c r="AE26" s="90">
        <f t="shared" si="23"/>
        <v>0.77099404761904911</v>
      </c>
      <c r="AF26" s="133">
        <v>11.810000000000038</v>
      </c>
      <c r="AG26" s="134">
        <f t="shared" si="24"/>
        <v>11.810000000000038</v>
      </c>
      <c r="AH26" s="105">
        <v>40</v>
      </c>
      <c r="AI26" s="106">
        <v>1</v>
      </c>
      <c r="AJ26" s="90">
        <f t="shared" si="25"/>
        <v>0.29525000000000096</v>
      </c>
      <c r="AK26" s="141">
        <v>5.3145000000000167</v>
      </c>
      <c r="AL26" s="134">
        <f t="shared" si="26"/>
        <v>5.3145000000000167</v>
      </c>
      <c r="AM26" s="105">
        <v>130</v>
      </c>
      <c r="AN26" s="106">
        <v>1</v>
      </c>
      <c r="AO26" s="104">
        <f t="shared" si="27"/>
        <v>4.0880769230769359E-2</v>
      </c>
      <c r="AP26" s="89">
        <f t="shared" si="28"/>
        <v>1</v>
      </c>
      <c r="AQ26" s="139">
        <v>12.991000000000041</v>
      </c>
      <c r="AR26" s="134">
        <f t="shared" si="29"/>
        <v>12.991000000000041</v>
      </c>
      <c r="AS26" s="105">
        <v>225</v>
      </c>
      <c r="AT26" s="106">
        <v>1</v>
      </c>
      <c r="AU26" s="91">
        <f t="shared" si="30"/>
        <v>5.7737777777777957E-2</v>
      </c>
      <c r="AV26" s="92">
        <f t="shared" si="31"/>
        <v>4</v>
      </c>
      <c r="AW26" s="133">
        <v>5.9050000000000189</v>
      </c>
      <c r="AX26" s="134">
        <f t="shared" si="32"/>
        <v>5.9050000000000189</v>
      </c>
      <c r="AY26" s="93">
        <v>40</v>
      </c>
      <c r="AZ26" s="106">
        <v>1</v>
      </c>
      <c r="BA26" s="91">
        <f t="shared" si="33"/>
        <v>0.14762500000000048</v>
      </c>
      <c r="BB26" s="133">
        <v>6.4955000000000211</v>
      </c>
      <c r="BC26" s="134">
        <f t="shared" si="34"/>
        <v>6.4955000000000211</v>
      </c>
      <c r="BD26" s="105">
        <v>130</v>
      </c>
      <c r="BE26" s="106">
        <v>1</v>
      </c>
      <c r="BF26" s="104">
        <f t="shared" si="35"/>
        <v>4.9965384615384779E-2</v>
      </c>
      <c r="BG26" s="89">
        <f t="shared" si="36"/>
        <v>2</v>
      </c>
      <c r="BH26" s="59"/>
      <c r="BI26" s="59"/>
      <c r="BJ26" s="94"/>
      <c r="BK26" s="95"/>
      <c r="BL26" s="96"/>
      <c r="BM26" s="133">
        <v>22.26185000000007</v>
      </c>
      <c r="BN26" s="134">
        <f t="shared" si="37"/>
        <v>22.26185000000007</v>
      </c>
      <c r="BO26" s="93">
        <v>35</v>
      </c>
      <c r="BP26" s="106">
        <v>1</v>
      </c>
      <c r="BQ26" s="104">
        <f t="shared" si="38"/>
        <v>0.6360528571428592</v>
      </c>
      <c r="BR26" s="133">
        <v>3.7792000000000119</v>
      </c>
      <c r="BS26" s="134">
        <f t="shared" si="39"/>
        <v>3.7792000000000119</v>
      </c>
      <c r="BT26" s="97">
        <v>3.4</v>
      </c>
      <c r="BU26" s="106">
        <v>1</v>
      </c>
      <c r="BV26" s="91">
        <f t="shared" si="40"/>
        <v>1.1115294117647094</v>
      </c>
      <c r="BW26" s="133">
        <v>20.254150000000063</v>
      </c>
      <c r="BX26" s="134">
        <f t="shared" si="41"/>
        <v>20.254150000000063</v>
      </c>
      <c r="BY26" s="105">
        <v>125</v>
      </c>
      <c r="BZ26" s="106">
        <v>1</v>
      </c>
      <c r="CA26" s="104">
        <f t="shared" si="42"/>
        <v>0.16203320000000052</v>
      </c>
      <c r="CB26" s="89">
        <f t="shared" si="43"/>
        <v>3</v>
      </c>
      <c r="CC26" s="98">
        <f t="shared" si="44"/>
        <v>7.5</v>
      </c>
      <c r="CD26" s="139">
        <v>9.4184750000000292</v>
      </c>
      <c r="CE26" s="134">
        <f t="shared" si="45"/>
        <v>9.4184750000000292</v>
      </c>
      <c r="CF26" s="105">
        <v>165</v>
      </c>
      <c r="CG26" s="106">
        <v>1</v>
      </c>
      <c r="CH26" s="91">
        <f t="shared" si="46"/>
        <v>5.7081666666666843E-2</v>
      </c>
      <c r="CI26" s="139">
        <v>9.0937000000000285</v>
      </c>
      <c r="CJ26" s="134">
        <f t="shared" si="47"/>
        <v>9.0937000000000285</v>
      </c>
      <c r="CK26" s="105">
        <v>150</v>
      </c>
      <c r="CL26" s="106">
        <v>1</v>
      </c>
      <c r="CM26" s="91">
        <f t="shared" si="48"/>
        <v>6.0624666666666854E-2</v>
      </c>
      <c r="CN26" s="139">
        <v>55.772725000000172</v>
      </c>
      <c r="CO26" s="134">
        <f t="shared" si="49"/>
        <v>55.772725000000172</v>
      </c>
      <c r="CP26" s="93">
        <v>320</v>
      </c>
      <c r="CQ26" s="106">
        <v>1</v>
      </c>
      <c r="CR26" s="91">
        <f t="shared" si="50"/>
        <v>0.17428976562500054</v>
      </c>
      <c r="CS26" s="133">
        <v>167.31817500000051</v>
      </c>
      <c r="CT26" s="134">
        <f t="shared" si="51"/>
        <v>167.31817500000051</v>
      </c>
      <c r="CU26" s="93">
        <v>8000</v>
      </c>
      <c r="CV26" s="106">
        <v>1</v>
      </c>
      <c r="CW26" s="91">
        <f t="shared" si="52"/>
        <v>2.0914771875000064E-2</v>
      </c>
      <c r="CX26" s="133">
        <v>111.54545000000034</v>
      </c>
      <c r="CY26" s="134">
        <f t="shared" si="53"/>
        <v>111.54545000000034</v>
      </c>
      <c r="CZ26" s="93">
        <v>300</v>
      </c>
      <c r="DA26" s="106">
        <v>1</v>
      </c>
      <c r="DB26" s="91">
        <f t="shared" si="54"/>
        <v>0.37181816666666784</v>
      </c>
      <c r="DC26" s="99">
        <f t="shared" si="55"/>
        <v>29.525000000000091</v>
      </c>
      <c r="DD26" s="134">
        <f t="shared" si="56"/>
        <v>29.525000000000091</v>
      </c>
      <c r="DE26" s="100">
        <v>50</v>
      </c>
      <c r="DF26" s="106">
        <v>1</v>
      </c>
      <c r="DG26" s="91">
        <f t="shared" si="57"/>
        <v>0.5905000000000018</v>
      </c>
      <c r="DH26" s="101">
        <f t="shared" si="58"/>
        <v>1.5</v>
      </c>
      <c r="DI26" s="122">
        <f t="shared" si="61"/>
        <v>4</v>
      </c>
      <c r="DJ26" s="122">
        <f t="shared" si="62"/>
        <v>7.5</v>
      </c>
      <c r="DK26" s="122">
        <f t="shared" si="59"/>
        <v>1.5</v>
      </c>
      <c r="DL26" s="122">
        <f t="shared" si="12"/>
        <v>13</v>
      </c>
      <c r="DM26" s="47">
        <f t="shared" si="9"/>
        <v>1</v>
      </c>
      <c r="DN26" s="122">
        <f t="shared" si="60"/>
        <v>13</v>
      </c>
      <c r="DO26" s="157">
        <f t="shared" si="63"/>
        <v>14</v>
      </c>
      <c r="DP26" s="157"/>
      <c r="DQ26" s="86">
        <f t="shared" si="11"/>
        <v>0.72916666666666674</v>
      </c>
      <c r="DS26" s="42"/>
      <c r="DT26" s="42"/>
      <c r="DU26" s="42"/>
      <c r="DV26" s="42"/>
    </row>
    <row r="27" spans="2:126" s="3" customFormat="1" ht="17.25" customHeight="1">
      <c r="B27" s="152">
        <v>16</v>
      </c>
      <c r="C27" s="145" t="s">
        <v>95</v>
      </c>
      <c r="D27" s="137" t="s">
        <v>96</v>
      </c>
      <c r="E27" s="137"/>
      <c r="F27" s="108"/>
      <c r="G27" s="108" t="s">
        <v>18</v>
      </c>
      <c r="H27" s="107">
        <v>255</v>
      </c>
      <c r="I27" s="138">
        <v>3121.2570000000001</v>
      </c>
      <c r="J27" s="138">
        <v>3145.5250000000001</v>
      </c>
      <c r="K27" s="87">
        <f t="shared" si="5"/>
        <v>24.268000000000029</v>
      </c>
      <c r="L27" s="87" t="s">
        <v>50</v>
      </c>
      <c r="M27" s="136">
        <v>3</v>
      </c>
      <c r="N27" s="113">
        <v>3</v>
      </c>
      <c r="O27" s="87">
        <f t="shared" si="6"/>
        <v>8.089333333333343</v>
      </c>
      <c r="P27" s="90">
        <v>1</v>
      </c>
      <c r="Q27" s="139">
        <v>17.715640000000022</v>
      </c>
      <c r="R27" s="134">
        <f t="shared" si="18"/>
        <v>5.9052133333333403</v>
      </c>
      <c r="S27" s="88">
        <v>53.9</v>
      </c>
      <c r="T27" s="106">
        <v>1</v>
      </c>
      <c r="U27" s="90">
        <f t="shared" si="19"/>
        <v>0.10955868893011764</v>
      </c>
      <c r="V27" s="133">
        <v>65.038240000000087</v>
      </c>
      <c r="W27" s="134">
        <f t="shared" si="20"/>
        <v>21.679413333333361</v>
      </c>
      <c r="X27" s="127">
        <v>190</v>
      </c>
      <c r="Y27" s="106">
        <v>1</v>
      </c>
      <c r="Z27" s="90">
        <f t="shared" si="21"/>
        <v>0.11410217543859663</v>
      </c>
      <c r="AA27" s="141">
        <v>16.259560000000022</v>
      </c>
      <c r="AB27" s="134">
        <f t="shared" si="22"/>
        <v>5.4198533333333403</v>
      </c>
      <c r="AC27" s="105">
        <v>42</v>
      </c>
      <c r="AD27" s="106">
        <v>1</v>
      </c>
      <c r="AE27" s="90">
        <f t="shared" si="23"/>
        <v>0.42904412698412714</v>
      </c>
      <c r="AF27" s="133">
        <v>9.7072000000000127</v>
      </c>
      <c r="AG27" s="134">
        <f t="shared" si="24"/>
        <v>3.2357333333333376</v>
      </c>
      <c r="AH27" s="105">
        <v>40</v>
      </c>
      <c r="AI27" s="106">
        <v>1</v>
      </c>
      <c r="AJ27" s="90">
        <f t="shared" si="25"/>
        <v>8.0893333333333442E-2</v>
      </c>
      <c r="AK27" s="141">
        <v>4.3682400000000055</v>
      </c>
      <c r="AL27" s="134">
        <f t="shared" si="26"/>
        <v>1.4560800000000018</v>
      </c>
      <c r="AM27" s="105">
        <v>130</v>
      </c>
      <c r="AN27" s="106">
        <v>1</v>
      </c>
      <c r="AO27" s="104">
        <f t="shared" si="27"/>
        <v>1.1200615384615399E-2</v>
      </c>
      <c r="AP27" s="89">
        <f t="shared" si="28"/>
        <v>1</v>
      </c>
      <c r="AQ27" s="139">
        <v>10.677920000000013</v>
      </c>
      <c r="AR27" s="134">
        <f t="shared" si="29"/>
        <v>3.5593066666666711</v>
      </c>
      <c r="AS27" s="105">
        <v>225</v>
      </c>
      <c r="AT27" s="106">
        <v>1</v>
      </c>
      <c r="AU27" s="91">
        <f t="shared" si="30"/>
        <v>1.5819140740740759E-2</v>
      </c>
      <c r="AV27" s="92">
        <f t="shared" si="31"/>
        <v>3</v>
      </c>
      <c r="AW27" s="133">
        <v>4.8536000000000064</v>
      </c>
      <c r="AX27" s="134">
        <f t="shared" si="32"/>
        <v>1.6178666666666688</v>
      </c>
      <c r="AY27" s="93">
        <v>40</v>
      </c>
      <c r="AZ27" s="106">
        <v>1</v>
      </c>
      <c r="BA27" s="91">
        <f t="shared" si="33"/>
        <v>4.0446666666666721E-2</v>
      </c>
      <c r="BB27" s="133">
        <v>5.3389600000000073</v>
      </c>
      <c r="BC27" s="134">
        <f t="shared" si="34"/>
        <v>1.7796533333333358</v>
      </c>
      <c r="BD27" s="105">
        <v>130</v>
      </c>
      <c r="BE27" s="106">
        <v>1</v>
      </c>
      <c r="BF27" s="104">
        <f t="shared" si="35"/>
        <v>1.3689641025641044E-2</v>
      </c>
      <c r="BG27" s="89">
        <f t="shared" si="36"/>
        <v>2</v>
      </c>
      <c r="BH27" s="59"/>
      <c r="BI27" s="59"/>
      <c r="BJ27" s="94"/>
      <c r="BK27" s="95"/>
      <c r="BL27" s="96"/>
      <c r="BM27" s="133">
        <v>18.298072000000023</v>
      </c>
      <c r="BN27" s="134">
        <f t="shared" si="37"/>
        <v>6.0993573333333408</v>
      </c>
      <c r="BO27" s="93">
        <v>35</v>
      </c>
      <c r="BP27" s="106">
        <v>1</v>
      </c>
      <c r="BQ27" s="104">
        <f t="shared" si="38"/>
        <v>0.17426735238095259</v>
      </c>
      <c r="BR27" s="133">
        <v>3.1063040000000037</v>
      </c>
      <c r="BS27" s="134">
        <f t="shared" si="39"/>
        <v>1.0354346666666678</v>
      </c>
      <c r="BT27" s="97">
        <v>3.4</v>
      </c>
      <c r="BU27" s="106">
        <v>1</v>
      </c>
      <c r="BV27" s="91">
        <f t="shared" si="40"/>
        <v>0.30453960784313761</v>
      </c>
      <c r="BW27" s="133">
        <v>16.647848000000021</v>
      </c>
      <c r="BX27" s="134">
        <f t="shared" si="41"/>
        <v>5.5492826666666737</v>
      </c>
      <c r="BY27" s="105">
        <v>125</v>
      </c>
      <c r="BZ27" s="106">
        <v>1</v>
      </c>
      <c r="CA27" s="104">
        <f t="shared" si="42"/>
        <v>4.4394261333333393E-2</v>
      </c>
      <c r="CB27" s="89">
        <f t="shared" si="43"/>
        <v>3</v>
      </c>
      <c r="CC27" s="98">
        <f t="shared" si="44"/>
        <v>6</v>
      </c>
      <c r="CD27" s="139">
        <v>7.7414920000000098</v>
      </c>
      <c r="CE27" s="134">
        <f t="shared" si="45"/>
        <v>2.5804973333333368</v>
      </c>
      <c r="CF27" s="105">
        <v>165</v>
      </c>
      <c r="CG27" s="106">
        <v>1</v>
      </c>
      <c r="CH27" s="91">
        <f t="shared" si="46"/>
        <v>1.56393777777778E-2</v>
      </c>
      <c r="CI27" s="139">
        <v>7.4745440000000087</v>
      </c>
      <c r="CJ27" s="134">
        <f t="shared" si="47"/>
        <v>2.4915146666666694</v>
      </c>
      <c r="CK27" s="105">
        <v>150</v>
      </c>
      <c r="CL27" s="106">
        <v>1</v>
      </c>
      <c r="CM27" s="91">
        <f t="shared" si="48"/>
        <v>1.6610097777777798E-2</v>
      </c>
      <c r="CN27" s="139">
        <v>45.842252000000052</v>
      </c>
      <c r="CO27" s="134">
        <f t="shared" si="49"/>
        <v>15.280750666666684</v>
      </c>
      <c r="CP27" s="93">
        <v>320</v>
      </c>
      <c r="CQ27" s="106">
        <v>1</v>
      </c>
      <c r="CR27" s="91">
        <f t="shared" si="50"/>
        <v>4.775234583333339E-2</v>
      </c>
      <c r="CS27" s="133">
        <v>137.52675600000015</v>
      </c>
      <c r="CT27" s="134">
        <f t="shared" si="51"/>
        <v>45.842252000000052</v>
      </c>
      <c r="CU27" s="93">
        <v>8000</v>
      </c>
      <c r="CV27" s="106">
        <v>1</v>
      </c>
      <c r="CW27" s="91">
        <f t="shared" si="52"/>
        <v>5.7302815000000061E-3</v>
      </c>
      <c r="CX27" s="133">
        <v>91.684504000000103</v>
      </c>
      <c r="CY27" s="134">
        <f t="shared" si="53"/>
        <v>30.561501333333368</v>
      </c>
      <c r="CZ27" s="93">
        <v>300</v>
      </c>
      <c r="DA27" s="106">
        <v>1</v>
      </c>
      <c r="DB27" s="91">
        <f t="shared" si="54"/>
        <v>0.10187167111111123</v>
      </c>
      <c r="DC27" s="99">
        <f t="shared" si="55"/>
        <v>24.268000000000029</v>
      </c>
      <c r="DD27" s="134">
        <f t="shared" si="56"/>
        <v>8.089333333333343</v>
      </c>
      <c r="DE27" s="100">
        <v>50</v>
      </c>
      <c r="DF27" s="106">
        <v>1</v>
      </c>
      <c r="DG27" s="91">
        <f t="shared" si="57"/>
        <v>0.16178666666666686</v>
      </c>
      <c r="DH27" s="101">
        <f t="shared" si="58"/>
        <v>0.5</v>
      </c>
      <c r="DI27" s="122">
        <f t="shared" si="61"/>
        <v>3</v>
      </c>
      <c r="DJ27" s="122">
        <f t="shared" si="62"/>
        <v>6</v>
      </c>
      <c r="DK27" s="122">
        <f t="shared" si="59"/>
        <v>0.5</v>
      </c>
      <c r="DL27" s="122">
        <f t="shared" si="12"/>
        <v>10</v>
      </c>
      <c r="DM27" s="47">
        <f t="shared" si="9"/>
        <v>3</v>
      </c>
      <c r="DN27" s="122">
        <f t="shared" si="60"/>
        <v>30</v>
      </c>
      <c r="DO27" s="157">
        <f t="shared" si="63"/>
        <v>31</v>
      </c>
      <c r="DP27" s="157"/>
      <c r="DQ27" s="86">
        <f t="shared" si="11"/>
        <v>1.6145833333333335</v>
      </c>
      <c r="DS27" s="42"/>
      <c r="DT27" s="42"/>
      <c r="DU27" s="42"/>
      <c r="DV27" s="42"/>
    </row>
    <row r="28" spans="2:126" s="3" customFormat="1" ht="17.25" customHeight="1">
      <c r="B28" s="152">
        <v>17</v>
      </c>
      <c r="C28" s="145" t="s">
        <v>97</v>
      </c>
      <c r="D28" s="147" t="s">
        <v>98</v>
      </c>
      <c r="E28" s="147"/>
      <c r="F28" s="108"/>
      <c r="G28" s="108" t="s">
        <v>18</v>
      </c>
      <c r="H28" s="107">
        <v>255</v>
      </c>
      <c r="I28" s="138">
        <v>3438.0050000000001</v>
      </c>
      <c r="J28" s="138">
        <v>3485.6590000000001</v>
      </c>
      <c r="K28" s="87">
        <f t="shared" si="5"/>
        <v>47.653999999999996</v>
      </c>
      <c r="L28" s="87" t="s">
        <v>50</v>
      </c>
      <c r="M28" s="136">
        <v>8</v>
      </c>
      <c r="N28" s="113">
        <v>8</v>
      </c>
      <c r="O28" s="87">
        <f t="shared" si="6"/>
        <v>5.9567499999999995</v>
      </c>
      <c r="P28" s="90">
        <v>1</v>
      </c>
      <c r="Q28" s="139">
        <v>71.957539999999995</v>
      </c>
      <c r="R28" s="134">
        <f t="shared" si="18"/>
        <v>8.9946924999999993</v>
      </c>
      <c r="S28" s="88">
        <v>53.9</v>
      </c>
      <c r="T28" s="106">
        <v>1</v>
      </c>
      <c r="U28" s="90">
        <f t="shared" si="19"/>
        <v>0.16687741187384045</v>
      </c>
      <c r="V28" s="133">
        <v>263.05007999999998</v>
      </c>
      <c r="W28" s="134">
        <f t="shared" si="20"/>
        <v>32.881259999999997</v>
      </c>
      <c r="X28" s="127">
        <v>190</v>
      </c>
      <c r="Y28" s="106">
        <v>1</v>
      </c>
      <c r="Z28" s="90">
        <f t="shared" si="21"/>
        <v>0.17305926315789472</v>
      </c>
      <c r="AA28" s="141">
        <v>63.856360000000002</v>
      </c>
      <c r="AB28" s="134">
        <f t="shared" si="22"/>
        <v>7.9820450000000003</v>
      </c>
      <c r="AC28" s="105">
        <v>42</v>
      </c>
      <c r="AD28" s="106">
        <v>1</v>
      </c>
      <c r="AE28" s="90">
        <f t="shared" si="23"/>
        <v>0.49004869047619048</v>
      </c>
      <c r="AF28" s="133">
        <v>38.123199999999997</v>
      </c>
      <c r="AG28" s="134">
        <f t="shared" si="24"/>
        <v>4.7653999999999996</v>
      </c>
      <c r="AH28" s="105">
        <v>40</v>
      </c>
      <c r="AI28" s="106">
        <v>1</v>
      </c>
      <c r="AJ28" s="90">
        <f t="shared" si="25"/>
        <v>0.11913499999999999</v>
      </c>
      <c r="AK28" s="141">
        <v>17.155440000000002</v>
      </c>
      <c r="AL28" s="134">
        <f t="shared" si="26"/>
        <v>2.1444300000000003</v>
      </c>
      <c r="AM28" s="105">
        <v>130</v>
      </c>
      <c r="AN28" s="106">
        <v>1</v>
      </c>
      <c r="AO28" s="104">
        <f t="shared" si="27"/>
        <v>1.6495615384615386E-2</v>
      </c>
      <c r="AP28" s="89">
        <f t="shared" si="28"/>
        <v>1</v>
      </c>
      <c r="AQ28" s="139">
        <v>54.325559999999989</v>
      </c>
      <c r="AR28" s="134">
        <f t="shared" si="29"/>
        <v>6.7906949999999986</v>
      </c>
      <c r="AS28" s="105">
        <v>225</v>
      </c>
      <c r="AT28" s="106">
        <v>1</v>
      </c>
      <c r="AU28" s="91">
        <f t="shared" si="30"/>
        <v>3.018086666666666E-2</v>
      </c>
      <c r="AV28" s="92">
        <f t="shared" si="31"/>
        <v>3</v>
      </c>
      <c r="AW28" s="133">
        <v>19.061599999999999</v>
      </c>
      <c r="AX28" s="134">
        <f t="shared" si="32"/>
        <v>2.3826999999999998</v>
      </c>
      <c r="AY28" s="93">
        <v>40</v>
      </c>
      <c r="AZ28" s="106">
        <v>1</v>
      </c>
      <c r="BA28" s="91">
        <f t="shared" si="33"/>
        <v>5.9567499999999995E-2</v>
      </c>
      <c r="BB28" s="133">
        <v>20.967760000000002</v>
      </c>
      <c r="BC28" s="134">
        <f t="shared" si="34"/>
        <v>2.6209700000000002</v>
      </c>
      <c r="BD28" s="105">
        <v>130</v>
      </c>
      <c r="BE28" s="106">
        <v>1</v>
      </c>
      <c r="BF28" s="104">
        <f t="shared" si="35"/>
        <v>2.0161307692307694E-2</v>
      </c>
      <c r="BG28" s="89">
        <f t="shared" si="36"/>
        <v>2</v>
      </c>
      <c r="BH28" s="59"/>
      <c r="BI28" s="59"/>
      <c r="BJ28" s="94"/>
      <c r="BK28" s="95"/>
      <c r="BL28" s="96"/>
      <c r="BM28" s="133">
        <v>71.862231999999992</v>
      </c>
      <c r="BN28" s="134">
        <f t="shared" si="37"/>
        <v>8.982778999999999</v>
      </c>
      <c r="BO28" s="93">
        <v>35</v>
      </c>
      <c r="BP28" s="106">
        <v>1</v>
      </c>
      <c r="BQ28" s="104">
        <f t="shared" si="38"/>
        <v>0.25665082857142857</v>
      </c>
      <c r="BR28" s="133">
        <v>12.199423999999999</v>
      </c>
      <c r="BS28" s="134">
        <f t="shared" si="39"/>
        <v>1.5249279999999998</v>
      </c>
      <c r="BT28" s="97">
        <v>3.4</v>
      </c>
      <c r="BU28" s="106">
        <v>1</v>
      </c>
      <c r="BV28" s="91">
        <f t="shared" si="40"/>
        <v>0.4485082352941176</v>
      </c>
      <c r="BW28" s="133">
        <v>65.381287999999998</v>
      </c>
      <c r="BX28" s="134">
        <f t="shared" si="41"/>
        <v>8.1726609999999997</v>
      </c>
      <c r="BY28" s="105">
        <v>125</v>
      </c>
      <c r="BZ28" s="106">
        <v>1</v>
      </c>
      <c r="CA28" s="104">
        <f t="shared" si="42"/>
        <v>6.5381287999999996E-2</v>
      </c>
      <c r="CB28" s="89">
        <f t="shared" si="43"/>
        <v>3</v>
      </c>
      <c r="CC28" s="98">
        <f t="shared" si="44"/>
        <v>6</v>
      </c>
      <c r="CD28" s="139">
        <v>23.541075999999997</v>
      </c>
      <c r="CE28" s="134">
        <f t="shared" si="45"/>
        <v>2.9426344999999996</v>
      </c>
      <c r="CF28" s="105">
        <v>165</v>
      </c>
      <c r="CG28" s="106">
        <v>1</v>
      </c>
      <c r="CH28" s="91">
        <f t="shared" si="46"/>
        <v>1.7834148484848482E-2</v>
      </c>
      <c r="CI28" s="139">
        <v>31.928180000000001</v>
      </c>
      <c r="CJ28" s="134">
        <f t="shared" si="47"/>
        <v>3.9910225000000001</v>
      </c>
      <c r="CK28" s="105">
        <v>150</v>
      </c>
      <c r="CL28" s="106">
        <v>1</v>
      </c>
      <c r="CM28" s="91">
        <f t="shared" si="48"/>
        <v>2.6606816666666668E-2</v>
      </c>
      <c r="CN28" s="139">
        <v>194.42831999999999</v>
      </c>
      <c r="CO28" s="134">
        <f t="shared" si="49"/>
        <v>24.303539999999998</v>
      </c>
      <c r="CP28" s="93">
        <v>320</v>
      </c>
      <c r="CQ28" s="106">
        <v>1</v>
      </c>
      <c r="CR28" s="91">
        <f t="shared" si="50"/>
        <v>7.5948562499999997E-2</v>
      </c>
      <c r="CS28" s="133">
        <v>583.28495999999996</v>
      </c>
      <c r="CT28" s="134">
        <f t="shared" si="51"/>
        <v>72.910619999999994</v>
      </c>
      <c r="CU28" s="93">
        <v>8000</v>
      </c>
      <c r="CV28" s="106">
        <v>1</v>
      </c>
      <c r="CW28" s="91">
        <f t="shared" si="52"/>
        <v>9.1138274999999994E-3</v>
      </c>
      <c r="CX28" s="133">
        <v>388.85663999999997</v>
      </c>
      <c r="CY28" s="134">
        <f t="shared" si="53"/>
        <v>48.607079999999996</v>
      </c>
      <c r="CZ28" s="93">
        <v>300</v>
      </c>
      <c r="DA28" s="106">
        <v>1</v>
      </c>
      <c r="DB28" s="91">
        <f t="shared" si="54"/>
        <v>0.16202359999999999</v>
      </c>
      <c r="DC28" s="99">
        <f t="shared" si="55"/>
        <v>47.653999999999996</v>
      </c>
      <c r="DD28" s="134">
        <f t="shared" si="56"/>
        <v>5.9567499999999995</v>
      </c>
      <c r="DE28" s="100">
        <v>50</v>
      </c>
      <c r="DF28" s="106">
        <v>1</v>
      </c>
      <c r="DG28" s="91">
        <f t="shared" si="57"/>
        <v>0.11913499999999999</v>
      </c>
      <c r="DH28" s="101">
        <f t="shared" si="58"/>
        <v>0.5</v>
      </c>
      <c r="DI28" s="122">
        <f t="shared" si="61"/>
        <v>3</v>
      </c>
      <c r="DJ28" s="122">
        <f t="shared" si="62"/>
        <v>6</v>
      </c>
      <c r="DK28" s="122">
        <f t="shared" si="59"/>
        <v>0.5</v>
      </c>
      <c r="DL28" s="122">
        <f t="shared" si="12"/>
        <v>10</v>
      </c>
      <c r="DM28" s="47">
        <f t="shared" si="9"/>
        <v>8</v>
      </c>
      <c r="DN28" s="122">
        <f t="shared" si="60"/>
        <v>80</v>
      </c>
      <c r="DO28" s="157">
        <f t="shared" si="63"/>
        <v>81</v>
      </c>
      <c r="DP28" s="157"/>
      <c r="DQ28" s="86">
        <f t="shared" ref="DQ28:DQ55" si="64">DO28/19.2</f>
        <v>4.21875</v>
      </c>
      <c r="DS28" s="42"/>
      <c r="DT28" s="42"/>
      <c r="DU28" s="42"/>
      <c r="DV28" s="42"/>
    </row>
    <row r="29" spans="2:126" s="3" customFormat="1" ht="17.25" customHeight="1">
      <c r="B29" s="152">
        <v>18</v>
      </c>
      <c r="C29" s="145" t="s">
        <v>99</v>
      </c>
      <c r="D29" s="147" t="s">
        <v>100</v>
      </c>
      <c r="E29" s="147"/>
      <c r="F29" s="108"/>
      <c r="G29" s="108" t="s">
        <v>18</v>
      </c>
      <c r="H29" s="107">
        <v>160</v>
      </c>
      <c r="I29" s="138">
        <v>3665.777</v>
      </c>
      <c r="J29" s="138">
        <v>3710.41</v>
      </c>
      <c r="K29" s="87">
        <f t="shared" si="5"/>
        <v>44.632999999999811</v>
      </c>
      <c r="L29" s="87" t="s">
        <v>50</v>
      </c>
      <c r="M29" s="136">
        <v>10</v>
      </c>
      <c r="N29" s="115">
        <v>9</v>
      </c>
      <c r="O29" s="87">
        <f t="shared" si="6"/>
        <v>4.9592222222222011</v>
      </c>
      <c r="P29" s="90">
        <v>1</v>
      </c>
      <c r="Q29" s="139">
        <v>67.395829999999719</v>
      </c>
      <c r="R29" s="134">
        <f t="shared" si="18"/>
        <v>7.4884255555555246</v>
      </c>
      <c r="S29" s="88">
        <v>53.9</v>
      </c>
      <c r="T29" s="106">
        <v>1</v>
      </c>
      <c r="U29" s="90">
        <f t="shared" si="19"/>
        <v>0.13893182848897079</v>
      </c>
      <c r="V29" s="133">
        <v>246.37415999999894</v>
      </c>
      <c r="W29" s="134">
        <f t="shared" si="20"/>
        <v>27.374906666666547</v>
      </c>
      <c r="X29" s="127">
        <v>190</v>
      </c>
      <c r="Y29" s="106">
        <v>1</v>
      </c>
      <c r="Z29" s="90">
        <f t="shared" si="21"/>
        <v>0.14407845614035025</v>
      </c>
      <c r="AA29" s="141">
        <v>59.80821999999975</v>
      </c>
      <c r="AB29" s="134">
        <f t="shared" si="22"/>
        <v>6.6453577777777504</v>
      </c>
      <c r="AC29" s="105">
        <v>42</v>
      </c>
      <c r="AD29" s="106">
        <v>1</v>
      </c>
      <c r="AE29" s="90">
        <f t="shared" si="23"/>
        <v>0.45822280423280359</v>
      </c>
      <c r="AF29" s="133">
        <v>35.706399999999853</v>
      </c>
      <c r="AG29" s="134">
        <f t="shared" si="24"/>
        <v>3.9673777777777612</v>
      </c>
      <c r="AH29" s="105">
        <v>40</v>
      </c>
      <c r="AI29" s="106">
        <v>1</v>
      </c>
      <c r="AJ29" s="90">
        <f t="shared" si="25"/>
        <v>9.9184444444444034E-2</v>
      </c>
      <c r="AK29" s="141">
        <v>16.067879999999935</v>
      </c>
      <c r="AL29" s="134">
        <f t="shared" si="26"/>
        <v>1.7853199999999927</v>
      </c>
      <c r="AM29" s="105">
        <v>130</v>
      </c>
      <c r="AN29" s="106">
        <v>1</v>
      </c>
      <c r="AO29" s="104">
        <f t="shared" si="27"/>
        <v>1.3733230769230713E-2</v>
      </c>
      <c r="AP29" s="89">
        <f t="shared" si="28"/>
        <v>1</v>
      </c>
      <c r="AQ29" s="139">
        <v>50.881619999999778</v>
      </c>
      <c r="AR29" s="134">
        <f t="shared" si="29"/>
        <v>5.6535133333333087</v>
      </c>
      <c r="AS29" s="105">
        <v>225</v>
      </c>
      <c r="AT29" s="106">
        <v>1</v>
      </c>
      <c r="AU29" s="91">
        <f t="shared" si="30"/>
        <v>2.5126725925925818E-2</v>
      </c>
      <c r="AV29" s="92">
        <f t="shared" si="31"/>
        <v>3</v>
      </c>
      <c r="AW29" s="133">
        <v>17.853199999999926</v>
      </c>
      <c r="AX29" s="134">
        <f t="shared" si="32"/>
        <v>1.9836888888888806</v>
      </c>
      <c r="AY29" s="93">
        <v>40</v>
      </c>
      <c r="AZ29" s="106">
        <v>1</v>
      </c>
      <c r="BA29" s="91">
        <f t="shared" si="33"/>
        <v>4.9592222222222017E-2</v>
      </c>
      <c r="BB29" s="133">
        <v>19.638519999999918</v>
      </c>
      <c r="BC29" s="134">
        <f t="shared" si="34"/>
        <v>2.1820577777777688</v>
      </c>
      <c r="BD29" s="105">
        <v>130</v>
      </c>
      <c r="BE29" s="106">
        <v>1</v>
      </c>
      <c r="BF29" s="104">
        <f t="shared" si="35"/>
        <v>1.678505982905976E-2</v>
      </c>
      <c r="BG29" s="89">
        <f t="shared" si="36"/>
        <v>2</v>
      </c>
      <c r="BH29" s="59"/>
      <c r="BI29" s="59"/>
      <c r="BJ29" s="94"/>
      <c r="BK29" s="95"/>
      <c r="BL29" s="96"/>
      <c r="BM29" s="133">
        <v>67.30656399999971</v>
      </c>
      <c r="BN29" s="134">
        <f t="shared" si="37"/>
        <v>7.478507111111079</v>
      </c>
      <c r="BO29" s="93">
        <v>35</v>
      </c>
      <c r="BP29" s="106">
        <v>1</v>
      </c>
      <c r="BQ29" s="104">
        <f t="shared" si="38"/>
        <v>0.21367163174603082</v>
      </c>
      <c r="BR29" s="133">
        <v>11.426047999999952</v>
      </c>
      <c r="BS29" s="134">
        <f t="shared" si="39"/>
        <v>1.2695608888888836</v>
      </c>
      <c r="BT29" s="97">
        <v>3.4</v>
      </c>
      <c r="BU29" s="106">
        <v>1</v>
      </c>
      <c r="BV29" s="91">
        <f t="shared" si="40"/>
        <v>0.37340026143790694</v>
      </c>
      <c r="BW29" s="133">
        <v>61.236475999999747</v>
      </c>
      <c r="BX29" s="134">
        <f t="shared" si="41"/>
        <v>6.8040528888888607</v>
      </c>
      <c r="BY29" s="105">
        <v>125</v>
      </c>
      <c r="BZ29" s="106">
        <v>1</v>
      </c>
      <c r="CA29" s="104">
        <f t="shared" si="42"/>
        <v>5.4432423111110885E-2</v>
      </c>
      <c r="CB29" s="89">
        <f t="shared" si="43"/>
        <v>3</v>
      </c>
      <c r="CC29" s="98">
        <f t="shared" si="44"/>
        <v>6</v>
      </c>
      <c r="CD29" s="139">
        <v>22.048701999999906</v>
      </c>
      <c r="CE29" s="134">
        <f t="shared" si="45"/>
        <v>2.4498557777777674</v>
      </c>
      <c r="CF29" s="105">
        <v>165</v>
      </c>
      <c r="CG29" s="106">
        <v>1</v>
      </c>
      <c r="CH29" s="91">
        <f t="shared" si="46"/>
        <v>1.4847610774410712E-2</v>
      </c>
      <c r="CI29" s="139">
        <v>29.904109999999875</v>
      </c>
      <c r="CJ29" s="134">
        <f t="shared" si="47"/>
        <v>3.3226788888888752</v>
      </c>
      <c r="CK29" s="105">
        <v>150</v>
      </c>
      <c r="CL29" s="106">
        <v>1</v>
      </c>
      <c r="CM29" s="91">
        <f t="shared" si="48"/>
        <v>2.2151192592592503E-2</v>
      </c>
      <c r="CN29" s="139">
        <v>182.10263999999924</v>
      </c>
      <c r="CO29" s="134">
        <f t="shared" si="49"/>
        <v>20.233626666666581</v>
      </c>
      <c r="CP29" s="93">
        <v>320</v>
      </c>
      <c r="CQ29" s="106">
        <v>1</v>
      </c>
      <c r="CR29" s="91">
        <f t="shared" si="50"/>
        <v>6.3230083333333062E-2</v>
      </c>
      <c r="CS29" s="133">
        <v>546.30791999999769</v>
      </c>
      <c r="CT29" s="134">
        <f t="shared" si="51"/>
        <v>60.700879999999742</v>
      </c>
      <c r="CU29" s="93">
        <v>8000</v>
      </c>
      <c r="CV29" s="106">
        <v>1</v>
      </c>
      <c r="CW29" s="91">
        <f t="shared" si="52"/>
        <v>7.5876099999999677E-3</v>
      </c>
      <c r="CX29" s="133">
        <v>364.20527999999848</v>
      </c>
      <c r="CY29" s="134">
        <f t="shared" si="53"/>
        <v>40.467253333333161</v>
      </c>
      <c r="CZ29" s="93">
        <v>300</v>
      </c>
      <c r="DA29" s="106">
        <v>1</v>
      </c>
      <c r="DB29" s="91">
        <f t="shared" si="54"/>
        <v>0.13489084444444388</v>
      </c>
      <c r="DC29" s="99">
        <f t="shared" si="55"/>
        <v>44.632999999999811</v>
      </c>
      <c r="DD29" s="134">
        <f t="shared" si="56"/>
        <v>4.9592222222222011</v>
      </c>
      <c r="DE29" s="100">
        <v>50</v>
      </c>
      <c r="DF29" s="106">
        <v>1</v>
      </c>
      <c r="DG29" s="91">
        <f t="shared" si="57"/>
        <v>9.918444444444402E-2</v>
      </c>
      <c r="DH29" s="101">
        <f t="shared" si="58"/>
        <v>0.5</v>
      </c>
      <c r="DI29" s="122">
        <f t="shared" si="61"/>
        <v>3</v>
      </c>
      <c r="DJ29" s="122">
        <f t="shared" si="62"/>
        <v>6</v>
      </c>
      <c r="DK29" s="122">
        <f t="shared" si="59"/>
        <v>0.5</v>
      </c>
      <c r="DL29" s="122">
        <f t="shared" si="12"/>
        <v>10</v>
      </c>
      <c r="DM29" s="47">
        <f t="shared" si="9"/>
        <v>9</v>
      </c>
      <c r="DN29" s="122">
        <f t="shared" si="60"/>
        <v>90</v>
      </c>
      <c r="DO29" s="157">
        <f t="shared" si="63"/>
        <v>91</v>
      </c>
      <c r="DP29" s="157"/>
      <c r="DQ29" s="86">
        <f t="shared" si="64"/>
        <v>4.7395833333333339</v>
      </c>
      <c r="DS29" s="42"/>
      <c r="DT29" s="42"/>
      <c r="DU29" s="42"/>
      <c r="DV29" s="42"/>
    </row>
    <row r="30" spans="2:126" s="3" customFormat="1" ht="17.25" customHeight="1">
      <c r="B30" s="152">
        <v>19</v>
      </c>
      <c r="C30" s="145" t="s">
        <v>101</v>
      </c>
      <c r="D30" s="147" t="s">
        <v>102</v>
      </c>
      <c r="E30" s="147"/>
      <c r="F30" s="108"/>
      <c r="G30" s="108" t="s">
        <v>18</v>
      </c>
      <c r="H30" s="107">
        <v>255</v>
      </c>
      <c r="I30" s="138">
        <v>4037.498</v>
      </c>
      <c r="J30" s="138">
        <v>4099.8739999999998</v>
      </c>
      <c r="K30" s="87">
        <f t="shared" si="5"/>
        <v>62.375999999999749</v>
      </c>
      <c r="L30" s="87" t="s">
        <v>50</v>
      </c>
      <c r="M30" s="136">
        <v>9</v>
      </c>
      <c r="N30" s="113">
        <v>9</v>
      </c>
      <c r="O30" s="87">
        <f t="shared" si="6"/>
        <v>6.9306666666666388</v>
      </c>
      <c r="P30" s="90">
        <v>1</v>
      </c>
      <c r="Q30" s="139">
        <v>139.09847999999943</v>
      </c>
      <c r="R30" s="134">
        <f t="shared" si="18"/>
        <v>15.455386666666604</v>
      </c>
      <c r="S30" s="88">
        <v>53.9</v>
      </c>
      <c r="T30" s="106">
        <v>1</v>
      </c>
      <c r="U30" s="90">
        <f t="shared" si="19"/>
        <v>0.28674186765615223</v>
      </c>
      <c r="V30" s="133">
        <v>459.71111999999817</v>
      </c>
      <c r="W30" s="134">
        <f t="shared" si="20"/>
        <v>51.07901333333313</v>
      </c>
      <c r="X30" s="127">
        <v>190</v>
      </c>
      <c r="Y30" s="106">
        <v>1</v>
      </c>
      <c r="Z30" s="90">
        <f t="shared" si="21"/>
        <v>0.26883691228070067</v>
      </c>
      <c r="AA30" s="141">
        <v>83.583839999999668</v>
      </c>
      <c r="AB30" s="134">
        <f t="shared" si="22"/>
        <v>9.2870933333332957</v>
      </c>
      <c r="AC30" s="105">
        <v>42</v>
      </c>
      <c r="AD30" s="106">
        <v>1</v>
      </c>
      <c r="AE30" s="90">
        <f t="shared" si="23"/>
        <v>0.52112126984126894</v>
      </c>
      <c r="AF30" s="133">
        <v>49.900799999999805</v>
      </c>
      <c r="AG30" s="134">
        <f t="shared" si="24"/>
        <v>5.5445333333333116</v>
      </c>
      <c r="AH30" s="105">
        <v>40</v>
      </c>
      <c r="AI30" s="106">
        <v>1</v>
      </c>
      <c r="AJ30" s="90">
        <f t="shared" si="25"/>
        <v>0.13861333333333278</v>
      </c>
      <c r="AK30" s="141">
        <v>22.455359999999914</v>
      </c>
      <c r="AL30" s="134">
        <f t="shared" si="26"/>
        <v>2.4950399999999906</v>
      </c>
      <c r="AM30" s="105">
        <v>130</v>
      </c>
      <c r="AN30" s="106">
        <v>1</v>
      </c>
      <c r="AO30" s="104">
        <f t="shared" si="27"/>
        <v>1.9192615384615311E-2</v>
      </c>
      <c r="AP30" s="89">
        <f t="shared" si="28"/>
        <v>1</v>
      </c>
      <c r="AQ30" s="139">
        <v>118.51439999999951</v>
      </c>
      <c r="AR30" s="134">
        <f t="shared" si="29"/>
        <v>13.168266666666613</v>
      </c>
      <c r="AS30" s="105">
        <v>225</v>
      </c>
      <c r="AT30" s="106">
        <v>1</v>
      </c>
      <c r="AU30" s="91">
        <f t="shared" si="30"/>
        <v>5.8525629629629386E-2</v>
      </c>
      <c r="AV30" s="92">
        <f t="shared" si="31"/>
        <v>3.5</v>
      </c>
      <c r="AW30" s="133">
        <v>24.950399999999902</v>
      </c>
      <c r="AX30" s="134">
        <f t="shared" si="32"/>
        <v>2.7722666666666558</v>
      </c>
      <c r="AY30" s="93">
        <v>40</v>
      </c>
      <c r="AZ30" s="106">
        <v>1</v>
      </c>
      <c r="BA30" s="91">
        <f t="shared" si="33"/>
        <v>6.9306666666666392E-2</v>
      </c>
      <c r="BB30" s="133">
        <v>27.445439999999895</v>
      </c>
      <c r="BC30" s="134">
        <f t="shared" si="34"/>
        <v>3.0494933333333218</v>
      </c>
      <c r="BD30" s="105">
        <v>130</v>
      </c>
      <c r="BE30" s="106">
        <v>1</v>
      </c>
      <c r="BF30" s="104">
        <f t="shared" si="35"/>
        <v>2.3457641025640939E-2</v>
      </c>
      <c r="BG30" s="89">
        <f t="shared" si="36"/>
        <v>2</v>
      </c>
      <c r="BH30" s="59"/>
      <c r="BI30" s="59"/>
      <c r="BJ30" s="94"/>
      <c r="BK30" s="95"/>
      <c r="BL30" s="96"/>
      <c r="BM30" s="133">
        <v>94.063007999999627</v>
      </c>
      <c r="BN30" s="134">
        <f t="shared" si="37"/>
        <v>10.451445333333291</v>
      </c>
      <c r="BO30" s="93">
        <v>35</v>
      </c>
      <c r="BP30" s="106">
        <v>1</v>
      </c>
      <c r="BQ30" s="104">
        <f t="shared" si="38"/>
        <v>0.29861272380952258</v>
      </c>
      <c r="BR30" s="133">
        <v>15.968255999999936</v>
      </c>
      <c r="BS30" s="134">
        <f t="shared" si="39"/>
        <v>1.7742506666666595</v>
      </c>
      <c r="BT30" s="97">
        <v>3.4</v>
      </c>
      <c r="BU30" s="106">
        <v>1</v>
      </c>
      <c r="BV30" s="91">
        <f t="shared" si="40"/>
        <v>0.52183843137254693</v>
      </c>
      <c r="BW30" s="133">
        <v>85.579871999999668</v>
      </c>
      <c r="BX30" s="134">
        <f t="shared" si="41"/>
        <v>9.5088746666666299</v>
      </c>
      <c r="BY30" s="105">
        <v>125</v>
      </c>
      <c r="BZ30" s="106">
        <v>1</v>
      </c>
      <c r="CA30" s="104">
        <f t="shared" si="42"/>
        <v>7.6070997333333043E-2</v>
      </c>
      <c r="CB30" s="89">
        <f t="shared" si="43"/>
        <v>3</v>
      </c>
      <c r="CC30" s="98">
        <f t="shared" si="44"/>
        <v>6</v>
      </c>
      <c r="CD30" s="139">
        <v>58.508687999999758</v>
      </c>
      <c r="CE30" s="134">
        <f t="shared" si="45"/>
        <v>6.5009653333333066</v>
      </c>
      <c r="CF30" s="105">
        <v>165</v>
      </c>
      <c r="CG30" s="106">
        <v>1</v>
      </c>
      <c r="CH30" s="91">
        <f t="shared" si="46"/>
        <v>3.9399789898989734E-2</v>
      </c>
      <c r="CI30" s="139">
        <v>82.086815999999672</v>
      </c>
      <c r="CJ30" s="134">
        <f t="shared" si="47"/>
        <v>9.1207573333332963</v>
      </c>
      <c r="CK30" s="105">
        <v>150</v>
      </c>
      <c r="CL30" s="106">
        <v>1</v>
      </c>
      <c r="CM30" s="91">
        <f t="shared" si="48"/>
        <v>6.0805048888888644E-2</v>
      </c>
      <c r="CN30" s="139">
        <v>491.522879999998</v>
      </c>
      <c r="CO30" s="134">
        <f t="shared" si="49"/>
        <v>54.613653333333112</v>
      </c>
      <c r="CP30" s="93">
        <v>320</v>
      </c>
      <c r="CQ30" s="106">
        <v>1</v>
      </c>
      <c r="CR30" s="91">
        <f t="shared" si="50"/>
        <v>0.17066766666666597</v>
      </c>
      <c r="CS30" s="133">
        <v>1474.568639999994</v>
      </c>
      <c r="CT30" s="134">
        <f t="shared" si="51"/>
        <v>163.84095999999934</v>
      </c>
      <c r="CU30" s="93">
        <v>8000</v>
      </c>
      <c r="CV30" s="106">
        <v>1</v>
      </c>
      <c r="CW30" s="91">
        <f t="shared" si="52"/>
        <v>2.0480119999999918E-2</v>
      </c>
      <c r="CX30" s="133">
        <v>983.04575999999599</v>
      </c>
      <c r="CY30" s="134">
        <f t="shared" si="53"/>
        <v>109.22730666666622</v>
      </c>
      <c r="CZ30" s="93">
        <v>300</v>
      </c>
      <c r="DA30" s="106">
        <v>1</v>
      </c>
      <c r="DB30" s="91">
        <f t="shared" si="54"/>
        <v>0.36409102222222073</v>
      </c>
      <c r="DC30" s="99">
        <f t="shared" si="55"/>
        <v>62.375999999999749</v>
      </c>
      <c r="DD30" s="134">
        <f t="shared" si="56"/>
        <v>6.9306666666666388</v>
      </c>
      <c r="DE30" s="100">
        <v>50</v>
      </c>
      <c r="DF30" s="106">
        <v>1</v>
      </c>
      <c r="DG30" s="91">
        <f t="shared" si="57"/>
        <v>0.13861333333333278</v>
      </c>
      <c r="DH30" s="101">
        <f t="shared" si="58"/>
        <v>1</v>
      </c>
      <c r="DI30" s="122">
        <f t="shared" si="61"/>
        <v>3.5</v>
      </c>
      <c r="DJ30" s="122">
        <f t="shared" si="62"/>
        <v>6</v>
      </c>
      <c r="DK30" s="122">
        <f t="shared" si="59"/>
        <v>1</v>
      </c>
      <c r="DL30" s="122">
        <f t="shared" si="12"/>
        <v>11</v>
      </c>
      <c r="DM30" s="47">
        <f t="shared" si="9"/>
        <v>9</v>
      </c>
      <c r="DN30" s="122">
        <f t="shared" si="60"/>
        <v>99</v>
      </c>
      <c r="DO30" s="157">
        <f t="shared" si="63"/>
        <v>100</v>
      </c>
      <c r="DP30" s="157"/>
      <c r="DQ30" s="86">
        <f t="shared" si="64"/>
        <v>5.2083333333333339</v>
      </c>
      <c r="DS30" s="42"/>
      <c r="DT30" s="42"/>
      <c r="DU30" s="42"/>
      <c r="DV30" s="42"/>
    </row>
    <row r="31" spans="2:126" s="3" customFormat="1" ht="17.25" customHeight="1">
      <c r="B31" s="152">
        <v>20</v>
      </c>
      <c r="C31" s="145" t="s">
        <v>103</v>
      </c>
      <c r="D31" s="147" t="s">
        <v>104</v>
      </c>
      <c r="E31" s="147"/>
      <c r="F31" s="108"/>
      <c r="G31" s="108" t="s">
        <v>18</v>
      </c>
      <c r="H31" s="107">
        <v>255</v>
      </c>
      <c r="I31" s="138">
        <v>4472.21</v>
      </c>
      <c r="J31" s="138">
        <v>4539.4369999999999</v>
      </c>
      <c r="K31" s="87">
        <f t="shared" si="5"/>
        <v>67.226999999999862</v>
      </c>
      <c r="L31" s="87" t="s">
        <v>50</v>
      </c>
      <c r="M31" s="136">
        <v>14</v>
      </c>
      <c r="N31" s="115">
        <v>11</v>
      </c>
      <c r="O31" s="87">
        <f t="shared" si="6"/>
        <v>6.1115454545454417</v>
      </c>
      <c r="P31" s="90">
        <v>1</v>
      </c>
      <c r="Q31" s="139">
        <v>101.51276999999979</v>
      </c>
      <c r="R31" s="134">
        <f t="shared" si="18"/>
        <v>9.2284336363636168</v>
      </c>
      <c r="S31" s="88">
        <v>53.9</v>
      </c>
      <c r="T31" s="106">
        <v>1</v>
      </c>
      <c r="U31" s="90">
        <f t="shared" si="19"/>
        <v>0.17121398212177397</v>
      </c>
      <c r="V31" s="133">
        <v>371.09303999999923</v>
      </c>
      <c r="W31" s="134">
        <f t="shared" si="20"/>
        <v>33.73573090909084</v>
      </c>
      <c r="X31" s="127">
        <v>190</v>
      </c>
      <c r="Y31" s="106">
        <v>1</v>
      </c>
      <c r="Z31" s="90">
        <f t="shared" si="21"/>
        <v>0.17755647846889916</v>
      </c>
      <c r="AA31" s="141">
        <v>90.084179999999819</v>
      </c>
      <c r="AB31" s="134">
        <f t="shared" si="22"/>
        <v>8.1894709090908933</v>
      </c>
      <c r="AC31" s="105">
        <v>42</v>
      </c>
      <c r="AD31" s="106">
        <v>1</v>
      </c>
      <c r="AE31" s="90">
        <f t="shared" si="23"/>
        <v>0.4949874025974022</v>
      </c>
      <c r="AF31" s="133">
        <v>53.781599999999891</v>
      </c>
      <c r="AG31" s="134">
        <f t="shared" si="24"/>
        <v>4.8892363636363534</v>
      </c>
      <c r="AH31" s="105">
        <v>40</v>
      </c>
      <c r="AI31" s="106">
        <v>1</v>
      </c>
      <c r="AJ31" s="90">
        <f t="shared" si="25"/>
        <v>0.12223090909090883</v>
      </c>
      <c r="AK31" s="141">
        <v>24.201719999999952</v>
      </c>
      <c r="AL31" s="134">
        <f t="shared" si="26"/>
        <v>2.2001563636363595</v>
      </c>
      <c r="AM31" s="105">
        <v>130</v>
      </c>
      <c r="AN31" s="106">
        <v>1</v>
      </c>
      <c r="AO31" s="104">
        <f t="shared" si="27"/>
        <v>1.6924279720279687E-2</v>
      </c>
      <c r="AP31" s="89">
        <f t="shared" si="28"/>
        <v>1</v>
      </c>
      <c r="AQ31" s="139">
        <v>76.638779999999841</v>
      </c>
      <c r="AR31" s="134">
        <f t="shared" si="29"/>
        <v>6.967161818181804</v>
      </c>
      <c r="AS31" s="105">
        <v>225</v>
      </c>
      <c r="AT31" s="106">
        <v>1</v>
      </c>
      <c r="AU31" s="91">
        <f t="shared" si="30"/>
        <v>3.0965163636363573E-2</v>
      </c>
      <c r="AV31" s="92">
        <f t="shared" si="31"/>
        <v>3.5</v>
      </c>
      <c r="AW31" s="133">
        <v>26.890799999999945</v>
      </c>
      <c r="AX31" s="134">
        <f t="shared" si="32"/>
        <v>2.4446181818181767</v>
      </c>
      <c r="AY31" s="93">
        <v>40</v>
      </c>
      <c r="AZ31" s="106">
        <v>1</v>
      </c>
      <c r="BA31" s="91">
        <f t="shared" si="33"/>
        <v>6.1115454545454417E-2</v>
      </c>
      <c r="BB31" s="133">
        <v>29.579879999999942</v>
      </c>
      <c r="BC31" s="134">
        <f t="shared" si="34"/>
        <v>2.6890799999999948</v>
      </c>
      <c r="BD31" s="105">
        <v>130</v>
      </c>
      <c r="BE31" s="106">
        <v>1</v>
      </c>
      <c r="BF31" s="104">
        <f t="shared" si="35"/>
        <v>2.068523076923073E-2</v>
      </c>
      <c r="BG31" s="89">
        <f t="shared" si="36"/>
        <v>2</v>
      </c>
      <c r="BH31" s="59"/>
      <c r="BI31" s="59"/>
      <c r="BJ31" s="94"/>
      <c r="BK31" s="95"/>
      <c r="BL31" s="96"/>
      <c r="BM31" s="133">
        <v>101.37831599999978</v>
      </c>
      <c r="BN31" s="134">
        <f t="shared" si="37"/>
        <v>9.2162105454545262</v>
      </c>
      <c r="BO31" s="93">
        <v>35</v>
      </c>
      <c r="BP31" s="106">
        <v>1</v>
      </c>
      <c r="BQ31" s="104">
        <f t="shared" si="38"/>
        <v>0.26332030129870077</v>
      </c>
      <c r="BR31" s="133">
        <v>17.210111999999963</v>
      </c>
      <c r="BS31" s="134">
        <f t="shared" si="39"/>
        <v>1.564555636363633</v>
      </c>
      <c r="BT31" s="97">
        <v>3.4</v>
      </c>
      <c r="BU31" s="106">
        <v>1</v>
      </c>
      <c r="BV31" s="91">
        <f t="shared" si="40"/>
        <v>0.46016342245989206</v>
      </c>
      <c r="BW31" s="133">
        <v>92.235443999999816</v>
      </c>
      <c r="BX31" s="134">
        <f t="shared" si="41"/>
        <v>8.3850403636363477</v>
      </c>
      <c r="BY31" s="105">
        <v>125</v>
      </c>
      <c r="BZ31" s="106">
        <v>1</v>
      </c>
      <c r="CA31" s="104">
        <f t="shared" si="42"/>
        <v>6.7080322909090787E-2</v>
      </c>
      <c r="CB31" s="89">
        <f t="shared" si="43"/>
        <v>3</v>
      </c>
      <c r="CC31" s="98">
        <f t="shared" si="44"/>
        <v>6</v>
      </c>
      <c r="CD31" s="139">
        <v>33.21013799999993</v>
      </c>
      <c r="CE31" s="134">
        <f t="shared" si="45"/>
        <v>3.0191034545454483</v>
      </c>
      <c r="CF31" s="105">
        <v>165</v>
      </c>
      <c r="CG31" s="106">
        <v>1</v>
      </c>
      <c r="CH31" s="91">
        <f t="shared" si="46"/>
        <v>1.8297596694214838E-2</v>
      </c>
      <c r="CI31" s="139">
        <v>45.042089999999909</v>
      </c>
      <c r="CJ31" s="134">
        <f t="shared" si="47"/>
        <v>4.0947354545454466</v>
      </c>
      <c r="CK31" s="105">
        <v>150</v>
      </c>
      <c r="CL31" s="106">
        <v>1</v>
      </c>
      <c r="CM31" s="91">
        <f t="shared" si="48"/>
        <v>2.7298236363636312E-2</v>
      </c>
      <c r="CN31" s="139">
        <v>274.28615999999943</v>
      </c>
      <c r="CO31" s="134">
        <f t="shared" si="49"/>
        <v>24.935105454545404</v>
      </c>
      <c r="CP31" s="93">
        <v>320</v>
      </c>
      <c r="CQ31" s="106">
        <v>1</v>
      </c>
      <c r="CR31" s="91">
        <f t="shared" si="50"/>
        <v>7.7922204545454385E-2</v>
      </c>
      <c r="CS31" s="133">
        <v>822.85847999999828</v>
      </c>
      <c r="CT31" s="134">
        <f t="shared" si="51"/>
        <v>74.805316363636209</v>
      </c>
      <c r="CU31" s="93">
        <v>8000</v>
      </c>
      <c r="CV31" s="106">
        <v>1</v>
      </c>
      <c r="CW31" s="91">
        <f t="shared" si="52"/>
        <v>9.3506645454545269E-3</v>
      </c>
      <c r="CX31" s="133">
        <v>548.57231999999885</v>
      </c>
      <c r="CY31" s="134">
        <f t="shared" si="53"/>
        <v>49.870210909090808</v>
      </c>
      <c r="CZ31" s="93">
        <v>300</v>
      </c>
      <c r="DA31" s="106">
        <v>1</v>
      </c>
      <c r="DB31" s="91">
        <f t="shared" si="54"/>
        <v>0.16623403636363604</v>
      </c>
      <c r="DC31" s="99">
        <f t="shared" si="55"/>
        <v>67.226999999999862</v>
      </c>
      <c r="DD31" s="134">
        <f t="shared" si="56"/>
        <v>6.1115454545454417</v>
      </c>
      <c r="DE31" s="100">
        <v>50</v>
      </c>
      <c r="DF31" s="106">
        <v>1</v>
      </c>
      <c r="DG31" s="91">
        <f t="shared" si="57"/>
        <v>0.12223090909090883</v>
      </c>
      <c r="DH31" s="101">
        <f t="shared" si="58"/>
        <v>0.5</v>
      </c>
      <c r="DI31" s="122">
        <f t="shared" si="61"/>
        <v>3.5</v>
      </c>
      <c r="DJ31" s="122">
        <f t="shared" si="62"/>
        <v>6</v>
      </c>
      <c r="DK31" s="122">
        <f t="shared" si="59"/>
        <v>0.5</v>
      </c>
      <c r="DL31" s="122">
        <f t="shared" si="12"/>
        <v>10</v>
      </c>
      <c r="DM31" s="47">
        <f t="shared" si="9"/>
        <v>11</v>
      </c>
      <c r="DN31" s="122">
        <f t="shared" si="60"/>
        <v>110</v>
      </c>
      <c r="DO31" s="157">
        <f t="shared" si="63"/>
        <v>111</v>
      </c>
      <c r="DP31" s="157"/>
      <c r="DQ31" s="86">
        <f t="shared" si="64"/>
        <v>5.78125</v>
      </c>
      <c r="DS31" s="42"/>
      <c r="DT31" s="85">
        <f>SUM(DO22:DP31)/19.2</f>
        <v>36.979166666666671</v>
      </c>
      <c r="DU31" s="42"/>
      <c r="DV31" s="42"/>
    </row>
    <row r="32" spans="2:126" s="3" customFormat="1" ht="17.25" customHeight="1">
      <c r="B32" s="152">
        <v>21</v>
      </c>
      <c r="C32" s="120" t="s">
        <v>162</v>
      </c>
      <c r="D32" s="147" t="s">
        <v>105</v>
      </c>
      <c r="E32" s="147"/>
      <c r="F32" s="119" t="s">
        <v>161</v>
      </c>
      <c r="G32" s="108" t="s">
        <v>18</v>
      </c>
      <c r="H32" s="107">
        <v>255</v>
      </c>
      <c r="I32" s="138">
        <v>4872.6149999999998</v>
      </c>
      <c r="J32" s="138">
        <v>4920.8149999999996</v>
      </c>
      <c r="K32" s="87">
        <f t="shared" si="5"/>
        <v>48.199999999999818</v>
      </c>
      <c r="L32" s="87" t="s">
        <v>50</v>
      </c>
      <c r="M32" s="102">
        <v>9</v>
      </c>
      <c r="N32" s="113">
        <v>9</v>
      </c>
      <c r="O32" s="87">
        <f t="shared" si="6"/>
        <v>5.3555555555555356</v>
      </c>
      <c r="P32" s="90">
        <v>1</v>
      </c>
      <c r="Q32" s="103">
        <v>107.2736000000002</v>
      </c>
      <c r="R32" s="134">
        <f t="shared" si="18"/>
        <v>11.919288888888911</v>
      </c>
      <c r="S32" s="88">
        <v>53.9</v>
      </c>
      <c r="T32" s="106">
        <v>1</v>
      </c>
      <c r="U32" s="90">
        <f t="shared" si="19"/>
        <v>0.22113708513708555</v>
      </c>
      <c r="V32" s="103">
        <v>354.68825000000021</v>
      </c>
      <c r="W32" s="134">
        <f t="shared" si="20"/>
        <v>39.409805555555579</v>
      </c>
      <c r="X32" s="127">
        <v>190</v>
      </c>
      <c r="Y32" s="106">
        <v>1</v>
      </c>
      <c r="Z32" s="90">
        <f t="shared" si="21"/>
        <v>0.20742002923976621</v>
      </c>
      <c r="AA32" s="103">
        <v>64.587999999999766</v>
      </c>
      <c r="AB32" s="134">
        <f t="shared" si="22"/>
        <v>7.1764444444444182</v>
      </c>
      <c r="AC32" s="105">
        <v>42</v>
      </c>
      <c r="AD32" s="106">
        <v>1</v>
      </c>
      <c r="AE32" s="90">
        <f t="shared" si="23"/>
        <v>0.47086772486772421</v>
      </c>
      <c r="AF32" s="103">
        <v>38.559999999999853</v>
      </c>
      <c r="AG32" s="134">
        <f t="shared" si="24"/>
        <v>4.2844444444444285</v>
      </c>
      <c r="AH32" s="105">
        <v>40</v>
      </c>
      <c r="AI32" s="106">
        <v>1</v>
      </c>
      <c r="AJ32" s="90">
        <f t="shared" si="25"/>
        <v>0.10711111111111071</v>
      </c>
      <c r="AK32" s="103">
        <v>17.351999999999936</v>
      </c>
      <c r="AL32" s="134">
        <f t="shared" si="26"/>
        <v>1.9279999999999928</v>
      </c>
      <c r="AM32" s="105">
        <v>130</v>
      </c>
      <c r="AN32" s="106">
        <v>1</v>
      </c>
      <c r="AO32" s="104">
        <f t="shared" si="27"/>
        <v>1.4830769230769175E-2</v>
      </c>
      <c r="AP32" s="89">
        <f t="shared" si="28"/>
        <v>1</v>
      </c>
      <c r="AQ32" s="103">
        <v>91.355800000000286</v>
      </c>
      <c r="AR32" s="134">
        <f t="shared" si="29"/>
        <v>10.150644444444476</v>
      </c>
      <c r="AS32" s="105">
        <v>225</v>
      </c>
      <c r="AT32" s="106">
        <v>1</v>
      </c>
      <c r="AU32" s="91">
        <f t="shared" si="30"/>
        <v>4.5113975308642112E-2</v>
      </c>
      <c r="AV32" s="92">
        <f t="shared" si="31"/>
        <v>3.5</v>
      </c>
      <c r="AW32" s="103">
        <v>19.279999999999927</v>
      </c>
      <c r="AX32" s="134">
        <f t="shared" si="32"/>
        <v>2.1422222222222143</v>
      </c>
      <c r="AY32" s="93">
        <v>40</v>
      </c>
      <c r="AZ32" s="106">
        <v>1</v>
      </c>
      <c r="BA32" s="91">
        <f t="shared" si="33"/>
        <v>5.3555555555555356E-2</v>
      </c>
      <c r="BB32" s="103">
        <v>21.207999999999924</v>
      </c>
      <c r="BC32" s="134">
        <f t="shared" si="34"/>
        <v>2.3564444444444361</v>
      </c>
      <c r="BD32" s="105">
        <v>130</v>
      </c>
      <c r="BE32" s="106">
        <v>1</v>
      </c>
      <c r="BF32" s="104">
        <f t="shared" si="35"/>
        <v>1.8126495726495662E-2</v>
      </c>
      <c r="BG32" s="89">
        <f t="shared" si="36"/>
        <v>2</v>
      </c>
      <c r="BH32" s="59"/>
      <c r="BI32" s="59"/>
      <c r="BJ32" s="94"/>
      <c r="BK32" s="95"/>
      <c r="BL32" s="96"/>
      <c r="BM32" s="103">
        <v>72.685599999999724</v>
      </c>
      <c r="BN32" s="134">
        <f t="shared" si="37"/>
        <v>8.0761777777777475</v>
      </c>
      <c r="BO32" s="93">
        <v>35</v>
      </c>
      <c r="BP32" s="106">
        <v>1</v>
      </c>
      <c r="BQ32" s="104">
        <f t="shared" si="38"/>
        <v>0.23074793650793565</v>
      </c>
      <c r="BR32" s="103">
        <v>12.339199999999954</v>
      </c>
      <c r="BS32" s="134">
        <f t="shared" si="39"/>
        <v>1.371022222222217</v>
      </c>
      <c r="BT32" s="97">
        <v>3.4</v>
      </c>
      <c r="BU32" s="106">
        <v>1</v>
      </c>
      <c r="BV32" s="91">
        <f t="shared" si="40"/>
        <v>0.40324183006535796</v>
      </c>
      <c r="BW32" s="103">
        <v>66.130399999999753</v>
      </c>
      <c r="BX32" s="134">
        <f t="shared" si="41"/>
        <v>7.3478222222221952</v>
      </c>
      <c r="BY32" s="105">
        <v>125</v>
      </c>
      <c r="BZ32" s="106">
        <v>1</v>
      </c>
      <c r="CA32" s="104">
        <f t="shared" si="42"/>
        <v>5.878257777777756E-2</v>
      </c>
      <c r="CB32" s="89">
        <f t="shared" si="43"/>
        <v>3</v>
      </c>
      <c r="CC32" s="98">
        <f t="shared" si="44"/>
        <v>6</v>
      </c>
      <c r="CD32" s="103">
        <v>45.080620000000202</v>
      </c>
      <c r="CE32" s="134">
        <f t="shared" si="45"/>
        <v>5.0089577777778</v>
      </c>
      <c r="CF32" s="105">
        <v>165</v>
      </c>
      <c r="CG32" s="106">
        <v>1</v>
      </c>
      <c r="CH32" s="91">
        <f t="shared" si="46"/>
        <v>3.035731986532E-2</v>
      </c>
      <c r="CI32" s="103">
        <v>63.240630000000309</v>
      </c>
      <c r="CJ32" s="134">
        <f t="shared" si="47"/>
        <v>7.026736666666701</v>
      </c>
      <c r="CK32" s="105">
        <v>150</v>
      </c>
      <c r="CL32" s="106">
        <v>1</v>
      </c>
      <c r="CM32" s="91">
        <f t="shared" si="48"/>
        <v>4.6844911111111338E-2</v>
      </c>
      <c r="CN32" s="103">
        <v>378.69500000000176</v>
      </c>
      <c r="CO32" s="134">
        <f t="shared" si="49"/>
        <v>42.077222222222417</v>
      </c>
      <c r="CP32" s="93">
        <v>320</v>
      </c>
      <c r="CQ32" s="106">
        <v>1</v>
      </c>
      <c r="CR32" s="91">
        <f t="shared" si="50"/>
        <v>0.13149131944444506</v>
      </c>
      <c r="CS32" s="103">
        <v>1136.0850000000053</v>
      </c>
      <c r="CT32" s="134">
        <f t="shared" si="51"/>
        <v>126.23166666666725</v>
      </c>
      <c r="CU32" s="93">
        <v>8000</v>
      </c>
      <c r="CV32" s="106">
        <v>1</v>
      </c>
      <c r="CW32" s="91">
        <f t="shared" si="52"/>
        <v>1.5778958333333405E-2</v>
      </c>
      <c r="CX32" s="103">
        <v>757.39000000000351</v>
      </c>
      <c r="CY32" s="134">
        <f t="shared" si="53"/>
        <v>84.154444444444835</v>
      </c>
      <c r="CZ32" s="93">
        <v>300</v>
      </c>
      <c r="DA32" s="106">
        <v>1</v>
      </c>
      <c r="DB32" s="91">
        <f t="shared" si="54"/>
        <v>0.2805148148148161</v>
      </c>
      <c r="DC32" s="99">
        <f t="shared" si="55"/>
        <v>48.199999999999818</v>
      </c>
      <c r="DD32" s="134">
        <f t="shared" si="56"/>
        <v>5.3555555555555356</v>
      </c>
      <c r="DE32" s="100">
        <v>50</v>
      </c>
      <c r="DF32" s="106">
        <v>1</v>
      </c>
      <c r="DG32" s="91">
        <f t="shared" si="57"/>
        <v>0.10711111111111071</v>
      </c>
      <c r="DH32" s="101">
        <f t="shared" si="58"/>
        <v>1</v>
      </c>
      <c r="DI32" s="122">
        <f t="shared" si="61"/>
        <v>3.5</v>
      </c>
      <c r="DJ32" s="122">
        <f t="shared" si="62"/>
        <v>6</v>
      </c>
      <c r="DK32" s="122">
        <f t="shared" si="59"/>
        <v>1</v>
      </c>
      <c r="DL32" s="122">
        <f t="shared" si="12"/>
        <v>11</v>
      </c>
      <c r="DM32" s="47">
        <f t="shared" si="9"/>
        <v>9</v>
      </c>
      <c r="DN32" s="122">
        <f t="shared" si="60"/>
        <v>99</v>
      </c>
      <c r="DO32" s="157">
        <f t="shared" si="63"/>
        <v>100</v>
      </c>
      <c r="DP32" s="157"/>
      <c r="DQ32" s="86">
        <f t="shared" si="64"/>
        <v>5.2083333333333339</v>
      </c>
      <c r="DS32" s="42"/>
      <c r="DT32" s="42"/>
      <c r="DU32" s="42"/>
      <c r="DV32" s="42"/>
    </row>
    <row r="33" spans="2:126" s="3" customFormat="1" ht="17.25" customHeight="1">
      <c r="B33" s="151">
        <v>22</v>
      </c>
      <c r="C33" s="142" t="s">
        <v>106</v>
      </c>
      <c r="D33" s="147" t="s">
        <v>107</v>
      </c>
      <c r="E33" s="147"/>
      <c r="F33" s="108" t="s">
        <v>121</v>
      </c>
      <c r="G33" s="108" t="s">
        <v>18</v>
      </c>
      <c r="H33" s="107">
        <v>255</v>
      </c>
      <c r="I33" s="138">
        <v>5124.5659999999998</v>
      </c>
      <c r="J33" s="138">
        <v>5156.6170000000002</v>
      </c>
      <c r="K33" s="87">
        <f t="shared" si="5"/>
        <v>32.051000000000386</v>
      </c>
      <c r="L33" s="87" t="s">
        <v>50</v>
      </c>
      <c r="M33" s="136">
        <v>9</v>
      </c>
      <c r="N33" s="113">
        <v>9</v>
      </c>
      <c r="O33" s="87">
        <f t="shared" si="6"/>
        <v>3.5612222222222649</v>
      </c>
      <c r="P33" s="90">
        <v>1</v>
      </c>
      <c r="Q33" s="139">
        <v>48.397010000000584</v>
      </c>
      <c r="R33" s="134">
        <f t="shared" si="18"/>
        <v>5.3774455555556209</v>
      </c>
      <c r="S33" s="88">
        <v>53.9</v>
      </c>
      <c r="T33" s="106">
        <v>1</v>
      </c>
      <c r="U33" s="90">
        <f t="shared" si="19"/>
        <v>9.976707895279445E-2</v>
      </c>
      <c r="V33" s="133">
        <v>176.92152000000215</v>
      </c>
      <c r="W33" s="134">
        <f t="shared" si="20"/>
        <v>19.657946666666906</v>
      </c>
      <c r="X33" s="127">
        <v>190</v>
      </c>
      <c r="Y33" s="106">
        <v>1</v>
      </c>
      <c r="Z33" s="90">
        <f t="shared" si="21"/>
        <v>0.10346287719298371</v>
      </c>
      <c r="AA33" s="141">
        <v>42.94834000000052</v>
      </c>
      <c r="AB33" s="134">
        <f t="shared" si="22"/>
        <v>4.772037777777836</v>
      </c>
      <c r="AC33" s="105">
        <v>42</v>
      </c>
      <c r="AD33" s="106">
        <v>1</v>
      </c>
      <c r="AE33" s="90">
        <f t="shared" si="23"/>
        <v>0.41361994708994848</v>
      </c>
      <c r="AF33" s="133">
        <v>25.640800000000311</v>
      </c>
      <c r="AG33" s="134">
        <f t="shared" si="24"/>
        <v>2.8489777777778125</v>
      </c>
      <c r="AH33" s="105">
        <v>40</v>
      </c>
      <c r="AI33" s="106">
        <v>1</v>
      </c>
      <c r="AJ33" s="90">
        <f t="shared" si="25"/>
        <v>7.1224444444445312E-2</v>
      </c>
      <c r="AK33" s="141">
        <v>11.538360000000139</v>
      </c>
      <c r="AL33" s="134">
        <f t="shared" si="26"/>
        <v>1.2820400000000154</v>
      </c>
      <c r="AM33" s="105">
        <v>130</v>
      </c>
      <c r="AN33" s="106">
        <v>1</v>
      </c>
      <c r="AO33" s="104">
        <f t="shared" si="27"/>
        <v>9.861846153846273E-3</v>
      </c>
      <c r="AP33" s="89">
        <f t="shared" si="28"/>
        <v>1</v>
      </c>
      <c r="AQ33" s="139">
        <v>36.538140000000439</v>
      </c>
      <c r="AR33" s="134">
        <f t="shared" si="29"/>
        <v>4.0597933333333822</v>
      </c>
      <c r="AS33" s="105">
        <v>225</v>
      </c>
      <c r="AT33" s="106">
        <v>1</v>
      </c>
      <c r="AU33" s="91">
        <f t="shared" si="30"/>
        <v>1.8043525925926143E-2</v>
      </c>
      <c r="AV33" s="92">
        <f t="shared" si="31"/>
        <v>3</v>
      </c>
      <c r="AW33" s="133">
        <v>12.820400000000156</v>
      </c>
      <c r="AX33" s="134">
        <f t="shared" si="32"/>
        <v>1.4244888888889062</v>
      </c>
      <c r="AY33" s="93">
        <v>40</v>
      </c>
      <c r="AZ33" s="106">
        <v>1</v>
      </c>
      <c r="BA33" s="91">
        <f t="shared" si="33"/>
        <v>3.5612222222222656E-2</v>
      </c>
      <c r="BB33" s="133">
        <v>14.102440000000172</v>
      </c>
      <c r="BC33" s="134">
        <f t="shared" si="34"/>
        <v>1.5669377777777969</v>
      </c>
      <c r="BD33" s="105">
        <v>130</v>
      </c>
      <c r="BE33" s="106">
        <v>1</v>
      </c>
      <c r="BF33" s="104">
        <f t="shared" si="35"/>
        <v>1.2053367521367668E-2</v>
      </c>
      <c r="BG33" s="89">
        <f t="shared" si="36"/>
        <v>2</v>
      </c>
      <c r="BH33" s="59"/>
      <c r="BI33" s="59"/>
      <c r="BJ33" s="94"/>
      <c r="BK33" s="95"/>
      <c r="BL33" s="96"/>
      <c r="BM33" s="133">
        <v>48.332908000000579</v>
      </c>
      <c r="BN33" s="134">
        <f t="shared" si="37"/>
        <v>5.3703231111111753</v>
      </c>
      <c r="BO33" s="93">
        <v>35</v>
      </c>
      <c r="BP33" s="106">
        <v>1</v>
      </c>
      <c r="BQ33" s="104">
        <f t="shared" si="38"/>
        <v>0.15343780317460501</v>
      </c>
      <c r="BR33" s="133">
        <v>8.2050560000000985</v>
      </c>
      <c r="BS33" s="134">
        <f t="shared" si="39"/>
        <v>0.91167288888889986</v>
      </c>
      <c r="BT33" s="97">
        <v>3.4</v>
      </c>
      <c r="BU33" s="106">
        <v>1</v>
      </c>
      <c r="BV33" s="91">
        <f t="shared" si="40"/>
        <v>0.26813908496732347</v>
      </c>
      <c r="BW33" s="133">
        <v>43.973972000000529</v>
      </c>
      <c r="BX33" s="134">
        <f t="shared" si="41"/>
        <v>4.8859968888889478</v>
      </c>
      <c r="BY33" s="105">
        <v>125</v>
      </c>
      <c r="BZ33" s="106">
        <v>1</v>
      </c>
      <c r="CA33" s="104">
        <f t="shared" si="42"/>
        <v>3.9087975111111582E-2</v>
      </c>
      <c r="CB33" s="89">
        <f t="shared" si="43"/>
        <v>3</v>
      </c>
      <c r="CC33" s="98">
        <f t="shared" si="44"/>
        <v>6</v>
      </c>
      <c r="CD33" s="139">
        <v>15.833194000000191</v>
      </c>
      <c r="CE33" s="134">
        <f t="shared" si="45"/>
        <v>1.7592437777777989</v>
      </c>
      <c r="CF33" s="105">
        <v>165</v>
      </c>
      <c r="CG33" s="106">
        <v>1</v>
      </c>
      <c r="CH33" s="91">
        <f t="shared" si="46"/>
        <v>1.066208350168363E-2</v>
      </c>
      <c r="CI33" s="139">
        <v>21.47417000000026</v>
      </c>
      <c r="CJ33" s="134">
        <f t="shared" si="47"/>
        <v>2.386018888888918</v>
      </c>
      <c r="CK33" s="105">
        <v>150</v>
      </c>
      <c r="CL33" s="106">
        <v>1</v>
      </c>
      <c r="CM33" s="91">
        <f t="shared" si="48"/>
        <v>1.5906792592592787E-2</v>
      </c>
      <c r="CN33" s="139">
        <v>130.76808000000159</v>
      </c>
      <c r="CO33" s="134">
        <f t="shared" si="49"/>
        <v>14.529786666666844</v>
      </c>
      <c r="CP33" s="93">
        <v>320</v>
      </c>
      <c r="CQ33" s="106">
        <v>1</v>
      </c>
      <c r="CR33" s="91">
        <f t="shared" si="50"/>
        <v>4.5405583333333888E-2</v>
      </c>
      <c r="CS33" s="133">
        <v>392.30424000000477</v>
      </c>
      <c r="CT33" s="134">
        <f t="shared" si="51"/>
        <v>43.589360000000532</v>
      </c>
      <c r="CU33" s="93">
        <v>8000</v>
      </c>
      <c r="CV33" s="106">
        <v>1</v>
      </c>
      <c r="CW33" s="91">
        <f t="shared" si="52"/>
        <v>5.4486700000000669E-3</v>
      </c>
      <c r="CX33" s="133">
        <v>261.53616000000318</v>
      </c>
      <c r="CY33" s="134">
        <f t="shared" si="53"/>
        <v>29.059573333333688</v>
      </c>
      <c r="CZ33" s="93">
        <v>300</v>
      </c>
      <c r="DA33" s="106">
        <v>1</v>
      </c>
      <c r="DB33" s="91">
        <f t="shared" si="54"/>
        <v>9.6865244444445622E-2</v>
      </c>
      <c r="DC33" s="99">
        <f t="shared" si="55"/>
        <v>32.051000000000386</v>
      </c>
      <c r="DD33" s="134">
        <f t="shared" si="56"/>
        <v>3.5612222222222649</v>
      </c>
      <c r="DE33" s="100">
        <v>50</v>
      </c>
      <c r="DF33" s="106">
        <v>1</v>
      </c>
      <c r="DG33" s="91">
        <f t="shared" si="57"/>
        <v>7.1224444444445298E-2</v>
      </c>
      <c r="DH33" s="101">
        <f t="shared" si="58"/>
        <v>0.5</v>
      </c>
      <c r="DI33" s="122">
        <f t="shared" si="61"/>
        <v>3</v>
      </c>
      <c r="DJ33" s="122">
        <f t="shared" si="62"/>
        <v>6</v>
      </c>
      <c r="DK33" s="122">
        <f t="shared" si="59"/>
        <v>0.5</v>
      </c>
      <c r="DL33" s="122">
        <f t="shared" si="12"/>
        <v>10</v>
      </c>
      <c r="DM33" s="47">
        <f t="shared" si="9"/>
        <v>9</v>
      </c>
      <c r="DN33" s="122">
        <f t="shared" si="60"/>
        <v>90</v>
      </c>
      <c r="DO33" s="157">
        <f t="shared" si="63"/>
        <v>91</v>
      </c>
      <c r="DP33" s="157"/>
      <c r="DQ33" s="86">
        <f t="shared" si="64"/>
        <v>4.7395833333333339</v>
      </c>
      <c r="DS33" s="42"/>
      <c r="DT33" s="42"/>
      <c r="DU33" s="42"/>
      <c r="DV33" s="42"/>
    </row>
    <row r="34" spans="2:126" s="3" customFormat="1" ht="17.25" customHeight="1">
      <c r="B34" s="152">
        <v>23</v>
      </c>
      <c r="C34" s="120" t="s">
        <v>163</v>
      </c>
      <c r="D34" s="147" t="s">
        <v>108</v>
      </c>
      <c r="E34" s="147"/>
      <c r="F34" s="119" t="s">
        <v>161</v>
      </c>
      <c r="G34" s="108" t="s">
        <v>18</v>
      </c>
      <c r="H34" s="107">
        <v>255</v>
      </c>
      <c r="I34" s="138">
        <v>5768.799</v>
      </c>
      <c r="J34" s="138">
        <v>5824.8829999999998</v>
      </c>
      <c r="K34" s="87">
        <f t="shared" si="5"/>
        <v>56.083999999999833</v>
      </c>
      <c r="L34" s="87" t="s">
        <v>50</v>
      </c>
      <c r="M34" s="136">
        <v>9</v>
      </c>
      <c r="N34" s="113">
        <v>9</v>
      </c>
      <c r="O34" s="87">
        <f t="shared" si="6"/>
        <v>6.2315555555555369</v>
      </c>
      <c r="P34" s="90">
        <v>1</v>
      </c>
      <c r="Q34" s="139">
        <v>84.686839999999748</v>
      </c>
      <c r="R34" s="134">
        <f t="shared" si="18"/>
        <v>9.4096488888888601</v>
      </c>
      <c r="S34" s="88">
        <v>53.9</v>
      </c>
      <c r="T34" s="106">
        <v>1</v>
      </c>
      <c r="U34" s="90">
        <f t="shared" si="19"/>
        <v>0.17457604617604564</v>
      </c>
      <c r="V34" s="133">
        <v>309.58367999999905</v>
      </c>
      <c r="W34" s="134">
        <f t="shared" si="20"/>
        <v>34.398186666666561</v>
      </c>
      <c r="X34" s="127">
        <v>190</v>
      </c>
      <c r="Y34" s="106">
        <v>1</v>
      </c>
      <c r="Z34" s="90">
        <f t="shared" si="21"/>
        <v>0.1810430877192977</v>
      </c>
      <c r="AA34" s="141">
        <v>75.152559999999781</v>
      </c>
      <c r="AB34" s="134">
        <f t="shared" si="22"/>
        <v>8.3502844444444193</v>
      </c>
      <c r="AC34" s="105">
        <v>42</v>
      </c>
      <c r="AD34" s="106">
        <v>1</v>
      </c>
      <c r="AE34" s="90">
        <f t="shared" si="23"/>
        <v>0.49881629629629565</v>
      </c>
      <c r="AF34" s="133">
        <v>44.867199999999869</v>
      </c>
      <c r="AG34" s="134">
        <f t="shared" si="24"/>
        <v>4.9852444444444295</v>
      </c>
      <c r="AH34" s="105">
        <v>40</v>
      </c>
      <c r="AI34" s="106">
        <v>1</v>
      </c>
      <c r="AJ34" s="90">
        <f t="shared" si="25"/>
        <v>0.12463111111111073</v>
      </c>
      <c r="AK34" s="141">
        <v>20.190239999999942</v>
      </c>
      <c r="AL34" s="134">
        <f t="shared" si="26"/>
        <v>2.2433599999999938</v>
      </c>
      <c r="AM34" s="105">
        <v>130</v>
      </c>
      <c r="AN34" s="106">
        <v>1</v>
      </c>
      <c r="AO34" s="104">
        <f t="shared" si="27"/>
        <v>1.7256615384615336E-2</v>
      </c>
      <c r="AP34" s="89">
        <f t="shared" si="28"/>
        <v>1</v>
      </c>
      <c r="AQ34" s="139">
        <v>63.935759999999803</v>
      </c>
      <c r="AR34" s="134">
        <f t="shared" si="29"/>
        <v>7.103973333333311</v>
      </c>
      <c r="AS34" s="105">
        <v>225</v>
      </c>
      <c r="AT34" s="106">
        <v>1</v>
      </c>
      <c r="AU34" s="91">
        <f t="shared" si="30"/>
        <v>3.1573214814814718E-2</v>
      </c>
      <c r="AV34" s="92">
        <f t="shared" si="31"/>
        <v>3.5</v>
      </c>
      <c r="AW34" s="133">
        <v>22.433599999999934</v>
      </c>
      <c r="AX34" s="134">
        <f t="shared" si="32"/>
        <v>2.4926222222222147</v>
      </c>
      <c r="AY34" s="93">
        <v>40</v>
      </c>
      <c r="AZ34" s="106">
        <v>1</v>
      </c>
      <c r="BA34" s="91">
        <f t="shared" si="33"/>
        <v>6.2315555555555367E-2</v>
      </c>
      <c r="BB34" s="133">
        <v>24.67695999999993</v>
      </c>
      <c r="BC34" s="134">
        <f t="shared" si="34"/>
        <v>2.7418844444444366</v>
      </c>
      <c r="BD34" s="105">
        <v>130</v>
      </c>
      <c r="BE34" s="106">
        <v>1</v>
      </c>
      <c r="BF34" s="104">
        <f t="shared" si="35"/>
        <v>2.1091418803418742E-2</v>
      </c>
      <c r="BG34" s="89">
        <f t="shared" si="36"/>
        <v>2</v>
      </c>
      <c r="BH34" s="59"/>
      <c r="BI34" s="59"/>
      <c r="BJ34" s="94"/>
      <c r="BK34" s="95"/>
      <c r="BL34" s="96"/>
      <c r="BM34" s="133">
        <v>84.574671999999751</v>
      </c>
      <c r="BN34" s="134">
        <f t="shared" si="37"/>
        <v>9.3971857777777501</v>
      </c>
      <c r="BO34" s="93">
        <v>35</v>
      </c>
      <c r="BP34" s="106">
        <v>1</v>
      </c>
      <c r="BQ34" s="104">
        <f t="shared" si="38"/>
        <v>0.26849102222222143</v>
      </c>
      <c r="BR34" s="133">
        <v>14.357503999999958</v>
      </c>
      <c r="BS34" s="134">
        <f t="shared" si="39"/>
        <v>1.5952782222222175</v>
      </c>
      <c r="BT34" s="97">
        <v>3.4</v>
      </c>
      <c r="BU34" s="106">
        <v>1</v>
      </c>
      <c r="BV34" s="91">
        <f t="shared" si="40"/>
        <v>0.46919947712418164</v>
      </c>
      <c r="BW34" s="133">
        <v>76.947247999999774</v>
      </c>
      <c r="BX34" s="134">
        <f t="shared" si="41"/>
        <v>8.5496942222221968</v>
      </c>
      <c r="BY34" s="105">
        <v>125</v>
      </c>
      <c r="BZ34" s="106">
        <v>1</v>
      </c>
      <c r="CA34" s="104">
        <f t="shared" si="42"/>
        <v>6.8397553777777578E-2</v>
      </c>
      <c r="CB34" s="89">
        <f t="shared" si="43"/>
        <v>3</v>
      </c>
      <c r="CC34" s="98">
        <f t="shared" si="44"/>
        <v>6</v>
      </c>
      <c r="CD34" s="139">
        <v>27.705495999999918</v>
      </c>
      <c r="CE34" s="134">
        <f t="shared" si="45"/>
        <v>3.0783884444444354</v>
      </c>
      <c r="CF34" s="105">
        <v>165</v>
      </c>
      <c r="CG34" s="106">
        <v>1</v>
      </c>
      <c r="CH34" s="91">
        <f t="shared" si="46"/>
        <v>1.8656899663299607E-2</v>
      </c>
      <c r="CI34" s="139">
        <v>37.57627999999989</v>
      </c>
      <c r="CJ34" s="134">
        <f t="shared" si="47"/>
        <v>4.1751422222222097</v>
      </c>
      <c r="CK34" s="105">
        <v>150</v>
      </c>
      <c r="CL34" s="106">
        <v>1</v>
      </c>
      <c r="CM34" s="91">
        <f t="shared" si="48"/>
        <v>2.7834281481481399E-2</v>
      </c>
      <c r="CN34" s="139">
        <v>228.82271999999932</v>
      </c>
      <c r="CO34" s="134">
        <f t="shared" si="49"/>
        <v>25.424746666666593</v>
      </c>
      <c r="CP34" s="93">
        <v>320</v>
      </c>
      <c r="CQ34" s="106">
        <v>1</v>
      </c>
      <c r="CR34" s="91">
        <f t="shared" si="50"/>
        <v>7.9452333333333097E-2</v>
      </c>
      <c r="CS34" s="133">
        <v>686.46815999999797</v>
      </c>
      <c r="CT34" s="134">
        <f t="shared" si="51"/>
        <v>76.274239999999779</v>
      </c>
      <c r="CU34" s="93">
        <v>8000</v>
      </c>
      <c r="CV34" s="106">
        <v>1</v>
      </c>
      <c r="CW34" s="91">
        <f t="shared" si="52"/>
        <v>9.5342799999999731E-3</v>
      </c>
      <c r="CX34" s="133">
        <v>457.64543999999864</v>
      </c>
      <c r="CY34" s="134">
        <f t="shared" si="53"/>
        <v>50.849493333333186</v>
      </c>
      <c r="CZ34" s="93">
        <v>300</v>
      </c>
      <c r="DA34" s="106">
        <v>1</v>
      </c>
      <c r="DB34" s="91">
        <f t="shared" si="54"/>
        <v>0.16949831111111061</v>
      </c>
      <c r="DC34" s="99">
        <f t="shared" si="55"/>
        <v>56.083999999999833</v>
      </c>
      <c r="DD34" s="134">
        <f t="shared" si="56"/>
        <v>6.2315555555555369</v>
      </c>
      <c r="DE34" s="100">
        <v>50</v>
      </c>
      <c r="DF34" s="106">
        <v>1</v>
      </c>
      <c r="DG34" s="91">
        <f t="shared" si="57"/>
        <v>0.12463111111111073</v>
      </c>
      <c r="DH34" s="101">
        <f t="shared" si="58"/>
        <v>0.5</v>
      </c>
      <c r="DI34" s="122">
        <f t="shared" si="61"/>
        <v>3.5</v>
      </c>
      <c r="DJ34" s="122">
        <f t="shared" si="62"/>
        <v>6</v>
      </c>
      <c r="DK34" s="122">
        <f t="shared" si="59"/>
        <v>0.5</v>
      </c>
      <c r="DL34" s="122">
        <f t="shared" si="12"/>
        <v>10</v>
      </c>
      <c r="DM34" s="47">
        <f t="shared" si="9"/>
        <v>9</v>
      </c>
      <c r="DN34" s="122">
        <f t="shared" si="60"/>
        <v>90</v>
      </c>
      <c r="DO34" s="157">
        <f t="shared" si="63"/>
        <v>91</v>
      </c>
      <c r="DP34" s="157"/>
      <c r="DQ34" s="86">
        <f t="shared" si="64"/>
        <v>4.7395833333333339</v>
      </c>
      <c r="DS34" s="42"/>
      <c r="DT34" s="42"/>
      <c r="DU34" s="42"/>
      <c r="DV34" s="42"/>
    </row>
    <row r="35" spans="2:126" s="3" customFormat="1" ht="17.25" customHeight="1">
      <c r="B35" s="77">
        <v>24</v>
      </c>
      <c r="C35" s="78" t="s">
        <v>109</v>
      </c>
      <c r="D35" s="79" t="s">
        <v>110</v>
      </c>
      <c r="E35" s="79"/>
      <c r="F35" s="130" t="s">
        <v>121</v>
      </c>
      <c r="G35" s="130" t="s">
        <v>166</v>
      </c>
      <c r="H35" s="128">
        <v>255</v>
      </c>
      <c r="I35" s="80">
        <v>6171.3249999999998</v>
      </c>
      <c r="J35" s="80">
        <v>6223.9470000000001</v>
      </c>
      <c r="K35" s="132">
        <f t="shared" si="5"/>
        <v>52.622000000000298</v>
      </c>
      <c r="L35" s="126" t="s">
        <v>167</v>
      </c>
      <c r="M35" s="114">
        <v>10</v>
      </c>
      <c r="N35" s="115">
        <v>9</v>
      </c>
      <c r="O35" s="132">
        <f t="shared" si="6"/>
        <v>5.8468888888889223</v>
      </c>
      <c r="P35" s="90">
        <v>1</v>
      </c>
      <c r="Q35" s="139">
        <v>79.459220000000457</v>
      </c>
      <c r="R35" s="134">
        <f>Q35/N35</f>
        <v>8.8288022222222722</v>
      </c>
      <c r="S35" s="88">
        <v>53.9</v>
      </c>
      <c r="T35" s="106">
        <v>1</v>
      </c>
      <c r="U35" s="90">
        <f>R35/S35/T35</f>
        <v>0.16379967017109967</v>
      </c>
      <c r="V35" s="133">
        <v>290.47344000000163</v>
      </c>
      <c r="W35" s="134">
        <f>V35/N35</f>
        <v>32.274826666666847</v>
      </c>
      <c r="X35" s="127">
        <v>190</v>
      </c>
      <c r="Y35" s="106">
        <v>1</v>
      </c>
      <c r="Z35" s="90">
        <f>W35/X35/Y35</f>
        <v>0.16986750877193077</v>
      </c>
      <c r="AA35" s="141">
        <v>70.513480000000399</v>
      </c>
      <c r="AB35" s="134">
        <f>AA35/N35</f>
        <v>7.8348311111111553</v>
      </c>
      <c r="AC35" s="105">
        <v>42</v>
      </c>
      <c r="AD35" s="106">
        <v>1</v>
      </c>
      <c r="AE35" s="90">
        <f>AB35/AC35/AD35+0.3</f>
        <v>0.48654359788359891</v>
      </c>
      <c r="AF35" s="133">
        <v>42.097600000000241</v>
      </c>
      <c r="AG35" s="134">
        <f>AF35/N35</f>
        <v>4.677511111111138</v>
      </c>
      <c r="AH35" s="105">
        <v>40</v>
      </c>
      <c r="AI35" s="106">
        <v>1</v>
      </c>
      <c r="AJ35" s="90">
        <f>AG35/AH35/AI35</f>
        <v>0.11693777777777845</v>
      </c>
      <c r="AK35" s="141">
        <v>18.943920000000109</v>
      </c>
      <c r="AL35" s="134">
        <f>AK35/N35</f>
        <v>2.1048800000000121</v>
      </c>
      <c r="AM35" s="105">
        <v>130</v>
      </c>
      <c r="AN35" s="106">
        <v>1</v>
      </c>
      <c r="AO35" s="104">
        <f>AL35/AM35/AN35</f>
        <v>1.6191384615384708E-2</v>
      </c>
      <c r="AP35" s="89">
        <f>IF(G35="보통",2,IF(G35="조강",1,""))</f>
        <v>1</v>
      </c>
      <c r="AQ35" s="139">
        <v>59.989080000000335</v>
      </c>
      <c r="AR35" s="134">
        <f>AQ35/N35</f>
        <v>6.665453333333371</v>
      </c>
      <c r="AS35" s="105">
        <v>225</v>
      </c>
      <c r="AT35" s="106">
        <v>1</v>
      </c>
      <c r="AU35" s="91">
        <f>AR35/AS35/AT35</f>
        <v>2.9624237037037204E-2</v>
      </c>
      <c r="AV35" s="92">
        <f>CEILING(SUM(P35,U35,Z35,AE35,AJ35,AO35,AP35,AU35),0.5)</f>
        <v>3</v>
      </c>
      <c r="AW35" s="133">
        <v>21.048800000000121</v>
      </c>
      <c r="AX35" s="134">
        <f>AW35/N35</f>
        <v>2.338755555555569</v>
      </c>
      <c r="AY35" s="93">
        <v>40</v>
      </c>
      <c r="AZ35" s="106">
        <v>1</v>
      </c>
      <c r="BA35" s="91">
        <f>AX35/AY35/AZ35</f>
        <v>5.8468888888889223E-2</v>
      </c>
      <c r="BB35" s="133">
        <v>23.153680000000133</v>
      </c>
      <c r="BC35" s="134">
        <f>BB35/N35</f>
        <v>2.572631111111126</v>
      </c>
      <c r="BD35" s="105">
        <v>130</v>
      </c>
      <c r="BE35" s="106">
        <v>1</v>
      </c>
      <c r="BF35" s="104">
        <f>BC35/BD35/BE35</f>
        <v>1.97894700854702E-2</v>
      </c>
      <c r="BG35" s="89">
        <f>IF(G35="보통",5,IF(G35="조강",2,""))</f>
        <v>2</v>
      </c>
      <c r="BH35" s="59"/>
      <c r="BI35" s="59"/>
      <c r="BJ35" s="129"/>
      <c r="BK35" s="131"/>
      <c r="BL35" s="124"/>
      <c r="BM35" s="133">
        <v>79.353976000000443</v>
      </c>
      <c r="BN35" s="134">
        <f>BM35/N35</f>
        <v>8.8171084444444929</v>
      </c>
      <c r="BO35" s="93">
        <v>35</v>
      </c>
      <c r="BP35" s="106">
        <v>1</v>
      </c>
      <c r="BQ35" s="104">
        <f>BN35/BO35/BP35</f>
        <v>0.2519173841269855</v>
      </c>
      <c r="BR35" s="133">
        <v>13.471232000000077</v>
      </c>
      <c r="BS35" s="134">
        <f>BR35/N35</f>
        <v>1.4968035555555641</v>
      </c>
      <c r="BT35" s="97">
        <v>3.4</v>
      </c>
      <c r="BU35" s="106">
        <v>1</v>
      </c>
      <c r="BV35" s="91">
        <f>BS35/BT35/BU35</f>
        <v>0.44023633986928357</v>
      </c>
      <c r="BW35" s="133">
        <v>72.197384000000412</v>
      </c>
      <c r="BX35" s="134">
        <f>BW35/N35</f>
        <v>8.0219315555556019</v>
      </c>
      <c r="BY35" s="105">
        <v>125</v>
      </c>
      <c r="BZ35" s="106">
        <v>1</v>
      </c>
      <c r="CA35" s="104">
        <f>BX35/BY35/BZ35</f>
        <v>6.4175452444444808E-2</v>
      </c>
      <c r="CB35" s="89">
        <f>IF(G35="보통",7,IF(G35="조강",3,""))</f>
        <v>3</v>
      </c>
      <c r="CC35" s="98">
        <f>CEILING(SUM(BA35,BF35,BG35,BL35,BQ35,BV35,CA35,CB35),0.5)</f>
        <v>6</v>
      </c>
      <c r="CD35" s="139">
        <v>25.995268000000149</v>
      </c>
      <c r="CE35" s="134">
        <f>CD35/N35</f>
        <v>2.8883631111111274</v>
      </c>
      <c r="CF35" s="105">
        <v>165</v>
      </c>
      <c r="CG35" s="106">
        <v>1</v>
      </c>
      <c r="CH35" s="91">
        <f>CE35/CF35/CG35</f>
        <v>1.7505230976431075E-2</v>
      </c>
      <c r="CI35" s="139">
        <v>35.2567400000002</v>
      </c>
      <c r="CJ35" s="134">
        <f>CI35/N35</f>
        <v>3.9174155555555776</v>
      </c>
      <c r="CK35" s="105">
        <v>150</v>
      </c>
      <c r="CL35" s="106">
        <v>1</v>
      </c>
      <c r="CM35" s="91">
        <f>CJ35/CK35/CL35</f>
        <v>2.611610370370385E-2</v>
      </c>
      <c r="CN35" s="139">
        <v>214.69776000000121</v>
      </c>
      <c r="CO35" s="134">
        <f>CN35/N35</f>
        <v>23.855306666666802</v>
      </c>
      <c r="CP35" s="93">
        <v>320</v>
      </c>
      <c r="CQ35" s="106">
        <v>1</v>
      </c>
      <c r="CR35" s="91">
        <f>CO35/CP35/CQ35</f>
        <v>7.4547833333333757E-2</v>
      </c>
      <c r="CS35" s="133">
        <v>644.09328000000369</v>
      </c>
      <c r="CT35" s="134">
        <f>CS35/N35</f>
        <v>71.565920000000403</v>
      </c>
      <c r="CU35" s="93">
        <v>8000</v>
      </c>
      <c r="CV35" s="106">
        <v>1</v>
      </c>
      <c r="CW35" s="91">
        <f>CT35/CU35/CV35</f>
        <v>8.9457400000000509E-3</v>
      </c>
      <c r="CX35" s="133">
        <v>429.39552000000242</v>
      </c>
      <c r="CY35" s="134">
        <f>CX35/N35</f>
        <v>47.710613333333605</v>
      </c>
      <c r="CZ35" s="93">
        <v>300</v>
      </c>
      <c r="DA35" s="106">
        <v>1</v>
      </c>
      <c r="DB35" s="91">
        <f>CY35/CZ35/DA35</f>
        <v>0.15903537777777868</v>
      </c>
      <c r="DC35" s="99">
        <f>K35</f>
        <v>52.622000000000298</v>
      </c>
      <c r="DD35" s="134">
        <f>DC35/N35</f>
        <v>5.8468888888889223</v>
      </c>
      <c r="DE35" s="100">
        <v>50</v>
      </c>
      <c r="DF35" s="106">
        <v>1</v>
      </c>
      <c r="DG35" s="91">
        <f>DD35/DE35/DF35</f>
        <v>0.11693777777777845</v>
      </c>
      <c r="DH35" s="101">
        <f>CEILING(SUM(CH35,CM35,CR35,CW35,DB35,DG35),0.5)</f>
        <v>0.5</v>
      </c>
      <c r="DI35" s="122">
        <f t="shared" si="61"/>
        <v>3</v>
      </c>
      <c r="DJ35" s="122">
        <f t="shared" si="62"/>
        <v>6</v>
      </c>
      <c r="DK35" s="122">
        <f>DH35</f>
        <v>0.5</v>
      </c>
      <c r="DL35" s="122">
        <f t="shared" si="12"/>
        <v>10</v>
      </c>
      <c r="DM35" s="47">
        <f t="shared" si="9"/>
        <v>9</v>
      </c>
      <c r="DN35" s="122">
        <f>DL35*DM35</f>
        <v>90</v>
      </c>
      <c r="DO35" s="157">
        <f t="shared" si="63"/>
        <v>91</v>
      </c>
      <c r="DP35" s="157"/>
      <c r="DQ35" s="86">
        <f t="shared" si="64"/>
        <v>4.7395833333333339</v>
      </c>
      <c r="DR35" s="42"/>
      <c r="DS35" s="42"/>
      <c r="DT35" s="42"/>
      <c r="DU35" s="42"/>
      <c r="DV35" s="42"/>
    </row>
    <row r="36" spans="2:126" s="3" customFormat="1" ht="17.25" customHeight="1">
      <c r="B36" s="152">
        <v>25</v>
      </c>
      <c r="C36" s="145" t="s">
        <v>111</v>
      </c>
      <c r="D36" s="147" t="s">
        <v>112</v>
      </c>
      <c r="E36" s="147" t="s">
        <v>129</v>
      </c>
      <c r="F36" s="108"/>
      <c r="G36" s="108" t="s">
        <v>18</v>
      </c>
      <c r="H36" s="107"/>
      <c r="I36" s="138">
        <v>6431.2849999999999</v>
      </c>
      <c r="J36" s="138">
        <v>6457.7569999999996</v>
      </c>
      <c r="K36" s="87">
        <f t="shared" si="5"/>
        <v>26.471999999999753</v>
      </c>
      <c r="L36" s="87" t="s">
        <v>50</v>
      </c>
      <c r="M36" s="136">
        <v>8</v>
      </c>
      <c r="N36" s="115">
        <v>6</v>
      </c>
      <c r="O36" s="87">
        <f t="shared" si="6"/>
        <v>4.4119999999999591</v>
      </c>
      <c r="P36" s="90">
        <v>1</v>
      </c>
      <c r="Q36" s="139">
        <v>39.972719999999626</v>
      </c>
      <c r="R36" s="134">
        <f t="shared" si="18"/>
        <v>6.6621199999999376</v>
      </c>
      <c r="S36" s="88">
        <v>53.9</v>
      </c>
      <c r="T36" s="106">
        <v>1</v>
      </c>
      <c r="U36" s="90">
        <f t="shared" si="19"/>
        <v>0.1236014842300545</v>
      </c>
      <c r="V36" s="133">
        <v>146.12543999999863</v>
      </c>
      <c r="W36" s="134">
        <f t="shared" si="20"/>
        <v>24.354239999999773</v>
      </c>
      <c r="X36" s="127">
        <v>190</v>
      </c>
      <c r="Y36" s="106">
        <v>1</v>
      </c>
      <c r="Z36" s="90">
        <f t="shared" si="21"/>
        <v>0.12818021052631459</v>
      </c>
      <c r="AA36" s="141">
        <v>35.47247999999967</v>
      </c>
      <c r="AB36" s="134">
        <f t="shared" si="22"/>
        <v>5.9120799999999454</v>
      </c>
      <c r="AC36" s="105">
        <v>42</v>
      </c>
      <c r="AD36" s="106">
        <v>1</v>
      </c>
      <c r="AE36" s="90">
        <f t="shared" si="23"/>
        <v>0.44076380952380823</v>
      </c>
      <c r="AF36" s="133">
        <v>21.177599999999803</v>
      </c>
      <c r="AG36" s="134">
        <f t="shared" si="24"/>
        <v>3.529599999999967</v>
      </c>
      <c r="AH36" s="105">
        <v>40</v>
      </c>
      <c r="AI36" s="106">
        <v>1</v>
      </c>
      <c r="AJ36" s="90">
        <f t="shared" si="25"/>
        <v>8.823999999999918E-2</v>
      </c>
      <c r="AK36" s="141">
        <v>9.5299199999999118</v>
      </c>
      <c r="AL36" s="134">
        <f t="shared" si="26"/>
        <v>1.5883199999999853</v>
      </c>
      <c r="AM36" s="105">
        <v>130</v>
      </c>
      <c r="AN36" s="106">
        <v>1</v>
      </c>
      <c r="AO36" s="104">
        <f t="shared" si="27"/>
        <v>1.2217846153846041E-2</v>
      </c>
      <c r="AP36" s="89">
        <f t="shared" ref="AP36:AP44" si="65">IF(G36="보통",2,IF(G36="조강",1,""))</f>
        <v>1</v>
      </c>
      <c r="AQ36" s="139">
        <v>30.178079999999717</v>
      </c>
      <c r="AR36" s="134">
        <f t="shared" si="29"/>
        <v>5.0296799999999529</v>
      </c>
      <c r="AS36" s="105">
        <v>225</v>
      </c>
      <c r="AT36" s="106">
        <v>1</v>
      </c>
      <c r="AU36" s="91">
        <f t="shared" si="30"/>
        <v>2.2354133333333123E-2</v>
      </c>
      <c r="AV36" s="92">
        <f t="shared" si="31"/>
        <v>3</v>
      </c>
      <c r="AW36" s="133">
        <v>10.588799999999901</v>
      </c>
      <c r="AX36" s="134">
        <f t="shared" si="32"/>
        <v>1.7647999999999835</v>
      </c>
      <c r="AY36" s="93">
        <v>40</v>
      </c>
      <c r="AZ36" s="106">
        <v>1</v>
      </c>
      <c r="BA36" s="91">
        <f t="shared" si="33"/>
        <v>4.411999999999959E-2</v>
      </c>
      <c r="BB36" s="133">
        <v>11.647679999999893</v>
      </c>
      <c r="BC36" s="134">
        <f t="shared" si="34"/>
        <v>1.9412799999999821</v>
      </c>
      <c r="BD36" s="105">
        <v>130</v>
      </c>
      <c r="BE36" s="106">
        <v>1</v>
      </c>
      <c r="BF36" s="104">
        <f t="shared" si="35"/>
        <v>1.4932923076922939E-2</v>
      </c>
      <c r="BG36" s="89">
        <f t="shared" ref="BG36:BG44" si="66">IF(G36="보통",5,IF(G36="조강",2,""))</f>
        <v>2</v>
      </c>
      <c r="BH36" s="59"/>
      <c r="BI36" s="59"/>
      <c r="BJ36" s="94"/>
      <c r="BK36" s="95"/>
      <c r="BL36" s="96"/>
      <c r="BM36" s="133">
        <v>39.919775999999629</v>
      </c>
      <c r="BN36" s="134">
        <f t="shared" si="37"/>
        <v>6.6532959999999379</v>
      </c>
      <c r="BO36" s="93">
        <v>35</v>
      </c>
      <c r="BP36" s="106">
        <v>1</v>
      </c>
      <c r="BQ36" s="104">
        <f t="shared" si="38"/>
        <v>0.19009417142856966</v>
      </c>
      <c r="BR36" s="133">
        <v>6.7768319999999367</v>
      </c>
      <c r="BS36" s="134">
        <f t="shared" si="39"/>
        <v>1.1294719999999894</v>
      </c>
      <c r="BT36" s="97">
        <v>3.4</v>
      </c>
      <c r="BU36" s="106">
        <v>1</v>
      </c>
      <c r="BV36" s="91">
        <f t="shared" si="40"/>
        <v>0.33219764705882043</v>
      </c>
      <c r="BW36" s="133">
        <v>36.319583999999665</v>
      </c>
      <c r="BX36" s="134">
        <f t="shared" si="41"/>
        <v>6.0532639999999445</v>
      </c>
      <c r="BY36" s="105">
        <v>125</v>
      </c>
      <c r="BZ36" s="106">
        <v>1</v>
      </c>
      <c r="CA36" s="104">
        <f t="shared" si="42"/>
        <v>4.8426111999999556E-2</v>
      </c>
      <c r="CB36" s="89">
        <f t="shared" ref="CB36:CB44" si="67">IF(G36="보통",7,IF(G36="조강",3,""))</f>
        <v>3</v>
      </c>
      <c r="CC36" s="98">
        <f t="shared" si="44"/>
        <v>6</v>
      </c>
      <c r="CD36" s="139">
        <v>13.077167999999878</v>
      </c>
      <c r="CE36" s="134">
        <f t="shared" si="45"/>
        <v>2.1795279999999795</v>
      </c>
      <c r="CF36" s="105">
        <v>165</v>
      </c>
      <c r="CG36" s="106">
        <v>1</v>
      </c>
      <c r="CH36" s="91">
        <f t="shared" si="46"/>
        <v>1.3209260606060482E-2</v>
      </c>
      <c r="CI36" s="139">
        <v>17.736239999999835</v>
      </c>
      <c r="CJ36" s="134">
        <f t="shared" si="47"/>
        <v>2.9560399999999727</v>
      </c>
      <c r="CK36" s="105">
        <v>150</v>
      </c>
      <c r="CL36" s="106">
        <v>1</v>
      </c>
      <c r="CM36" s="91">
        <f t="shared" si="48"/>
        <v>1.9706933333333152E-2</v>
      </c>
      <c r="CN36" s="139">
        <v>108.00575999999899</v>
      </c>
      <c r="CO36" s="134">
        <f t="shared" si="49"/>
        <v>18.000959999999832</v>
      </c>
      <c r="CP36" s="93">
        <v>320</v>
      </c>
      <c r="CQ36" s="106">
        <v>1</v>
      </c>
      <c r="CR36" s="91">
        <f t="shared" si="50"/>
        <v>5.6252999999999477E-2</v>
      </c>
      <c r="CS36" s="133">
        <v>324.01727999999696</v>
      </c>
      <c r="CT36" s="134">
        <f t="shared" si="51"/>
        <v>54.002879999999493</v>
      </c>
      <c r="CU36" s="93">
        <v>8000</v>
      </c>
      <c r="CV36" s="106">
        <v>1</v>
      </c>
      <c r="CW36" s="91">
        <f t="shared" si="52"/>
        <v>6.7503599999999362E-3</v>
      </c>
      <c r="CX36" s="133">
        <v>216.01151999999797</v>
      </c>
      <c r="CY36" s="134">
        <f t="shared" si="53"/>
        <v>36.001919999999664</v>
      </c>
      <c r="CZ36" s="93">
        <v>300</v>
      </c>
      <c r="DA36" s="106">
        <v>1</v>
      </c>
      <c r="DB36" s="91">
        <f t="shared" si="54"/>
        <v>0.12000639999999888</v>
      </c>
      <c r="DC36" s="99">
        <f t="shared" ref="DC36:DC44" si="68">K36</f>
        <v>26.471999999999753</v>
      </c>
      <c r="DD36" s="134">
        <f t="shared" si="56"/>
        <v>4.4119999999999591</v>
      </c>
      <c r="DE36" s="100">
        <v>50</v>
      </c>
      <c r="DF36" s="106">
        <v>1</v>
      </c>
      <c r="DG36" s="91">
        <f t="shared" si="57"/>
        <v>8.823999999999918E-2</v>
      </c>
      <c r="DH36" s="101">
        <f t="shared" si="58"/>
        <v>0.5</v>
      </c>
      <c r="DI36" s="122">
        <f t="shared" si="61"/>
        <v>3</v>
      </c>
      <c r="DJ36" s="122">
        <f t="shared" si="62"/>
        <v>6</v>
      </c>
      <c r="DK36" s="122">
        <f t="shared" si="59"/>
        <v>0.5</v>
      </c>
      <c r="DL36" s="122">
        <f t="shared" si="12"/>
        <v>10</v>
      </c>
      <c r="DM36" s="47">
        <f t="shared" si="9"/>
        <v>6</v>
      </c>
      <c r="DN36" s="122">
        <f t="shared" si="60"/>
        <v>60</v>
      </c>
      <c r="DO36" s="157">
        <f t="shared" si="63"/>
        <v>61</v>
      </c>
      <c r="DP36" s="157"/>
      <c r="DQ36" s="86">
        <f t="shared" si="64"/>
        <v>3.1770833333333335</v>
      </c>
      <c r="DS36" s="42"/>
      <c r="DT36" s="42"/>
      <c r="DU36" s="42"/>
      <c r="DV36" s="42"/>
    </row>
    <row r="37" spans="2:126" s="3" customFormat="1" ht="17.25" customHeight="1">
      <c r="B37" s="149">
        <v>26</v>
      </c>
      <c r="C37" s="121" t="s">
        <v>164</v>
      </c>
      <c r="D37" s="147" t="s">
        <v>113</v>
      </c>
      <c r="E37" s="147"/>
      <c r="F37" s="119" t="s">
        <v>64</v>
      </c>
      <c r="G37" s="108" t="s">
        <v>18</v>
      </c>
      <c r="H37" s="107">
        <v>62</v>
      </c>
      <c r="I37" s="138">
        <v>6670.7780000000002</v>
      </c>
      <c r="J37" s="138">
        <v>6735.63</v>
      </c>
      <c r="K37" s="87">
        <f t="shared" si="5"/>
        <v>64.851999999999862</v>
      </c>
      <c r="L37" s="87" t="s">
        <v>50</v>
      </c>
      <c r="M37" s="136">
        <v>12</v>
      </c>
      <c r="N37" s="115">
        <v>10</v>
      </c>
      <c r="O37" s="87">
        <f t="shared" si="6"/>
        <v>6.4851999999999865</v>
      </c>
      <c r="P37" s="90">
        <v>1</v>
      </c>
      <c r="Q37" s="139">
        <v>97.926519999999798</v>
      </c>
      <c r="R37" s="134">
        <f t="shared" si="18"/>
        <v>9.792651999999979</v>
      </c>
      <c r="S37" s="88">
        <v>53.9</v>
      </c>
      <c r="T37" s="106">
        <v>1</v>
      </c>
      <c r="U37" s="90">
        <f t="shared" si="19"/>
        <v>0.18168185528756919</v>
      </c>
      <c r="V37" s="133">
        <v>357.98303999999922</v>
      </c>
      <c r="W37" s="134">
        <f t="shared" si="20"/>
        <v>35.798303999999924</v>
      </c>
      <c r="X37" s="127">
        <v>190</v>
      </c>
      <c r="Y37" s="106">
        <v>1</v>
      </c>
      <c r="Z37" s="90">
        <f t="shared" si="21"/>
        <v>0.18841212631578907</v>
      </c>
      <c r="AA37" s="141">
        <v>86.901679999999814</v>
      </c>
      <c r="AB37" s="134">
        <f t="shared" si="22"/>
        <v>8.6901679999999821</v>
      </c>
      <c r="AC37" s="105">
        <v>42</v>
      </c>
      <c r="AD37" s="106">
        <v>1</v>
      </c>
      <c r="AE37" s="90">
        <f t="shared" si="23"/>
        <v>0.50690876190476142</v>
      </c>
      <c r="AF37" s="133">
        <v>51.881599999999892</v>
      </c>
      <c r="AG37" s="134">
        <f t="shared" si="24"/>
        <v>5.1881599999999892</v>
      </c>
      <c r="AH37" s="105">
        <v>40</v>
      </c>
      <c r="AI37" s="106">
        <v>1</v>
      </c>
      <c r="AJ37" s="90">
        <f t="shared" si="25"/>
        <v>0.12970399999999974</v>
      </c>
      <c r="AK37" s="141">
        <v>23.346719999999952</v>
      </c>
      <c r="AL37" s="134">
        <f t="shared" si="26"/>
        <v>2.334671999999995</v>
      </c>
      <c r="AM37" s="105">
        <v>130</v>
      </c>
      <c r="AN37" s="106">
        <v>1</v>
      </c>
      <c r="AO37" s="104">
        <f t="shared" si="27"/>
        <v>1.7959015384615345E-2</v>
      </c>
      <c r="AP37" s="89">
        <f t="shared" si="65"/>
        <v>1</v>
      </c>
      <c r="AQ37" s="139">
        <v>73.93127999999983</v>
      </c>
      <c r="AR37" s="134">
        <f t="shared" si="29"/>
        <v>7.393127999999983</v>
      </c>
      <c r="AS37" s="105">
        <v>225</v>
      </c>
      <c r="AT37" s="106">
        <v>1</v>
      </c>
      <c r="AU37" s="91">
        <f t="shared" si="30"/>
        <v>3.2858346666666594E-2</v>
      </c>
      <c r="AV37" s="92">
        <f t="shared" si="31"/>
        <v>3.5</v>
      </c>
      <c r="AW37" s="133">
        <v>25.940799999999946</v>
      </c>
      <c r="AX37" s="134">
        <f t="shared" si="32"/>
        <v>2.5940799999999946</v>
      </c>
      <c r="AY37" s="93">
        <v>40</v>
      </c>
      <c r="AZ37" s="106">
        <v>1</v>
      </c>
      <c r="BA37" s="91">
        <f t="shared" si="33"/>
        <v>6.4851999999999868E-2</v>
      </c>
      <c r="BB37" s="133">
        <v>28.534879999999944</v>
      </c>
      <c r="BC37" s="134">
        <f t="shared" si="34"/>
        <v>2.8534879999999943</v>
      </c>
      <c r="BD37" s="105">
        <v>130</v>
      </c>
      <c r="BE37" s="106">
        <v>1</v>
      </c>
      <c r="BF37" s="104">
        <f t="shared" si="35"/>
        <v>2.1949907692307646E-2</v>
      </c>
      <c r="BG37" s="89">
        <f t="shared" si="66"/>
        <v>2</v>
      </c>
      <c r="BH37" s="59"/>
      <c r="BI37" s="59"/>
      <c r="BJ37" s="94"/>
      <c r="BK37" s="95"/>
      <c r="BL37" s="96"/>
      <c r="BM37" s="133">
        <v>97.796815999999794</v>
      </c>
      <c r="BN37" s="134">
        <f t="shared" si="37"/>
        <v>9.7796815999999787</v>
      </c>
      <c r="BO37" s="93">
        <v>35</v>
      </c>
      <c r="BP37" s="106">
        <v>1</v>
      </c>
      <c r="BQ37" s="104">
        <f t="shared" si="38"/>
        <v>0.27941947428571368</v>
      </c>
      <c r="BR37" s="133">
        <v>16.602111999999966</v>
      </c>
      <c r="BS37" s="134">
        <f t="shared" si="39"/>
        <v>1.6602111999999967</v>
      </c>
      <c r="BT37" s="97">
        <v>3.4</v>
      </c>
      <c r="BU37" s="106">
        <v>1</v>
      </c>
      <c r="BV37" s="91">
        <f t="shared" si="40"/>
        <v>0.48829741176470493</v>
      </c>
      <c r="BW37" s="133">
        <v>88.976943999999818</v>
      </c>
      <c r="BX37" s="134">
        <f t="shared" si="41"/>
        <v>8.8976943999999811</v>
      </c>
      <c r="BY37" s="105">
        <v>125</v>
      </c>
      <c r="BZ37" s="106">
        <v>1</v>
      </c>
      <c r="CA37" s="104">
        <f t="shared" si="42"/>
        <v>7.1181555199999844E-2</v>
      </c>
      <c r="CB37" s="89">
        <f t="shared" si="67"/>
        <v>3</v>
      </c>
      <c r="CC37" s="98">
        <f t="shared" si="44"/>
        <v>6</v>
      </c>
      <c r="CD37" s="139">
        <v>32.036887999999934</v>
      </c>
      <c r="CE37" s="134">
        <f t="shared" si="45"/>
        <v>3.2036887999999935</v>
      </c>
      <c r="CF37" s="105">
        <v>165</v>
      </c>
      <c r="CG37" s="106">
        <v>1</v>
      </c>
      <c r="CH37" s="91">
        <f t="shared" si="46"/>
        <v>1.9416295757575718E-2</v>
      </c>
      <c r="CI37" s="139">
        <v>43.450839999999907</v>
      </c>
      <c r="CJ37" s="134">
        <f t="shared" si="47"/>
        <v>4.3450839999999911</v>
      </c>
      <c r="CK37" s="105">
        <v>150</v>
      </c>
      <c r="CL37" s="106">
        <v>1</v>
      </c>
      <c r="CM37" s="91">
        <f t="shared" si="48"/>
        <v>2.8967226666666606E-2</v>
      </c>
      <c r="CN37" s="139">
        <v>264.59615999999943</v>
      </c>
      <c r="CO37" s="134">
        <f t="shared" si="49"/>
        <v>26.459615999999944</v>
      </c>
      <c r="CP37" s="93">
        <v>320</v>
      </c>
      <c r="CQ37" s="106">
        <v>1</v>
      </c>
      <c r="CR37" s="91">
        <f t="shared" si="50"/>
        <v>8.2686299999999824E-2</v>
      </c>
      <c r="CS37" s="133">
        <v>793.78847999999834</v>
      </c>
      <c r="CT37" s="134">
        <f t="shared" si="51"/>
        <v>79.378847999999834</v>
      </c>
      <c r="CU37" s="93">
        <v>8000</v>
      </c>
      <c r="CV37" s="106">
        <v>1</v>
      </c>
      <c r="CW37" s="91">
        <f t="shared" si="52"/>
        <v>9.9223559999999794E-3</v>
      </c>
      <c r="CX37" s="133">
        <v>529.19231999999886</v>
      </c>
      <c r="CY37" s="134">
        <f t="shared" si="53"/>
        <v>52.919231999999887</v>
      </c>
      <c r="CZ37" s="93">
        <v>300</v>
      </c>
      <c r="DA37" s="106">
        <v>1</v>
      </c>
      <c r="DB37" s="91">
        <f t="shared" si="54"/>
        <v>0.17639743999999963</v>
      </c>
      <c r="DC37" s="99">
        <f t="shared" si="68"/>
        <v>64.851999999999862</v>
      </c>
      <c r="DD37" s="134">
        <f t="shared" si="56"/>
        <v>6.4851999999999865</v>
      </c>
      <c r="DE37" s="100">
        <v>50</v>
      </c>
      <c r="DF37" s="106">
        <v>1</v>
      </c>
      <c r="DG37" s="91">
        <f t="shared" si="57"/>
        <v>0.12970399999999974</v>
      </c>
      <c r="DH37" s="101">
        <f t="shared" si="58"/>
        <v>0.5</v>
      </c>
      <c r="DI37" s="122">
        <f t="shared" si="61"/>
        <v>3.5</v>
      </c>
      <c r="DJ37" s="122">
        <f t="shared" si="62"/>
        <v>6</v>
      </c>
      <c r="DK37" s="122">
        <f t="shared" si="59"/>
        <v>0.5</v>
      </c>
      <c r="DL37" s="122">
        <f t="shared" si="12"/>
        <v>10</v>
      </c>
      <c r="DM37" s="47">
        <f t="shared" si="9"/>
        <v>10</v>
      </c>
      <c r="DN37" s="122">
        <f t="shared" si="60"/>
        <v>100</v>
      </c>
      <c r="DO37" s="157">
        <f t="shared" si="63"/>
        <v>101</v>
      </c>
      <c r="DP37" s="157"/>
      <c r="DQ37" s="86">
        <f t="shared" si="64"/>
        <v>5.260416666666667</v>
      </c>
      <c r="DS37" s="42"/>
      <c r="DT37" s="42"/>
      <c r="DU37" s="42"/>
      <c r="DV37" s="42"/>
    </row>
    <row r="38" spans="2:126" s="3" customFormat="1" ht="17.25" customHeight="1">
      <c r="B38" s="151">
        <v>27</v>
      </c>
      <c r="C38" s="142" t="s">
        <v>114</v>
      </c>
      <c r="D38" s="147" t="s">
        <v>115</v>
      </c>
      <c r="E38" s="147"/>
      <c r="F38" s="108" t="s">
        <v>121</v>
      </c>
      <c r="G38" s="108" t="s">
        <v>18</v>
      </c>
      <c r="H38" s="107">
        <v>255</v>
      </c>
      <c r="I38" s="138">
        <v>7036.4560000000001</v>
      </c>
      <c r="J38" s="138">
        <v>7084.4110000000001</v>
      </c>
      <c r="K38" s="87">
        <f t="shared" si="5"/>
        <v>47.954999999999927</v>
      </c>
      <c r="L38" s="87" t="s">
        <v>50</v>
      </c>
      <c r="M38" s="136">
        <v>9</v>
      </c>
      <c r="N38" s="113">
        <v>9</v>
      </c>
      <c r="O38" s="87">
        <f t="shared" si="6"/>
        <v>5.3283333333333252</v>
      </c>
      <c r="P38" s="90">
        <v>1</v>
      </c>
      <c r="Q38" s="139">
        <v>72.412049999999894</v>
      </c>
      <c r="R38" s="134">
        <f t="shared" si="18"/>
        <v>8.045783333333322</v>
      </c>
      <c r="S38" s="88">
        <v>53.9</v>
      </c>
      <c r="T38" s="106">
        <v>1</v>
      </c>
      <c r="U38" s="90">
        <f t="shared" si="19"/>
        <v>0.14927241805813213</v>
      </c>
      <c r="V38" s="133">
        <v>264.71159999999963</v>
      </c>
      <c r="W38" s="134">
        <f t="shared" si="20"/>
        <v>29.412399999999959</v>
      </c>
      <c r="X38" s="127">
        <v>190</v>
      </c>
      <c r="Y38" s="106">
        <v>1</v>
      </c>
      <c r="Z38" s="90">
        <f t="shared" si="21"/>
        <v>0.15480210526315769</v>
      </c>
      <c r="AA38" s="141">
        <v>64.25969999999991</v>
      </c>
      <c r="AB38" s="134">
        <f t="shared" si="22"/>
        <v>7.1399666666666564</v>
      </c>
      <c r="AC38" s="105">
        <v>42</v>
      </c>
      <c r="AD38" s="106">
        <v>1</v>
      </c>
      <c r="AE38" s="90">
        <f t="shared" si="23"/>
        <v>0.46999920634920611</v>
      </c>
      <c r="AF38" s="133">
        <v>38.36399999999994</v>
      </c>
      <c r="AG38" s="134">
        <f t="shared" si="24"/>
        <v>4.2626666666666599</v>
      </c>
      <c r="AH38" s="105">
        <v>40</v>
      </c>
      <c r="AI38" s="106">
        <v>1</v>
      </c>
      <c r="AJ38" s="90">
        <f t="shared" si="25"/>
        <v>0.1065666666666665</v>
      </c>
      <c r="AK38" s="141">
        <v>17.263799999999975</v>
      </c>
      <c r="AL38" s="134">
        <f t="shared" si="26"/>
        <v>1.9181999999999972</v>
      </c>
      <c r="AM38" s="105">
        <v>130</v>
      </c>
      <c r="AN38" s="106">
        <v>1</v>
      </c>
      <c r="AO38" s="104">
        <f t="shared" si="27"/>
        <v>1.4755384615384594E-2</v>
      </c>
      <c r="AP38" s="89">
        <f t="shared" si="65"/>
        <v>1</v>
      </c>
      <c r="AQ38" s="139">
        <v>54.668699999999916</v>
      </c>
      <c r="AR38" s="134">
        <f t="shared" si="29"/>
        <v>6.0742999999999903</v>
      </c>
      <c r="AS38" s="105">
        <v>225</v>
      </c>
      <c r="AT38" s="106">
        <v>1</v>
      </c>
      <c r="AU38" s="91">
        <f t="shared" si="30"/>
        <v>2.6996888888888845E-2</v>
      </c>
      <c r="AV38" s="92">
        <f t="shared" si="31"/>
        <v>3</v>
      </c>
      <c r="AW38" s="133">
        <v>19.18199999999997</v>
      </c>
      <c r="AX38" s="134">
        <f t="shared" si="32"/>
        <v>2.13133333333333</v>
      </c>
      <c r="AY38" s="93">
        <v>40</v>
      </c>
      <c r="AZ38" s="106">
        <v>1</v>
      </c>
      <c r="BA38" s="91">
        <f t="shared" si="33"/>
        <v>5.3283333333333252E-2</v>
      </c>
      <c r="BB38" s="133">
        <v>21.100199999999969</v>
      </c>
      <c r="BC38" s="134">
        <f t="shared" si="34"/>
        <v>2.3444666666666634</v>
      </c>
      <c r="BD38" s="105">
        <v>130</v>
      </c>
      <c r="BE38" s="106">
        <v>1</v>
      </c>
      <c r="BF38" s="104">
        <f t="shared" si="35"/>
        <v>1.8034358974358948E-2</v>
      </c>
      <c r="BG38" s="89">
        <f t="shared" si="66"/>
        <v>2</v>
      </c>
      <c r="BH38" s="59"/>
      <c r="BI38" s="59"/>
      <c r="BJ38" s="94"/>
      <c r="BK38" s="95"/>
      <c r="BL38" s="96"/>
      <c r="BM38" s="133">
        <v>72.316139999999891</v>
      </c>
      <c r="BN38" s="134">
        <f t="shared" si="37"/>
        <v>8.0351266666666543</v>
      </c>
      <c r="BO38" s="93">
        <v>35</v>
      </c>
      <c r="BP38" s="106">
        <v>1</v>
      </c>
      <c r="BQ38" s="104">
        <f t="shared" si="38"/>
        <v>0.22957504761904726</v>
      </c>
      <c r="BR38" s="133">
        <v>12.276479999999982</v>
      </c>
      <c r="BS38" s="134">
        <f t="shared" si="39"/>
        <v>1.3640533333333313</v>
      </c>
      <c r="BT38" s="97">
        <v>3.4</v>
      </c>
      <c r="BU38" s="106">
        <v>1</v>
      </c>
      <c r="BV38" s="91">
        <f t="shared" si="40"/>
        <v>0.40119215686274451</v>
      </c>
      <c r="BW38" s="133">
        <v>65.794259999999909</v>
      </c>
      <c r="BX38" s="134">
        <f t="shared" si="41"/>
        <v>7.3104733333333236</v>
      </c>
      <c r="BY38" s="105">
        <v>125</v>
      </c>
      <c r="BZ38" s="106">
        <v>1</v>
      </c>
      <c r="CA38" s="104">
        <f t="shared" si="42"/>
        <v>5.8483786666666586E-2</v>
      </c>
      <c r="CB38" s="89">
        <f t="shared" si="67"/>
        <v>3</v>
      </c>
      <c r="CC38" s="98">
        <f t="shared" si="44"/>
        <v>6</v>
      </c>
      <c r="CD38" s="139">
        <v>23.689769999999964</v>
      </c>
      <c r="CE38" s="134">
        <f t="shared" si="45"/>
        <v>2.6321966666666627</v>
      </c>
      <c r="CF38" s="105">
        <v>165</v>
      </c>
      <c r="CG38" s="106">
        <v>1</v>
      </c>
      <c r="CH38" s="91">
        <f t="shared" si="46"/>
        <v>1.5952707070707048E-2</v>
      </c>
      <c r="CI38" s="139">
        <v>32.129849999999955</v>
      </c>
      <c r="CJ38" s="134">
        <f t="shared" si="47"/>
        <v>3.5699833333333282</v>
      </c>
      <c r="CK38" s="105">
        <v>150</v>
      </c>
      <c r="CL38" s="106">
        <v>1</v>
      </c>
      <c r="CM38" s="91">
        <f t="shared" si="48"/>
        <v>2.3799888888888853E-2</v>
      </c>
      <c r="CN38" s="139">
        <v>195.65639999999971</v>
      </c>
      <c r="CO38" s="134">
        <f t="shared" si="49"/>
        <v>21.739599999999967</v>
      </c>
      <c r="CP38" s="93">
        <v>320</v>
      </c>
      <c r="CQ38" s="106">
        <v>1</v>
      </c>
      <c r="CR38" s="91">
        <f t="shared" si="50"/>
        <v>6.7936249999999893E-2</v>
      </c>
      <c r="CS38" s="133">
        <v>586.96919999999909</v>
      </c>
      <c r="CT38" s="134">
        <f t="shared" si="51"/>
        <v>65.218799999999902</v>
      </c>
      <c r="CU38" s="93">
        <v>8000</v>
      </c>
      <c r="CV38" s="106">
        <v>1</v>
      </c>
      <c r="CW38" s="91">
        <f t="shared" si="52"/>
        <v>8.152349999999987E-3</v>
      </c>
      <c r="CX38" s="133">
        <v>391.31279999999941</v>
      </c>
      <c r="CY38" s="134">
        <f t="shared" si="53"/>
        <v>43.479199999999935</v>
      </c>
      <c r="CZ38" s="93">
        <v>300</v>
      </c>
      <c r="DA38" s="106">
        <v>1</v>
      </c>
      <c r="DB38" s="91">
        <f t="shared" si="54"/>
        <v>0.14493066666666646</v>
      </c>
      <c r="DC38" s="99">
        <f t="shared" si="68"/>
        <v>47.954999999999927</v>
      </c>
      <c r="DD38" s="134">
        <f t="shared" si="56"/>
        <v>5.3283333333333252</v>
      </c>
      <c r="DE38" s="100">
        <v>50</v>
      </c>
      <c r="DF38" s="106">
        <v>1</v>
      </c>
      <c r="DG38" s="91">
        <f t="shared" si="57"/>
        <v>0.1065666666666665</v>
      </c>
      <c r="DH38" s="101">
        <f t="shared" si="58"/>
        <v>0.5</v>
      </c>
      <c r="DI38" s="122">
        <f t="shared" si="61"/>
        <v>3</v>
      </c>
      <c r="DJ38" s="122">
        <f t="shared" si="62"/>
        <v>6</v>
      </c>
      <c r="DK38" s="122">
        <f t="shared" si="59"/>
        <v>0.5</v>
      </c>
      <c r="DL38" s="122">
        <f t="shared" si="12"/>
        <v>10</v>
      </c>
      <c r="DM38" s="47">
        <f t="shared" si="9"/>
        <v>9</v>
      </c>
      <c r="DN38" s="122">
        <f t="shared" si="60"/>
        <v>90</v>
      </c>
      <c r="DO38" s="157">
        <f t="shared" si="63"/>
        <v>91</v>
      </c>
      <c r="DP38" s="157"/>
      <c r="DQ38" s="86">
        <f t="shared" si="64"/>
        <v>4.7395833333333339</v>
      </c>
      <c r="DS38" s="42"/>
      <c r="DT38" s="42"/>
      <c r="DU38" s="42"/>
      <c r="DV38" s="42"/>
    </row>
    <row r="39" spans="2:126" s="3" customFormat="1" ht="17.25" customHeight="1">
      <c r="B39" s="151">
        <v>28</v>
      </c>
      <c r="C39" s="142" t="s">
        <v>130</v>
      </c>
      <c r="D39" s="147" t="s">
        <v>116</v>
      </c>
      <c r="E39" s="147" t="s">
        <v>129</v>
      </c>
      <c r="F39" s="108" t="s">
        <v>121</v>
      </c>
      <c r="G39" s="108" t="s">
        <v>18</v>
      </c>
      <c r="H39" s="107"/>
      <c r="I39" s="125">
        <v>7330.91</v>
      </c>
      <c r="J39" s="125">
        <v>7365.2510000000002</v>
      </c>
      <c r="K39" s="87">
        <f t="shared" si="5"/>
        <v>34.341000000000349</v>
      </c>
      <c r="L39" s="87" t="s">
        <v>50</v>
      </c>
      <c r="M39" s="136">
        <v>9</v>
      </c>
      <c r="N39" s="113">
        <v>9</v>
      </c>
      <c r="O39" s="87">
        <f t="shared" si="6"/>
        <v>3.8156666666667056</v>
      </c>
      <c r="P39" s="90">
        <v>1</v>
      </c>
      <c r="Q39" s="139">
        <v>51.85491000000053</v>
      </c>
      <c r="R39" s="134">
        <f t="shared" si="18"/>
        <v>5.7616566666667257</v>
      </c>
      <c r="S39" s="88">
        <v>53.9</v>
      </c>
      <c r="T39" s="106">
        <v>1</v>
      </c>
      <c r="U39" s="90">
        <f t="shared" si="19"/>
        <v>0.10689529993815818</v>
      </c>
      <c r="V39" s="133">
        <v>189.56232000000193</v>
      </c>
      <c r="W39" s="134">
        <f t="shared" si="20"/>
        <v>21.062480000000214</v>
      </c>
      <c r="X39" s="127">
        <v>190</v>
      </c>
      <c r="Y39" s="106">
        <v>1</v>
      </c>
      <c r="Z39" s="90">
        <f t="shared" si="21"/>
        <v>0.11085515789473797</v>
      </c>
      <c r="AA39" s="141">
        <v>46.016940000000474</v>
      </c>
      <c r="AB39" s="134">
        <f t="shared" si="22"/>
        <v>5.1129933333333861</v>
      </c>
      <c r="AC39" s="105">
        <v>42</v>
      </c>
      <c r="AD39" s="106">
        <v>1</v>
      </c>
      <c r="AE39" s="90">
        <f t="shared" si="23"/>
        <v>0.42173793650793778</v>
      </c>
      <c r="AF39" s="133">
        <v>27.47280000000028</v>
      </c>
      <c r="AG39" s="134">
        <f t="shared" si="24"/>
        <v>3.0525333333333644</v>
      </c>
      <c r="AH39" s="105">
        <v>40</v>
      </c>
      <c r="AI39" s="106">
        <v>1</v>
      </c>
      <c r="AJ39" s="90">
        <f t="shared" si="25"/>
        <v>7.6313333333334107E-2</v>
      </c>
      <c r="AK39" s="141">
        <v>12.362760000000128</v>
      </c>
      <c r="AL39" s="134">
        <f t="shared" si="26"/>
        <v>1.3736400000000142</v>
      </c>
      <c r="AM39" s="105">
        <v>130</v>
      </c>
      <c r="AN39" s="106">
        <v>1</v>
      </c>
      <c r="AO39" s="104">
        <f t="shared" si="27"/>
        <v>1.0566461538461648E-2</v>
      </c>
      <c r="AP39" s="89">
        <f t="shared" si="65"/>
        <v>1</v>
      </c>
      <c r="AQ39" s="139">
        <v>39.148740000000394</v>
      </c>
      <c r="AR39" s="134">
        <f t="shared" si="29"/>
        <v>4.349860000000044</v>
      </c>
      <c r="AS39" s="105">
        <v>225</v>
      </c>
      <c r="AT39" s="106">
        <v>1</v>
      </c>
      <c r="AU39" s="91">
        <f t="shared" si="30"/>
        <v>1.9332711111111307E-2</v>
      </c>
      <c r="AV39" s="92">
        <f t="shared" si="31"/>
        <v>3</v>
      </c>
      <c r="AW39" s="133">
        <v>13.73640000000014</v>
      </c>
      <c r="AX39" s="134">
        <f t="shared" si="32"/>
        <v>1.5262666666666822</v>
      </c>
      <c r="AY39" s="93">
        <v>40</v>
      </c>
      <c r="AZ39" s="106">
        <v>1</v>
      </c>
      <c r="BA39" s="91">
        <f t="shared" si="33"/>
        <v>3.8156666666667054E-2</v>
      </c>
      <c r="BB39" s="133">
        <v>15.110040000000156</v>
      </c>
      <c r="BC39" s="134">
        <f t="shared" si="34"/>
        <v>1.6788933333333507</v>
      </c>
      <c r="BD39" s="105">
        <v>130</v>
      </c>
      <c r="BE39" s="106">
        <v>1</v>
      </c>
      <c r="BF39" s="104">
        <f t="shared" si="35"/>
        <v>1.2914564102564237E-2</v>
      </c>
      <c r="BG39" s="89">
        <f t="shared" si="66"/>
        <v>2</v>
      </c>
      <c r="BH39" s="59"/>
      <c r="BI39" s="59"/>
      <c r="BJ39" s="94"/>
      <c r="BK39" s="95"/>
      <c r="BL39" s="96"/>
      <c r="BM39" s="133">
        <v>51.786228000000527</v>
      </c>
      <c r="BN39" s="134">
        <f t="shared" si="37"/>
        <v>5.7540253333333915</v>
      </c>
      <c r="BO39" s="93">
        <v>35</v>
      </c>
      <c r="BP39" s="106">
        <v>1</v>
      </c>
      <c r="BQ39" s="104">
        <f t="shared" si="38"/>
        <v>0.16440072380952547</v>
      </c>
      <c r="BR39" s="133">
        <v>8.7912960000000897</v>
      </c>
      <c r="BS39" s="134">
        <f t="shared" si="39"/>
        <v>0.9768106666666766</v>
      </c>
      <c r="BT39" s="97">
        <v>3.4</v>
      </c>
      <c r="BU39" s="106">
        <v>1</v>
      </c>
      <c r="BV39" s="91">
        <f t="shared" si="40"/>
        <v>0.28729725490196373</v>
      </c>
      <c r="BW39" s="133">
        <v>47.11585200000048</v>
      </c>
      <c r="BX39" s="134">
        <f t="shared" si="41"/>
        <v>5.2350946666667202</v>
      </c>
      <c r="BY39" s="105">
        <v>125</v>
      </c>
      <c r="BZ39" s="106">
        <v>1</v>
      </c>
      <c r="CA39" s="104">
        <f t="shared" si="42"/>
        <v>4.1880757333333761E-2</v>
      </c>
      <c r="CB39" s="89">
        <f t="shared" si="67"/>
        <v>3</v>
      </c>
      <c r="CC39" s="98">
        <f t="shared" si="44"/>
        <v>6</v>
      </c>
      <c r="CD39" s="139">
        <v>16.964454000000174</v>
      </c>
      <c r="CE39" s="134">
        <f t="shared" si="45"/>
        <v>1.8849393333333526</v>
      </c>
      <c r="CF39" s="105">
        <v>165</v>
      </c>
      <c r="CG39" s="106">
        <v>1</v>
      </c>
      <c r="CH39" s="91">
        <f t="shared" si="46"/>
        <v>1.1423874747474864E-2</v>
      </c>
      <c r="CI39" s="139">
        <v>23.008470000000237</v>
      </c>
      <c r="CJ39" s="134">
        <f t="shared" si="47"/>
        <v>2.5564966666666931</v>
      </c>
      <c r="CK39" s="105">
        <v>150</v>
      </c>
      <c r="CL39" s="106">
        <v>1</v>
      </c>
      <c r="CM39" s="91">
        <f t="shared" si="48"/>
        <v>1.7043311111111289E-2</v>
      </c>
      <c r="CN39" s="139">
        <v>140.11128000000141</v>
      </c>
      <c r="CO39" s="134">
        <f t="shared" si="49"/>
        <v>15.567920000000157</v>
      </c>
      <c r="CP39" s="93">
        <v>320</v>
      </c>
      <c r="CQ39" s="106">
        <v>1</v>
      </c>
      <c r="CR39" s="91">
        <f t="shared" si="50"/>
        <v>4.8649750000000491E-2</v>
      </c>
      <c r="CS39" s="133">
        <v>420.33384000000422</v>
      </c>
      <c r="CT39" s="134">
        <f t="shared" si="51"/>
        <v>46.703760000000472</v>
      </c>
      <c r="CU39" s="93">
        <v>8000</v>
      </c>
      <c r="CV39" s="106">
        <v>1</v>
      </c>
      <c r="CW39" s="91">
        <f t="shared" si="52"/>
        <v>5.8379700000000586E-3</v>
      </c>
      <c r="CX39" s="133">
        <v>280.22256000000283</v>
      </c>
      <c r="CY39" s="134">
        <f t="shared" si="53"/>
        <v>31.135840000000314</v>
      </c>
      <c r="CZ39" s="93">
        <v>300</v>
      </c>
      <c r="DA39" s="106">
        <v>1</v>
      </c>
      <c r="DB39" s="91">
        <f t="shared" si="54"/>
        <v>0.10378613333333438</v>
      </c>
      <c r="DC39" s="99">
        <f t="shared" si="68"/>
        <v>34.341000000000349</v>
      </c>
      <c r="DD39" s="134">
        <f t="shared" si="56"/>
        <v>3.8156666666667056</v>
      </c>
      <c r="DE39" s="100">
        <v>50</v>
      </c>
      <c r="DF39" s="106">
        <v>1</v>
      </c>
      <c r="DG39" s="91">
        <f t="shared" si="57"/>
        <v>7.6313333333334107E-2</v>
      </c>
      <c r="DH39" s="101">
        <f t="shared" si="58"/>
        <v>0.5</v>
      </c>
      <c r="DI39" s="122">
        <f t="shared" si="61"/>
        <v>3</v>
      </c>
      <c r="DJ39" s="122">
        <f t="shared" si="62"/>
        <v>6</v>
      </c>
      <c r="DK39" s="122">
        <f t="shared" si="59"/>
        <v>0.5</v>
      </c>
      <c r="DL39" s="122">
        <f t="shared" si="12"/>
        <v>10</v>
      </c>
      <c r="DM39" s="47">
        <f t="shared" si="9"/>
        <v>9</v>
      </c>
      <c r="DN39" s="122">
        <f t="shared" si="60"/>
        <v>90</v>
      </c>
      <c r="DO39" s="157">
        <f t="shared" si="63"/>
        <v>91</v>
      </c>
      <c r="DP39" s="157"/>
      <c r="DQ39" s="86">
        <f t="shared" si="64"/>
        <v>4.7395833333333339</v>
      </c>
      <c r="DS39" s="42"/>
      <c r="DT39" s="42"/>
      <c r="DU39" s="42"/>
      <c r="DV39" s="42"/>
    </row>
    <row r="40" spans="2:126" s="3" customFormat="1" ht="17.25" customHeight="1">
      <c r="B40" s="151">
        <v>29</v>
      </c>
      <c r="C40" s="142" t="s">
        <v>131</v>
      </c>
      <c r="D40" s="147" t="s">
        <v>117</v>
      </c>
      <c r="E40" s="147" t="s">
        <v>129</v>
      </c>
      <c r="F40" s="108" t="s">
        <v>121</v>
      </c>
      <c r="G40" s="108" t="s">
        <v>18</v>
      </c>
      <c r="H40" s="107"/>
      <c r="I40" s="125">
        <v>7656.5320000000002</v>
      </c>
      <c r="J40" s="125">
        <v>7686.3829999999998</v>
      </c>
      <c r="K40" s="87">
        <f t="shared" si="5"/>
        <v>29.850999999999658</v>
      </c>
      <c r="L40" s="87" t="s">
        <v>50</v>
      </c>
      <c r="M40" s="136">
        <v>7</v>
      </c>
      <c r="N40" s="113">
        <v>6</v>
      </c>
      <c r="O40" s="87">
        <f t="shared" si="6"/>
        <v>4.9751666666666097</v>
      </c>
      <c r="P40" s="90">
        <v>1</v>
      </c>
      <c r="Q40" s="139">
        <v>45.075009999999487</v>
      </c>
      <c r="R40" s="134">
        <f t="shared" si="18"/>
        <v>7.5125016666665809</v>
      </c>
      <c r="S40" s="88">
        <v>53.9</v>
      </c>
      <c r="T40" s="106">
        <v>1</v>
      </c>
      <c r="U40" s="90">
        <f t="shared" si="19"/>
        <v>0.13937850958565084</v>
      </c>
      <c r="V40" s="133">
        <v>164.77751999999811</v>
      </c>
      <c r="W40" s="134">
        <f t="shared" si="20"/>
        <v>27.462919999999684</v>
      </c>
      <c r="X40" s="127">
        <v>190</v>
      </c>
      <c r="Y40" s="106">
        <v>1</v>
      </c>
      <c r="Z40" s="90">
        <f t="shared" si="21"/>
        <v>0.14454168421052466</v>
      </c>
      <c r="AA40" s="141">
        <v>40.000339999999547</v>
      </c>
      <c r="AB40" s="134">
        <f t="shared" si="22"/>
        <v>6.6667233333332581</v>
      </c>
      <c r="AC40" s="105">
        <v>42</v>
      </c>
      <c r="AD40" s="106">
        <v>1</v>
      </c>
      <c r="AE40" s="90">
        <f t="shared" si="23"/>
        <v>0.45873150793650613</v>
      </c>
      <c r="AF40" s="133">
        <v>23.880799999999727</v>
      </c>
      <c r="AG40" s="134">
        <f t="shared" si="24"/>
        <v>3.980133333333288</v>
      </c>
      <c r="AH40" s="105">
        <v>40</v>
      </c>
      <c r="AI40" s="106">
        <v>1</v>
      </c>
      <c r="AJ40" s="90">
        <f t="shared" si="25"/>
        <v>9.9503333333332195E-2</v>
      </c>
      <c r="AK40" s="141">
        <v>10.746359999999878</v>
      </c>
      <c r="AL40" s="134">
        <f t="shared" si="26"/>
        <v>1.7910599999999797</v>
      </c>
      <c r="AM40" s="105">
        <v>130</v>
      </c>
      <c r="AN40" s="106">
        <v>1</v>
      </c>
      <c r="AO40" s="104">
        <f t="shared" si="27"/>
        <v>1.3777384615384459E-2</v>
      </c>
      <c r="AP40" s="89">
        <f t="shared" si="65"/>
        <v>1</v>
      </c>
      <c r="AQ40" s="139">
        <v>34.030139999999605</v>
      </c>
      <c r="AR40" s="134">
        <f t="shared" si="29"/>
        <v>5.6716899999999342</v>
      </c>
      <c r="AS40" s="105">
        <v>225</v>
      </c>
      <c r="AT40" s="106">
        <v>1</v>
      </c>
      <c r="AU40" s="91">
        <f t="shared" si="30"/>
        <v>2.5207511111110817E-2</v>
      </c>
      <c r="AV40" s="92">
        <f t="shared" si="31"/>
        <v>3</v>
      </c>
      <c r="AW40" s="133">
        <v>11.940399999999864</v>
      </c>
      <c r="AX40" s="134">
        <f t="shared" si="32"/>
        <v>1.990066666666644</v>
      </c>
      <c r="AY40" s="93">
        <v>40</v>
      </c>
      <c r="AZ40" s="106">
        <v>1</v>
      </c>
      <c r="BA40" s="91">
        <f t="shared" si="33"/>
        <v>4.9751666666666097E-2</v>
      </c>
      <c r="BB40" s="133">
        <v>13.13443999999985</v>
      </c>
      <c r="BC40" s="134">
        <f t="shared" si="34"/>
        <v>2.1890733333333086</v>
      </c>
      <c r="BD40" s="105">
        <v>130</v>
      </c>
      <c r="BE40" s="106">
        <v>1</v>
      </c>
      <c r="BF40" s="104">
        <f t="shared" si="35"/>
        <v>1.6839025641025452E-2</v>
      </c>
      <c r="BG40" s="89">
        <f t="shared" si="66"/>
        <v>2</v>
      </c>
      <c r="BH40" s="59"/>
      <c r="BI40" s="59"/>
      <c r="BJ40" s="94"/>
      <c r="BK40" s="95"/>
      <c r="BL40" s="96"/>
      <c r="BM40" s="133">
        <v>45.015307999999486</v>
      </c>
      <c r="BN40" s="134">
        <f t="shared" si="37"/>
        <v>7.5025513333332476</v>
      </c>
      <c r="BO40" s="93">
        <v>35</v>
      </c>
      <c r="BP40" s="106">
        <v>1</v>
      </c>
      <c r="BQ40" s="104">
        <f t="shared" si="38"/>
        <v>0.21435860952380709</v>
      </c>
      <c r="BR40" s="133">
        <v>7.6418559999999127</v>
      </c>
      <c r="BS40" s="134">
        <f t="shared" si="39"/>
        <v>1.273642666666652</v>
      </c>
      <c r="BT40" s="97">
        <v>3.4</v>
      </c>
      <c r="BU40" s="106">
        <v>1</v>
      </c>
      <c r="BV40" s="91">
        <f t="shared" si="40"/>
        <v>0.37460078431372118</v>
      </c>
      <c r="BW40" s="133">
        <v>40.955571999999535</v>
      </c>
      <c r="BX40" s="134">
        <f t="shared" si="41"/>
        <v>6.8259286666665888</v>
      </c>
      <c r="BY40" s="105">
        <v>125</v>
      </c>
      <c r="BZ40" s="106">
        <v>1</v>
      </c>
      <c r="CA40" s="104">
        <f t="shared" si="42"/>
        <v>5.4607429333332708E-2</v>
      </c>
      <c r="CB40" s="89">
        <f t="shared" si="67"/>
        <v>3</v>
      </c>
      <c r="CC40" s="98">
        <f t="shared" si="44"/>
        <v>6</v>
      </c>
      <c r="CD40" s="139">
        <v>14.746393999999832</v>
      </c>
      <c r="CE40" s="134">
        <f t="shared" si="45"/>
        <v>2.4577323333333054</v>
      </c>
      <c r="CF40" s="105">
        <v>165</v>
      </c>
      <c r="CG40" s="106">
        <v>1</v>
      </c>
      <c r="CH40" s="91">
        <f t="shared" si="46"/>
        <v>1.4895347474747305E-2</v>
      </c>
      <c r="CI40" s="139">
        <v>20.000169999999773</v>
      </c>
      <c r="CJ40" s="134">
        <f t="shared" si="47"/>
        <v>3.333361666666629</v>
      </c>
      <c r="CK40" s="105">
        <v>150</v>
      </c>
      <c r="CL40" s="106">
        <v>1</v>
      </c>
      <c r="CM40" s="91">
        <f t="shared" si="48"/>
        <v>2.2222411111110861E-2</v>
      </c>
      <c r="CN40" s="139">
        <v>121.79207999999861</v>
      </c>
      <c r="CO40" s="134">
        <f t="shared" si="49"/>
        <v>20.298679999999766</v>
      </c>
      <c r="CP40" s="93">
        <v>320</v>
      </c>
      <c r="CQ40" s="106">
        <v>1</v>
      </c>
      <c r="CR40" s="91">
        <f t="shared" si="50"/>
        <v>6.3433374999999265E-2</v>
      </c>
      <c r="CS40" s="133">
        <v>365.37623999999585</v>
      </c>
      <c r="CT40" s="134">
        <f t="shared" si="51"/>
        <v>60.89603999999931</v>
      </c>
      <c r="CU40" s="93">
        <v>8000</v>
      </c>
      <c r="CV40" s="106">
        <v>1</v>
      </c>
      <c r="CW40" s="91">
        <f t="shared" si="52"/>
        <v>7.6120049999999139E-3</v>
      </c>
      <c r="CX40" s="133">
        <v>243.58415999999721</v>
      </c>
      <c r="CY40" s="134">
        <f t="shared" si="53"/>
        <v>40.597359999999533</v>
      </c>
      <c r="CZ40" s="93">
        <v>300</v>
      </c>
      <c r="DA40" s="106">
        <v>1</v>
      </c>
      <c r="DB40" s="91">
        <f t="shared" si="54"/>
        <v>0.13532453333333178</v>
      </c>
      <c r="DC40" s="99">
        <f t="shared" si="68"/>
        <v>29.850999999999658</v>
      </c>
      <c r="DD40" s="134">
        <f t="shared" si="56"/>
        <v>4.9751666666666097</v>
      </c>
      <c r="DE40" s="100">
        <v>50</v>
      </c>
      <c r="DF40" s="106">
        <v>1</v>
      </c>
      <c r="DG40" s="91">
        <f t="shared" si="57"/>
        <v>9.9503333333332195E-2</v>
      </c>
      <c r="DH40" s="101">
        <f t="shared" si="58"/>
        <v>0.5</v>
      </c>
      <c r="DI40" s="122">
        <f t="shared" ref="DI40:DI55" si="69">AV40</f>
        <v>3</v>
      </c>
      <c r="DJ40" s="122">
        <f t="shared" ref="DJ40:DJ55" si="70">CC40</f>
        <v>6</v>
      </c>
      <c r="DK40" s="122">
        <f t="shared" si="59"/>
        <v>0.5</v>
      </c>
      <c r="DL40" s="122">
        <f t="shared" si="12"/>
        <v>10</v>
      </c>
      <c r="DM40" s="47">
        <f t="shared" si="9"/>
        <v>6</v>
      </c>
      <c r="DN40" s="122">
        <f t="shared" si="60"/>
        <v>60</v>
      </c>
      <c r="DO40" s="157">
        <f t="shared" ref="DO40:DO55" si="71">DN40+1</f>
        <v>61</v>
      </c>
      <c r="DP40" s="157"/>
      <c r="DQ40" s="86">
        <f t="shared" si="64"/>
        <v>3.1770833333333335</v>
      </c>
      <c r="DS40" s="42"/>
      <c r="DT40" s="42"/>
      <c r="DU40" s="42"/>
      <c r="DV40" s="42"/>
    </row>
    <row r="41" spans="2:126" s="3" customFormat="1" ht="17.25" customHeight="1">
      <c r="B41" s="151">
        <v>30</v>
      </c>
      <c r="C41" s="142" t="s">
        <v>118</v>
      </c>
      <c r="D41" s="147" t="s">
        <v>119</v>
      </c>
      <c r="E41" s="147"/>
      <c r="F41" s="108" t="s">
        <v>121</v>
      </c>
      <c r="G41" s="108" t="s">
        <v>18</v>
      </c>
      <c r="H41" s="107">
        <v>80</v>
      </c>
      <c r="I41" s="138">
        <v>7856.6379999999999</v>
      </c>
      <c r="J41" s="138">
        <v>7906.0159999999996</v>
      </c>
      <c r="K41" s="87">
        <f t="shared" si="5"/>
        <v>49.377999999999702</v>
      </c>
      <c r="L41" s="87" t="s">
        <v>50</v>
      </c>
      <c r="M41" s="136">
        <v>9</v>
      </c>
      <c r="N41" s="113">
        <v>9</v>
      </c>
      <c r="O41" s="87">
        <f t="shared" si="6"/>
        <v>5.4864444444444116</v>
      </c>
      <c r="P41" s="90">
        <v>1</v>
      </c>
      <c r="Q41" s="139">
        <v>74.560779999999554</v>
      </c>
      <c r="R41" s="134">
        <f t="shared" si="18"/>
        <v>8.2845311111110611</v>
      </c>
      <c r="S41" s="88">
        <v>53.9</v>
      </c>
      <c r="T41" s="106">
        <v>1</v>
      </c>
      <c r="U41" s="90">
        <f t="shared" si="19"/>
        <v>0.15370187590187498</v>
      </c>
      <c r="V41" s="133">
        <v>272.56655999999839</v>
      </c>
      <c r="W41" s="134">
        <f t="shared" si="20"/>
        <v>30.285173333333155</v>
      </c>
      <c r="X41" s="127">
        <v>190</v>
      </c>
      <c r="Y41" s="106">
        <v>1</v>
      </c>
      <c r="Z41" s="90">
        <f t="shared" si="21"/>
        <v>0.15939564912280607</v>
      </c>
      <c r="AA41" s="141">
        <v>66.166519999999608</v>
      </c>
      <c r="AB41" s="134">
        <f t="shared" si="22"/>
        <v>7.3518355555555122</v>
      </c>
      <c r="AC41" s="105">
        <v>42</v>
      </c>
      <c r="AD41" s="106">
        <v>1</v>
      </c>
      <c r="AE41" s="90">
        <f t="shared" si="23"/>
        <v>0.47504370370370264</v>
      </c>
      <c r="AF41" s="133">
        <v>39.502399999999767</v>
      </c>
      <c r="AG41" s="134">
        <f t="shared" si="24"/>
        <v>4.3891555555555293</v>
      </c>
      <c r="AH41" s="105">
        <v>40</v>
      </c>
      <c r="AI41" s="106">
        <v>1</v>
      </c>
      <c r="AJ41" s="90">
        <f t="shared" si="25"/>
        <v>0.10972888888888824</v>
      </c>
      <c r="AK41" s="141">
        <v>17.776079999999894</v>
      </c>
      <c r="AL41" s="134">
        <f t="shared" si="26"/>
        <v>1.9751199999999882</v>
      </c>
      <c r="AM41" s="105">
        <v>130</v>
      </c>
      <c r="AN41" s="106">
        <v>1</v>
      </c>
      <c r="AO41" s="104">
        <f t="shared" si="27"/>
        <v>1.5193230769230679E-2</v>
      </c>
      <c r="AP41" s="89">
        <f t="shared" si="65"/>
        <v>1</v>
      </c>
      <c r="AQ41" s="139">
        <v>56.290919999999652</v>
      </c>
      <c r="AR41" s="134">
        <f t="shared" si="29"/>
        <v>6.2545466666666281</v>
      </c>
      <c r="AS41" s="105">
        <v>225</v>
      </c>
      <c r="AT41" s="106">
        <v>1</v>
      </c>
      <c r="AU41" s="91">
        <f t="shared" si="30"/>
        <v>2.7797985185185014E-2</v>
      </c>
      <c r="AV41" s="92">
        <f t="shared" si="31"/>
        <v>3</v>
      </c>
      <c r="AW41" s="133">
        <v>19.751199999999884</v>
      </c>
      <c r="AX41" s="134">
        <f t="shared" si="32"/>
        <v>2.1945777777777646</v>
      </c>
      <c r="AY41" s="93">
        <v>40</v>
      </c>
      <c r="AZ41" s="106">
        <v>1</v>
      </c>
      <c r="BA41" s="91">
        <f t="shared" si="33"/>
        <v>5.4864444444444119E-2</v>
      </c>
      <c r="BB41" s="133">
        <v>21.726319999999873</v>
      </c>
      <c r="BC41" s="134">
        <f t="shared" si="34"/>
        <v>2.4140355555555413</v>
      </c>
      <c r="BD41" s="105">
        <v>130</v>
      </c>
      <c r="BE41" s="106">
        <v>1</v>
      </c>
      <c r="BF41" s="104">
        <f t="shared" si="35"/>
        <v>1.8569504273504164E-2</v>
      </c>
      <c r="BG41" s="89">
        <f t="shared" si="66"/>
        <v>2</v>
      </c>
      <c r="BH41" s="59"/>
      <c r="BI41" s="59"/>
      <c r="BJ41" s="94"/>
      <c r="BK41" s="95"/>
      <c r="BL41" s="96"/>
      <c r="BM41" s="133">
        <v>74.462023999999545</v>
      </c>
      <c r="BN41" s="134">
        <f t="shared" si="37"/>
        <v>8.2735582222221709</v>
      </c>
      <c r="BO41" s="93">
        <v>35</v>
      </c>
      <c r="BP41" s="106">
        <v>1</v>
      </c>
      <c r="BQ41" s="104">
        <f t="shared" si="38"/>
        <v>0.2363873777777763</v>
      </c>
      <c r="BR41" s="133">
        <v>12.640767999999923</v>
      </c>
      <c r="BS41" s="134">
        <f t="shared" si="39"/>
        <v>1.4045297777777692</v>
      </c>
      <c r="BT41" s="97">
        <v>3.4</v>
      </c>
      <c r="BU41" s="106">
        <v>1</v>
      </c>
      <c r="BV41" s="91">
        <f t="shared" si="40"/>
        <v>0.41309699346404977</v>
      </c>
      <c r="BW41" s="133">
        <v>67.746615999999591</v>
      </c>
      <c r="BX41" s="134">
        <f t="shared" si="41"/>
        <v>7.5274017777777322</v>
      </c>
      <c r="BY41" s="105">
        <v>125</v>
      </c>
      <c r="BZ41" s="106">
        <v>1</v>
      </c>
      <c r="CA41" s="104">
        <f t="shared" si="42"/>
        <v>6.0219214222221859E-2</v>
      </c>
      <c r="CB41" s="89">
        <f t="shared" si="67"/>
        <v>3</v>
      </c>
      <c r="CC41" s="98">
        <f t="shared" si="44"/>
        <v>6</v>
      </c>
      <c r="CD41" s="139">
        <v>24.392731999999853</v>
      </c>
      <c r="CE41" s="134">
        <f t="shared" si="45"/>
        <v>2.710303555555539</v>
      </c>
      <c r="CF41" s="105">
        <v>165</v>
      </c>
      <c r="CG41" s="106">
        <v>1</v>
      </c>
      <c r="CH41" s="91">
        <f t="shared" si="46"/>
        <v>1.6426082154882053E-2</v>
      </c>
      <c r="CI41" s="139">
        <v>33.083259999999804</v>
      </c>
      <c r="CJ41" s="134">
        <f t="shared" si="47"/>
        <v>3.6759177777777561</v>
      </c>
      <c r="CK41" s="105">
        <v>150</v>
      </c>
      <c r="CL41" s="106">
        <v>1</v>
      </c>
      <c r="CM41" s="91">
        <f t="shared" si="48"/>
        <v>2.4506118518518374E-2</v>
      </c>
      <c r="CN41" s="139">
        <v>201.46223999999879</v>
      </c>
      <c r="CO41" s="134">
        <f t="shared" si="49"/>
        <v>22.3846933333332</v>
      </c>
      <c r="CP41" s="93">
        <v>320</v>
      </c>
      <c r="CQ41" s="106">
        <v>1</v>
      </c>
      <c r="CR41" s="91">
        <f t="shared" si="50"/>
        <v>6.9952166666666246E-2</v>
      </c>
      <c r="CS41" s="133">
        <v>604.38671999999633</v>
      </c>
      <c r="CT41" s="134">
        <f t="shared" si="51"/>
        <v>67.154079999999595</v>
      </c>
      <c r="CU41" s="93">
        <v>8000</v>
      </c>
      <c r="CV41" s="106">
        <v>1</v>
      </c>
      <c r="CW41" s="91">
        <f t="shared" si="52"/>
        <v>8.3942599999999486E-3</v>
      </c>
      <c r="CX41" s="133">
        <v>402.92447999999757</v>
      </c>
      <c r="CY41" s="134">
        <f t="shared" si="53"/>
        <v>44.769386666666399</v>
      </c>
      <c r="CZ41" s="93">
        <v>300</v>
      </c>
      <c r="DA41" s="106">
        <v>1</v>
      </c>
      <c r="DB41" s="91">
        <f t="shared" si="54"/>
        <v>0.14923128888888801</v>
      </c>
      <c r="DC41" s="99">
        <f t="shared" si="68"/>
        <v>49.377999999999702</v>
      </c>
      <c r="DD41" s="134">
        <f t="shared" si="56"/>
        <v>5.4864444444444116</v>
      </c>
      <c r="DE41" s="100">
        <v>50</v>
      </c>
      <c r="DF41" s="106">
        <v>1</v>
      </c>
      <c r="DG41" s="91">
        <f t="shared" si="57"/>
        <v>0.10972888888888824</v>
      </c>
      <c r="DH41" s="101">
        <f t="shared" si="58"/>
        <v>0.5</v>
      </c>
      <c r="DI41" s="122">
        <f t="shared" si="69"/>
        <v>3</v>
      </c>
      <c r="DJ41" s="122">
        <f t="shared" si="70"/>
        <v>6</v>
      </c>
      <c r="DK41" s="122">
        <f t="shared" si="59"/>
        <v>0.5</v>
      </c>
      <c r="DL41" s="122">
        <f t="shared" si="12"/>
        <v>10</v>
      </c>
      <c r="DM41" s="47">
        <f t="shared" si="9"/>
        <v>9</v>
      </c>
      <c r="DN41" s="122">
        <f t="shared" si="60"/>
        <v>90</v>
      </c>
      <c r="DO41" s="157">
        <f t="shared" si="71"/>
        <v>91</v>
      </c>
      <c r="DP41" s="157"/>
      <c r="DQ41" s="86">
        <f t="shared" si="64"/>
        <v>4.7395833333333339</v>
      </c>
      <c r="DS41" s="42"/>
      <c r="DT41" s="85">
        <f>SUM(DO32:DP41)/19.2</f>
        <v>45.260416666666671</v>
      </c>
      <c r="DU41" s="42"/>
      <c r="DV41" s="42"/>
    </row>
    <row r="42" spans="2:126" s="3" customFormat="1" ht="17.25" customHeight="1">
      <c r="B42" s="154">
        <v>31</v>
      </c>
      <c r="C42" s="156" t="s">
        <v>132</v>
      </c>
      <c r="D42" s="147" t="s">
        <v>120</v>
      </c>
      <c r="E42" s="147" t="s">
        <v>129</v>
      </c>
      <c r="F42" s="108"/>
      <c r="G42" s="108" t="s">
        <v>18</v>
      </c>
      <c r="H42" s="107"/>
      <c r="I42" s="138">
        <v>8028.7250000000004</v>
      </c>
      <c r="J42" s="138">
        <v>8070.9219999999996</v>
      </c>
      <c r="K42" s="87">
        <f t="shared" si="5"/>
        <v>42.196999999999207</v>
      </c>
      <c r="L42" s="87" t="s">
        <v>50</v>
      </c>
      <c r="M42" s="136">
        <v>8</v>
      </c>
      <c r="N42" s="113">
        <v>8</v>
      </c>
      <c r="O42" s="87">
        <f t="shared" si="6"/>
        <v>5.2746249999999009</v>
      </c>
      <c r="P42" s="90">
        <v>1</v>
      </c>
      <c r="Q42" s="139">
        <v>63.717469999998805</v>
      </c>
      <c r="R42" s="134">
        <f t="shared" si="18"/>
        <v>7.9646837499998506</v>
      </c>
      <c r="S42" s="88">
        <v>53.9</v>
      </c>
      <c r="T42" s="106">
        <v>1</v>
      </c>
      <c r="U42" s="90">
        <f t="shared" si="19"/>
        <v>0.14776778756957051</v>
      </c>
      <c r="V42" s="133">
        <v>232.92743999999561</v>
      </c>
      <c r="W42" s="134">
        <f t="shared" si="20"/>
        <v>29.115929999999452</v>
      </c>
      <c r="X42" s="127">
        <v>190</v>
      </c>
      <c r="Y42" s="106">
        <v>1</v>
      </c>
      <c r="Z42" s="90">
        <f t="shared" si="21"/>
        <v>0.15324173684210238</v>
      </c>
      <c r="AA42" s="141">
        <v>56.543979999998939</v>
      </c>
      <c r="AB42" s="134">
        <f t="shared" si="22"/>
        <v>7.0679974999998674</v>
      </c>
      <c r="AC42" s="105">
        <v>42</v>
      </c>
      <c r="AD42" s="106">
        <v>1</v>
      </c>
      <c r="AE42" s="90">
        <f t="shared" si="23"/>
        <v>0.46828565476190159</v>
      </c>
      <c r="AF42" s="133">
        <v>33.757599999999364</v>
      </c>
      <c r="AG42" s="134">
        <f t="shared" si="24"/>
        <v>4.2196999999999205</v>
      </c>
      <c r="AH42" s="105">
        <v>40</v>
      </c>
      <c r="AI42" s="106">
        <v>1</v>
      </c>
      <c r="AJ42" s="90">
        <f t="shared" si="25"/>
        <v>0.10549249999999802</v>
      </c>
      <c r="AK42" s="141">
        <v>15.190919999999716</v>
      </c>
      <c r="AL42" s="134">
        <f t="shared" si="26"/>
        <v>1.8988649999999645</v>
      </c>
      <c r="AM42" s="105">
        <v>130</v>
      </c>
      <c r="AN42" s="106">
        <v>1</v>
      </c>
      <c r="AO42" s="104">
        <f t="shared" si="27"/>
        <v>1.4606653846153573E-2</v>
      </c>
      <c r="AP42" s="89">
        <f t="shared" si="65"/>
        <v>1</v>
      </c>
      <c r="AQ42" s="139">
        <v>48.104579999999089</v>
      </c>
      <c r="AR42" s="134">
        <f t="shared" si="29"/>
        <v>6.0130724999998861</v>
      </c>
      <c r="AS42" s="105">
        <v>225</v>
      </c>
      <c r="AT42" s="106">
        <v>1</v>
      </c>
      <c r="AU42" s="91">
        <f t="shared" si="30"/>
        <v>2.672476666666616E-2</v>
      </c>
      <c r="AV42" s="92">
        <f t="shared" si="31"/>
        <v>3</v>
      </c>
      <c r="AW42" s="133">
        <v>16.878799999999682</v>
      </c>
      <c r="AX42" s="134">
        <f t="shared" si="32"/>
        <v>2.1098499999999603</v>
      </c>
      <c r="AY42" s="93">
        <v>40</v>
      </c>
      <c r="AZ42" s="106">
        <v>1</v>
      </c>
      <c r="BA42" s="91">
        <f t="shared" si="33"/>
        <v>5.2746249999999009E-2</v>
      </c>
      <c r="BB42" s="133">
        <v>18.566679999999653</v>
      </c>
      <c r="BC42" s="134">
        <f t="shared" si="34"/>
        <v>2.3208349999999567</v>
      </c>
      <c r="BD42" s="105">
        <v>130</v>
      </c>
      <c r="BE42" s="106">
        <v>1</v>
      </c>
      <c r="BF42" s="104">
        <f t="shared" si="35"/>
        <v>1.7852576923076589E-2</v>
      </c>
      <c r="BG42" s="89">
        <f t="shared" si="66"/>
        <v>2</v>
      </c>
      <c r="BH42" s="59"/>
      <c r="BI42" s="59"/>
      <c r="BJ42" s="94"/>
      <c r="BK42" s="95"/>
      <c r="BL42" s="96"/>
      <c r="BM42" s="133">
        <v>63.633075999998802</v>
      </c>
      <c r="BN42" s="134">
        <f t="shared" si="37"/>
        <v>7.9541344999998502</v>
      </c>
      <c r="BO42" s="93">
        <v>35</v>
      </c>
      <c r="BP42" s="106">
        <v>1</v>
      </c>
      <c r="BQ42" s="104">
        <f t="shared" si="38"/>
        <v>0.22726098571428144</v>
      </c>
      <c r="BR42" s="133">
        <v>10.802431999999797</v>
      </c>
      <c r="BS42" s="134">
        <f t="shared" si="39"/>
        <v>1.3503039999999746</v>
      </c>
      <c r="BT42" s="97">
        <v>3.4</v>
      </c>
      <c r="BU42" s="106">
        <v>1</v>
      </c>
      <c r="BV42" s="91">
        <f t="shared" si="40"/>
        <v>0.3971482352941102</v>
      </c>
      <c r="BW42" s="133">
        <v>57.894283999998919</v>
      </c>
      <c r="BX42" s="134">
        <f t="shared" si="41"/>
        <v>7.2367854999998649</v>
      </c>
      <c r="BY42" s="105">
        <v>125</v>
      </c>
      <c r="BZ42" s="106">
        <v>1</v>
      </c>
      <c r="CA42" s="104">
        <f t="shared" si="42"/>
        <v>5.7894283999998922E-2</v>
      </c>
      <c r="CB42" s="89">
        <f t="shared" si="67"/>
        <v>3</v>
      </c>
      <c r="CC42" s="98">
        <f t="shared" si="44"/>
        <v>6</v>
      </c>
      <c r="CD42" s="139">
        <v>20.845317999999608</v>
      </c>
      <c r="CE42" s="134">
        <f t="shared" si="45"/>
        <v>2.605664749999951</v>
      </c>
      <c r="CF42" s="105">
        <v>165</v>
      </c>
      <c r="CG42" s="106">
        <v>1</v>
      </c>
      <c r="CH42" s="91">
        <f t="shared" si="46"/>
        <v>1.579190757575728E-2</v>
      </c>
      <c r="CI42" s="139">
        <v>28.271989999999469</v>
      </c>
      <c r="CJ42" s="134">
        <f t="shared" si="47"/>
        <v>3.5339987499999337</v>
      </c>
      <c r="CK42" s="105">
        <v>150</v>
      </c>
      <c r="CL42" s="106">
        <v>1</v>
      </c>
      <c r="CM42" s="91">
        <f t="shared" si="48"/>
        <v>2.3559991666666225E-2</v>
      </c>
      <c r="CN42" s="139">
        <v>172.16375999999676</v>
      </c>
      <c r="CO42" s="134">
        <f t="shared" si="49"/>
        <v>21.520469999999595</v>
      </c>
      <c r="CP42" s="93">
        <v>320</v>
      </c>
      <c r="CQ42" s="106">
        <v>1</v>
      </c>
      <c r="CR42" s="91">
        <f t="shared" si="50"/>
        <v>6.7251468749998738E-2</v>
      </c>
      <c r="CS42" s="133">
        <v>516.4912799999903</v>
      </c>
      <c r="CT42" s="134">
        <f t="shared" si="51"/>
        <v>64.561409999998787</v>
      </c>
      <c r="CU42" s="93">
        <v>8000</v>
      </c>
      <c r="CV42" s="106">
        <v>1</v>
      </c>
      <c r="CW42" s="91">
        <f t="shared" si="52"/>
        <v>8.070176249999849E-3</v>
      </c>
      <c r="CX42" s="133">
        <v>344.32751999999351</v>
      </c>
      <c r="CY42" s="134">
        <f t="shared" si="53"/>
        <v>43.040939999999189</v>
      </c>
      <c r="CZ42" s="93">
        <v>300</v>
      </c>
      <c r="DA42" s="106">
        <v>1</v>
      </c>
      <c r="DB42" s="91">
        <f t="shared" si="54"/>
        <v>0.14346979999999729</v>
      </c>
      <c r="DC42" s="99">
        <f t="shared" si="68"/>
        <v>42.196999999999207</v>
      </c>
      <c r="DD42" s="134">
        <f t="shared" si="56"/>
        <v>5.2746249999999009</v>
      </c>
      <c r="DE42" s="100">
        <v>50</v>
      </c>
      <c r="DF42" s="106">
        <v>1</v>
      </c>
      <c r="DG42" s="91">
        <f t="shared" si="57"/>
        <v>0.10549249999999802</v>
      </c>
      <c r="DH42" s="101">
        <f t="shared" si="58"/>
        <v>0.5</v>
      </c>
      <c r="DI42" s="122">
        <f t="shared" si="69"/>
        <v>3</v>
      </c>
      <c r="DJ42" s="122">
        <f t="shared" si="70"/>
        <v>6</v>
      </c>
      <c r="DK42" s="122">
        <f t="shared" si="59"/>
        <v>0.5</v>
      </c>
      <c r="DL42" s="122">
        <f t="shared" si="12"/>
        <v>10</v>
      </c>
      <c r="DM42" s="47">
        <f t="shared" si="9"/>
        <v>8</v>
      </c>
      <c r="DN42" s="122">
        <f t="shared" si="60"/>
        <v>80</v>
      </c>
      <c r="DO42" s="157">
        <f t="shared" si="71"/>
        <v>81</v>
      </c>
      <c r="DP42" s="157"/>
      <c r="DQ42" s="86">
        <f t="shared" si="64"/>
        <v>4.21875</v>
      </c>
      <c r="DS42" s="42"/>
      <c r="DT42" s="42"/>
      <c r="DU42" s="42"/>
      <c r="DV42" s="42"/>
    </row>
    <row r="43" spans="2:126" s="3" customFormat="1" ht="17.25" customHeight="1">
      <c r="B43" s="154">
        <v>32</v>
      </c>
      <c r="C43" s="156" t="s">
        <v>124</v>
      </c>
      <c r="D43" s="65" t="s">
        <v>123</v>
      </c>
      <c r="E43" s="65"/>
      <c r="F43" s="108"/>
      <c r="G43" s="108" t="s">
        <v>18</v>
      </c>
      <c r="H43" s="107">
        <v>80</v>
      </c>
      <c r="I43" s="138">
        <v>8304.5380000000005</v>
      </c>
      <c r="J43" s="138">
        <v>8372.7800000000007</v>
      </c>
      <c r="K43" s="87">
        <f t="shared" si="5"/>
        <v>68.242000000000189</v>
      </c>
      <c r="L43" s="87" t="s">
        <v>50</v>
      </c>
      <c r="M43" s="102">
        <v>11</v>
      </c>
      <c r="N43" s="115">
        <v>10</v>
      </c>
      <c r="O43" s="87">
        <f t="shared" si="6"/>
        <v>6.8242000000000189</v>
      </c>
      <c r="P43" s="90">
        <v>1</v>
      </c>
      <c r="Q43" s="103">
        <v>146.49165999999937</v>
      </c>
      <c r="R43" s="134">
        <f t="shared" si="18"/>
        <v>14.649165999999937</v>
      </c>
      <c r="S43" s="88">
        <v>53.9</v>
      </c>
      <c r="T43" s="106">
        <v>1</v>
      </c>
      <c r="U43" s="90">
        <f t="shared" si="19"/>
        <v>0.27178415584415466</v>
      </c>
      <c r="V43" s="103">
        <v>488.32853999999872</v>
      </c>
      <c r="W43" s="134">
        <f t="shared" si="20"/>
        <v>48.83285399999987</v>
      </c>
      <c r="X43" s="127">
        <v>190</v>
      </c>
      <c r="Y43" s="106">
        <v>1</v>
      </c>
      <c r="Z43" s="90">
        <f t="shared" si="21"/>
        <v>0.25701502105263091</v>
      </c>
      <c r="AA43" s="103">
        <v>91.444280000000248</v>
      </c>
      <c r="AB43" s="134">
        <f t="shared" si="22"/>
        <v>9.1444280000000244</v>
      </c>
      <c r="AC43" s="105">
        <v>42</v>
      </c>
      <c r="AD43" s="106">
        <v>1</v>
      </c>
      <c r="AE43" s="90">
        <f t="shared" si="23"/>
        <v>0.51772447619047679</v>
      </c>
      <c r="AF43" s="103">
        <v>54.593600000000158</v>
      </c>
      <c r="AG43" s="134">
        <f t="shared" si="24"/>
        <v>5.4593600000000162</v>
      </c>
      <c r="AH43" s="105">
        <v>40</v>
      </c>
      <c r="AI43" s="106">
        <v>1</v>
      </c>
      <c r="AJ43" s="90">
        <f t="shared" si="25"/>
        <v>0.13648400000000041</v>
      </c>
      <c r="AK43" s="103">
        <v>24.56712000000007</v>
      </c>
      <c r="AL43" s="134">
        <f t="shared" si="26"/>
        <v>2.4567120000000071</v>
      </c>
      <c r="AM43" s="105">
        <v>130</v>
      </c>
      <c r="AN43" s="106">
        <v>1</v>
      </c>
      <c r="AO43" s="104">
        <f t="shared" si="27"/>
        <v>1.8897784615384671E-2</v>
      </c>
      <c r="AP43" s="89">
        <f t="shared" si="65"/>
        <v>1</v>
      </c>
      <c r="AQ43" s="103">
        <v>123.65579999999925</v>
      </c>
      <c r="AR43" s="134">
        <f t="shared" si="29"/>
        <v>12.365579999999925</v>
      </c>
      <c r="AS43" s="105">
        <v>225</v>
      </c>
      <c r="AT43" s="106">
        <v>1</v>
      </c>
      <c r="AU43" s="91">
        <f t="shared" si="30"/>
        <v>5.4958133333332999E-2</v>
      </c>
      <c r="AV43" s="92">
        <f t="shared" si="31"/>
        <v>3.5</v>
      </c>
      <c r="AW43" s="103">
        <v>27.296800000000079</v>
      </c>
      <c r="AX43" s="134">
        <f t="shared" si="32"/>
        <v>2.7296800000000081</v>
      </c>
      <c r="AY43" s="93">
        <v>40</v>
      </c>
      <c r="AZ43" s="106">
        <v>1</v>
      </c>
      <c r="BA43" s="91">
        <f t="shared" si="33"/>
        <v>6.8242000000000205E-2</v>
      </c>
      <c r="BB43" s="103">
        <v>30.026480000000088</v>
      </c>
      <c r="BC43" s="134">
        <f t="shared" si="34"/>
        <v>3.0026480000000086</v>
      </c>
      <c r="BD43" s="105">
        <v>130</v>
      </c>
      <c r="BE43" s="106">
        <v>1</v>
      </c>
      <c r="BF43" s="104">
        <f t="shared" si="35"/>
        <v>2.3097292307692373E-2</v>
      </c>
      <c r="BG43" s="89">
        <f t="shared" si="66"/>
        <v>2</v>
      </c>
      <c r="BH43" s="59"/>
      <c r="BI43" s="59"/>
      <c r="BJ43" s="94"/>
      <c r="BK43" s="95"/>
      <c r="BL43" s="96"/>
      <c r="BM43" s="103">
        <v>102.90893600000028</v>
      </c>
      <c r="BN43" s="134">
        <f t="shared" si="37"/>
        <v>10.290893600000029</v>
      </c>
      <c r="BO43" s="93">
        <v>35</v>
      </c>
      <c r="BP43" s="106">
        <v>1</v>
      </c>
      <c r="BQ43" s="104">
        <f t="shared" si="38"/>
        <v>0.29402553142857224</v>
      </c>
      <c r="BR43" s="103">
        <v>17.469952000000049</v>
      </c>
      <c r="BS43" s="134">
        <f t="shared" si="39"/>
        <v>1.7469952000000049</v>
      </c>
      <c r="BT43" s="97">
        <v>3.4</v>
      </c>
      <c r="BU43" s="106">
        <v>1</v>
      </c>
      <c r="BV43" s="91">
        <f t="shared" si="40"/>
        <v>0.51382211764706032</v>
      </c>
      <c r="BW43" s="103">
        <v>93.628024000000266</v>
      </c>
      <c r="BX43" s="134">
        <f t="shared" si="41"/>
        <v>9.3628024000000263</v>
      </c>
      <c r="BY43" s="105">
        <v>125</v>
      </c>
      <c r="BZ43" s="106">
        <v>1</v>
      </c>
      <c r="CA43" s="104">
        <f t="shared" si="42"/>
        <v>7.4902419200000209E-2</v>
      </c>
      <c r="CB43" s="89">
        <f t="shared" si="67"/>
        <v>3</v>
      </c>
      <c r="CC43" s="98">
        <f t="shared" si="44"/>
        <v>6</v>
      </c>
      <c r="CD43" s="103">
        <v>60.503395999999526</v>
      </c>
      <c r="CE43" s="134">
        <f t="shared" si="45"/>
        <v>6.050339599999953</v>
      </c>
      <c r="CF43" s="105">
        <v>165</v>
      </c>
      <c r="CG43" s="106">
        <v>1</v>
      </c>
      <c r="CH43" s="91">
        <f t="shared" si="46"/>
        <v>3.666872484848456E-2</v>
      </c>
      <c r="CI43" s="103">
        <v>84.70307199999931</v>
      </c>
      <c r="CJ43" s="134">
        <f t="shared" si="47"/>
        <v>8.4703071999999313</v>
      </c>
      <c r="CK43" s="105">
        <v>150</v>
      </c>
      <c r="CL43" s="106">
        <v>1</v>
      </c>
      <c r="CM43" s="91">
        <f t="shared" si="48"/>
        <v>5.6468714666666212E-2</v>
      </c>
      <c r="CN43" s="103">
        <v>507.72695999999598</v>
      </c>
      <c r="CO43" s="134">
        <f t="shared" si="49"/>
        <v>50.772695999999598</v>
      </c>
      <c r="CP43" s="93">
        <v>320</v>
      </c>
      <c r="CQ43" s="106">
        <v>1</v>
      </c>
      <c r="CR43" s="91">
        <f t="shared" si="50"/>
        <v>0.15866467499999876</v>
      </c>
      <c r="CS43" s="103">
        <v>1523.1808799999881</v>
      </c>
      <c r="CT43" s="134">
        <f t="shared" si="51"/>
        <v>152.3180879999988</v>
      </c>
      <c r="CU43" s="93">
        <v>8000</v>
      </c>
      <c r="CV43" s="106">
        <v>1</v>
      </c>
      <c r="CW43" s="91">
        <f t="shared" si="52"/>
        <v>1.903976099999985E-2</v>
      </c>
      <c r="CX43" s="103">
        <v>1015.453919999992</v>
      </c>
      <c r="CY43" s="134">
        <f t="shared" si="53"/>
        <v>101.5453919999992</v>
      </c>
      <c r="CZ43" s="93">
        <v>300</v>
      </c>
      <c r="DA43" s="106">
        <v>1</v>
      </c>
      <c r="DB43" s="91">
        <f t="shared" si="54"/>
        <v>0.33848463999999734</v>
      </c>
      <c r="DC43" s="99">
        <f t="shared" si="68"/>
        <v>68.242000000000189</v>
      </c>
      <c r="DD43" s="134">
        <f t="shared" si="56"/>
        <v>6.8242000000000189</v>
      </c>
      <c r="DE43" s="100">
        <v>50</v>
      </c>
      <c r="DF43" s="106">
        <v>1</v>
      </c>
      <c r="DG43" s="91">
        <f t="shared" si="57"/>
        <v>0.13648400000000038</v>
      </c>
      <c r="DH43" s="101">
        <f t="shared" si="58"/>
        <v>1</v>
      </c>
      <c r="DI43" s="122">
        <f t="shared" si="69"/>
        <v>3.5</v>
      </c>
      <c r="DJ43" s="122">
        <f t="shared" si="70"/>
        <v>6</v>
      </c>
      <c r="DK43" s="122">
        <f t="shared" si="59"/>
        <v>1</v>
      </c>
      <c r="DL43" s="122">
        <f t="shared" si="12"/>
        <v>11</v>
      </c>
      <c r="DM43" s="47">
        <f t="shared" si="9"/>
        <v>10</v>
      </c>
      <c r="DN43" s="122">
        <f t="shared" si="60"/>
        <v>110</v>
      </c>
      <c r="DO43" s="157">
        <f t="shared" si="71"/>
        <v>111</v>
      </c>
      <c r="DP43" s="157"/>
      <c r="DQ43" s="86">
        <f t="shared" si="64"/>
        <v>5.78125</v>
      </c>
      <c r="DR43" s="42"/>
      <c r="DS43" s="42"/>
      <c r="DT43" s="42"/>
      <c r="DU43" s="42"/>
      <c r="DV43" s="42"/>
    </row>
    <row r="44" spans="2:126" s="3" customFormat="1" ht="17.25" customHeight="1">
      <c r="B44" s="152">
        <v>33</v>
      </c>
      <c r="C44" s="145" t="s">
        <v>125</v>
      </c>
      <c r="D44" s="147" t="s">
        <v>126</v>
      </c>
      <c r="E44" s="147" t="s">
        <v>129</v>
      </c>
      <c r="F44" s="108"/>
      <c r="G44" s="108" t="s">
        <v>18</v>
      </c>
      <c r="H44" s="107"/>
      <c r="I44" s="138">
        <v>8833.6610000000001</v>
      </c>
      <c r="J44" s="138">
        <v>8882.1630000000005</v>
      </c>
      <c r="K44" s="87">
        <f t="shared" si="5"/>
        <v>48.502000000000407</v>
      </c>
      <c r="L44" s="87" t="s">
        <v>50</v>
      </c>
      <c r="M44" s="102">
        <v>7</v>
      </c>
      <c r="N44" s="113">
        <v>7</v>
      </c>
      <c r="O44" s="87">
        <f t="shared" si="6"/>
        <v>6.9288571428572014</v>
      </c>
      <c r="P44" s="90">
        <v>1</v>
      </c>
      <c r="Q44" s="139">
        <v>73.238020000000617</v>
      </c>
      <c r="R44" s="134">
        <f t="shared" si="18"/>
        <v>10.462574285714373</v>
      </c>
      <c r="S44" s="88">
        <v>53.9</v>
      </c>
      <c r="T44" s="106">
        <v>1</v>
      </c>
      <c r="U44" s="90">
        <f t="shared" si="19"/>
        <v>0.19411084018022956</v>
      </c>
      <c r="V44" s="133">
        <v>267.73104000000228</v>
      </c>
      <c r="W44" s="134">
        <f t="shared" si="20"/>
        <v>38.247291428571756</v>
      </c>
      <c r="X44" s="127">
        <v>190</v>
      </c>
      <c r="Y44" s="106">
        <v>1</v>
      </c>
      <c r="Z44" s="90">
        <f t="shared" si="21"/>
        <v>0.20130153383458818</v>
      </c>
      <c r="AA44" s="141">
        <v>64.992680000000547</v>
      </c>
      <c r="AB44" s="134">
        <f t="shared" si="22"/>
        <v>9.2846685714286501</v>
      </c>
      <c r="AC44" s="105">
        <v>42</v>
      </c>
      <c r="AD44" s="106">
        <v>1</v>
      </c>
      <c r="AE44" s="90">
        <f t="shared" si="23"/>
        <v>0.52106353741496791</v>
      </c>
      <c r="AF44" s="133">
        <v>38.801600000000327</v>
      </c>
      <c r="AG44" s="134">
        <f t="shared" si="24"/>
        <v>5.5430857142857608</v>
      </c>
      <c r="AH44" s="105">
        <v>40</v>
      </c>
      <c r="AI44" s="106">
        <v>1</v>
      </c>
      <c r="AJ44" s="90">
        <f t="shared" si="25"/>
        <v>0.13857714285714401</v>
      </c>
      <c r="AK44" s="141">
        <v>17.460720000000148</v>
      </c>
      <c r="AL44" s="134">
        <f t="shared" si="26"/>
        <v>2.4943885714285927</v>
      </c>
      <c r="AM44" s="105">
        <v>130</v>
      </c>
      <c r="AN44" s="106">
        <v>1</v>
      </c>
      <c r="AO44" s="104">
        <f t="shared" si="27"/>
        <v>1.918760439560456E-2</v>
      </c>
      <c r="AP44" s="89">
        <f t="shared" si="65"/>
        <v>1</v>
      </c>
      <c r="AQ44" s="139">
        <v>55.29228000000046</v>
      </c>
      <c r="AR44" s="134">
        <f t="shared" si="29"/>
        <v>7.8988971428572086</v>
      </c>
      <c r="AS44" s="105">
        <v>225</v>
      </c>
      <c r="AT44" s="106">
        <v>1</v>
      </c>
      <c r="AU44" s="91">
        <f t="shared" si="30"/>
        <v>3.5106209523809814E-2</v>
      </c>
      <c r="AV44" s="92">
        <f t="shared" si="31"/>
        <v>3.5</v>
      </c>
      <c r="AW44" s="133">
        <v>19.400800000000164</v>
      </c>
      <c r="AX44" s="134">
        <f t="shared" si="32"/>
        <v>2.7715428571428804</v>
      </c>
      <c r="AY44" s="93">
        <v>40</v>
      </c>
      <c r="AZ44" s="106">
        <v>1</v>
      </c>
      <c r="BA44" s="91">
        <f t="shared" si="33"/>
        <v>6.9288571428572004E-2</v>
      </c>
      <c r="BB44" s="133">
        <v>21.340880000000183</v>
      </c>
      <c r="BC44" s="134">
        <f t="shared" si="34"/>
        <v>3.048697142857169</v>
      </c>
      <c r="BD44" s="105">
        <v>130</v>
      </c>
      <c r="BE44" s="106">
        <v>1</v>
      </c>
      <c r="BF44" s="104">
        <f t="shared" si="35"/>
        <v>2.3451516483516684E-2</v>
      </c>
      <c r="BG44" s="89">
        <f t="shared" si="66"/>
        <v>2</v>
      </c>
      <c r="BH44" s="59"/>
      <c r="BI44" s="59"/>
      <c r="BJ44" s="94"/>
      <c r="BK44" s="95"/>
      <c r="BL44" s="96"/>
      <c r="BM44" s="133">
        <v>73.141016000000619</v>
      </c>
      <c r="BN44" s="134">
        <f t="shared" si="37"/>
        <v>10.44871657142866</v>
      </c>
      <c r="BO44" s="93">
        <v>35</v>
      </c>
      <c r="BP44" s="106">
        <v>1</v>
      </c>
      <c r="BQ44" s="104">
        <f t="shared" si="38"/>
        <v>0.298534759183676</v>
      </c>
      <c r="BR44" s="133">
        <v>12.416512000000104</v>
      </c>
      <c r="BS44" s="134">
        <f t="shared" si="39"/>
        <v>1.7737874285714434</v>
      </c>
      <c r="BT44" s="97">
        <v>3.4</v>
      </c>
      <c r="BU44" s="106">
        <v>1</v>
      </c>
      <c r="BV44" s="91">
        <f t="shared" si="40"/>
        <v>0.52170218487395392</v>
      </c>
      <c r="BW44" s="133">
        <v>66.544744000000563</v>
      </c>
      <c r="BX44" s="134">
        <f t="shared" si="41"/>
        <v>9.5063920000000799</v>
      </c>
      <c r="BY44" s="105">
        <v>125</v>
      </c>
      <c r="BZ44" s="106">
        <v>1</v>
      </c>
      <c r="CA44" s="104">
        <f t="shared" si="42"/>
        <v>7.6051136000000644E-2</v>
      </c>
      <c r="CB44" s="89">
        <f t="shared" si="67"/>
        <v>3</v>
      </c>
      <c r="CC44" s="98">
        <f t="shared" si="44"/>
        <v>6</v>
      </c>
      <c r="CD44" s="139">
        <v>23.959988000000202</v>
      </c>
      <c r="CE44" s="134">
        <f t="shared" si="45"/>
        <v>3.4228554285714572</v>
      </c>
      <c r="CF44" s="105">
        <v>165</v>
      </c>
      <c r="CG44" s="106">
        <v>1</v>
      </c>
      <c r="CH44" s="91">
        <f t="shared" si="46"/>
        <v>2.0744578354978529E-2</v>
      </c>
      <c r="CI44" s="139">
        <v>32.496340000000274</v>
      </c>
      <c r="CJ44" s="134">
        <f t="shared" si="47"/>
        <v>4.642334285714325</v>
      </c>
      <c r="CK44" s="105">
        <v>150</v>
      </c>
      <c r="CL44" s="106">
        <v>1</v>
      </c>
      <c r="CM44" s="91">
        <f t="shared" si="48"/>
        <v>3.0948895238095499E-2</v>
      </c>
      <c r="CN44" s="139">
        <v>197.88816000000168</v>
      </c>
      <c r="CO44" s="134">
        <f t="shared" si="49"/>
        <v>28.269737142857384</v>
      </c>
      <c r="CP44" s="93">
        <v>320</v>
      </c>
      <c r="CQ44" s="106">
        <v>1</v>
      </c>
      <c r="CR44" s="91">
        <f t="shared" si="50"/>
        <v>8.8342928571429322E-2</v>
      </c>
      <c r="CS44" s="133">
        <v>593.66448000000503</v>
      </c>
      <c r="CT44" s="134">
        <f t="shared" si="51"/>
        <v>84.809211428572141</v>
      </c>
      <c r="CU44" s="93">
        <v>8000</v>
      </c>
      <c r="CV44" s="106">
        <v>1</v>
      </c>
      <c r="CW44" s="91">
        <f t="shared" si="52"/>
        <v>1.0601151428571518E-2</v>
      </c>
      <c r="CX44" s="133">
        <v>395.77632000000335</v>
      </c>
      <c r="CY44" s="134">
        <f t="shared" si="53"/>
        <v>56.539474285714768</v>
      </c>
      <c r="CZ44" s="93">
        <v>300</v>
      </c>
      <c r="DA44" s="106">
        <v>1</v>
      </c>
      <c r="DB44" s="91">
        <f t="shared" si="54"/>
        <v>0.18846491428571588</v>
      </c>
      <c r="DC44" s="99">
        <f t="shared" si="68"/>
        <v>48.502000000000407</v>
      </c>
      <c r="DD44" s="134">
        <f t="shared" si="56"/>
        <v>6.9288571428572014</v>
      </c>
      <c r="DE44" s="100">
        <v>50</v>
      </c>
      <c r="DF44" s="106">
        <v>1</v>
      </c>
      <c r="DG44" s="91">
        <f t="shared" si="57"/>
        <v>0.13857714285714404</v>
      </c>
      <c r="DH44" s="101">
        <f t="shared" si="58"/>
        <v>0.5</v>
      </c>
      <c r="DI44" s="122">
        <f t="shared" si="69"/>
        <v>3.5</v>
      </c>
      <c r="DJ44" s="122">
        <f t="shared" si="70"/>
        <v>6</v>
      </c>
      <c r="DK44" s="122">
        <f t="shared" si="59"/>
        <v>0.5</v>
      </c>
      <c r="DL44" s="122">
        <f t="shared" si="12"/>
        <v>10</v>
      </c>
      <c r="DM44" s="47">
        <f t="shared" si="9"/>
        <v>7</v>
      </c>
      <c r="DN44" s="122">
        <f t="shared" si="60"/>
        <v>70</v>
      </c>
      <c r="DO44" s="157">
        <f t="shared" si="71"/>
        <v>71</v>
      </c>
      <c r="DP44" s="157"/>
      <c r="DQ44" s="86">
        <f t="shared" si="64"/>
        <v>3.697916666666667</v>
      </c>
      <c r="DR44" s="42"/>
      <c r="DS44" s="42"/>
      <c r="DT44" s="42"/>
      <c r="DU44" s="42"/>
      <c r="DV44" s="42"/>
    </row>
    <row r="45" spans="2:126" s="3" customFormat="1" ht="17.25" customHeight="1">
      <c r="B45" s="77">
        <v>34</v>
      </c>
      <c r="C45" s="78" t="s">
        <v>133</v>
      </c>
      <c r="D45" s="79" t="s">
        <v>134</v>
      </c>
      <c r="E45" s="79" t="s">
        <v>129</v>
      </c>
      <c r="F45" s="130"/>
      <c r="G45" s="130" t="s">
        <v>166</v>
      </c>
      <c r="H45" s="128"/>
      <c r="I45" s="80">
        <v>9243.2080000000005</v>
      </c>
      <c r="J45" s="80">
        <v>9295.66</v>
      </c>
      <c r="K45" s="132">
        <f t="shared" ref="K45" si="72">J45-I45</f>
        <v>52.451999999999316</v>
      </c>
      <c r="L45" s="126" t="s">
        <v>167</v>
      </c>
      <c r="M45" s="114">
        <v>12</v>
      </c>
      <c r="N45" s="115">
        <v>10</v>
      </c>
      <c r="O45" s="132">
        <f t="shared" ref="O45" si="73">K45/N45</f>
        <v>5.2451999999999313</v>
      </c>
      <c r="P45" s="90">
        <v>1</v>
      </c>
      <c r="Q45" s="103">
        <v>116.24651999999949</v>
      </c>
      <c r="R45" s="134">
        <f>Q45/N45</f>
        <v>11.62465199999995</v>
      </c>
      <c r="S45" s="88">
        <v>53.9</v>
      </c>
      <c r="T45" s="106">
        <v>1</v>
      </c>
      <c r="U45" s="90">
        <f>R45/S45/T45</f>
        <v>0.2156707235621512</v>
      </c>
      <c r="V45" s="103">
        <v>384.7175399999976</v>
      </c>
      <c r="W45" s="134">
        <f>V45/N45</f>
        <v>38.471753999999763</v>
      </c>
      <c r="X45" s="127">
        <v>190</v>
      </c>
      <c r="Y45" s="106">
        <v>1</v>
      </c>
      <c r="Z45" s="90">
        <f>W45/X45/Y45</f>
        <v>0.20248291578947245</v>
      </c>
      <c r="AA45" s="103">
        <v>70.28567999999909</v>
      </c>
      <c r="AB45" s="134">
        <f>AA45/N45</f>
        <v>7.0285679999999093</v>
      </c>
      <c r="AC45" s="105">
        <v>42</v>
      </c>
      <c r="AD45" s="106">
        <v>1</v>
      </c>
      <c r="AE45" s="90">
        <f>AB45/AC45/AD45+0.3</f>
        <v>0.46734685714285495</v>
      </c>
      <c r="AF45" s="103">
        <v>41.961599999999457</v>
      </c>
      <c r="AG45" s="134">
        <f>AF45/N45</f>
        <v>4.1961599999999457</v>
      </c>
      <c r="AH45" s="105">
        <v>40</v>
      </c>
      <c r="AI45" s="106">
        <v>1</v>
      </c>
      <c r="AJ45" s="90">
        <f>AG45/AH45/AI45</f>
        <v>0.10490399999999864</v>
      </c>
      <c r="AK45" s="103">
        <v>18.882719999999757</v>
      </c>
      <c r="AL45" s="134">
        <f>AK45/N45</f>
        <v>1.8882719999999757</v>
      </c>
      <c r="AM45" s="105">
        <v>130</v>
      </c>
      <c r="AN45" s="106">
        <v>1</v>
      </c>
      <c r="AO45" s="104">
        <f>AL45/AM45/AN45</f>
        <v>1.4525169230769044E-2</v>
      </c>
      <c r="AP45" s="89">
        <f t="shared" ref="AP45:AP55" si="74">IF(G45="보통",2,IF(G45="조강",1,""))</f>
        <v>1</v>
      </c>
      <c r="AQ45" s="103">
        <v>98.897279999999768</v>
      </c>
      <c r="AR45" s="134">
        <f>AQ45/N45</f>
        <v>9.8897279999999768</v>
      </c>
      <c r="AS45" s="105">
        <v>225</v>
      </c>
      <c r="AT45" s="106">
        <v>1</v>
      </c>
      <c r="AU45" s="91">
        <f>AR45/AS45/AT45</f>
        <v>4.3954346666666561E-2</v>
      </c>
      <c r="AV45" s="92">
        <f>CEILING(SUM(P45,U45,Z45,AE45,AJ45,AO45,AP45,AU45),0.5)</f>
        <v>3.5</v>
      </c>
      <c r="AW45" s="103">
        <v>20.980799999999729</v>
      </c>
      <c r="AX45" s="134">
        <f>AW45/N45</f>
        <v>2.0980799999999729</v>
      </c>
      <c r="AY45" s="93">
        <v>40</v>
      </c>
      <c r="AZ45" s="106">
        <v>1</v>
      </c>
      <c r="BA45" s="91">
        <f>AX45/AY45/AZ45</f>
        <v>5.2451999999999319E-2</v>
      </c>
      <c r="BB45" s="103">
        <v>23.0788799999997</v>
      </c>
      <c r="BC45" s="134">
        <f>BB45/N45</f>
        <v>2.30788799999997</v>
      </c>
      <c r="BD45" s="105">
        <v>130</v>
      </c>
      <c r="BE45" s="106">
        <v>1</v>
      </c>
      <c r="BF45" s="104">
        <f>BC45/BD45/BE45</f>
        <v>1.7752984615384385E-2</v>
      </c>
      <c r="BG45" s="89">
        <f t="shared" ref="BG45:BG55" si="75">IF(G45="보통",5,IF(G45="조강",2,""))</f>
        <v>2</v>
      </c>
      <c r="BH45" s="59"/>
      <c r="BI45" s="59"/>
      <c r="BJ45" s="129"/>
      <c r="BK45" s="131"/>
      <c r="BL45" s="124"/>
      <c r="BM45" s="103">
        <v>79.097615999998965</v>
      </c>
      <c r="BN45" s="134">
        <f>BM45/N45</f>
        <v>7.9097615999998965</v>
      </c>
      <c r="BO45" s="93">
        <v>35</v>
      </c>
      <c r="BP45" s="106">
        <v>1</v>
      </c>
      <c r="BQ45" s="104">
        <f>BN45/BO45/BP45</f>
        <v>0.22599318857142561</v>
      </c>
      <c r="BR45" s="103">
        <v>13.427711999999826</v>
      </c>
      <c r="BS45" s="134">
        <f>BR45/N45</f>
        <v>1.3427711999999825</v>
      </c>
      <c r="BT45" s="97">
        <v>3.4</v>
      </c>
      <c r="BU45" s="106">
        <v>1</v>
      </c>
      <c r="BV45" s="91">
        <f>BS45/BT45/BU45</f>
        <v>0.3949327058823478</v>
      </c>
      <c r="BW45" s="103">
        <v>71.964143999999067</v>
      </c>
      <c r="BX45" s="134">
        <f>BW45/N45</f>
        <v>7.1964143999999068</v>
      </c>
      <c r="BY45" s="105">
        <v>125</v>
      </c>
      <c r="BZ45" s="106">
        <v>1</v>
      </c>
      <c r="CA45" s="104">
        <f>BX45/BY45/BZ45</f>
        <v>5.7571315199999258E-2</v>
      </c>
      <c r="CB45" s="89">
        <f t="shared" ref="CB45:CB55" si="76">IF(G45="보통",7,IF(G45="조강",3,""))</f>
        <v>3</v>
      </c>
      <c r="CC45" s="98">
        <f>CEILING(SUM(BA45,BF45,BG45,BL45,BQ45,BV45,CA45,CB45),0.5)</f>
        <v>6</v>
      </c>
      <c r="CD45" s="103">
        <v>48.755087999999979</v>
      </c>
      <c r="CE45" s="134">
        <f>CD45/N45</f>
        <v>4.8755087999999978</v>
      </c>
      <c r="CF45" s="105">
        <v>165</v>
      </c>
      <c r="CG45" s="106">
        <v>1</v>
      </c>
      <c r="CH45" s="91">
        <f>CE45/CF45/CG45</f>
        <v>2.9548538181818167E-2</v>
      </c>
      <c r="CI45" s="103">
        <v>68.379540000000006</v>
      </c>
      <c r="CJ45" s="134">
        <f>CI45/N45</f>
        <v>6.8379540000000008</v>
      </c>
      <c r="CK45" s="105">
        <v>150</v>
      </c>
      <c r="CL45" s="106">
        <v>1</v>
      </c>
      <c r="CM45" s="91">
        <f>CJ45/CK45/CL45</f>
        <v>4.5586360000000006E-2</v>
      </c>
      <c r="CN45" s="103">
        <v>409.51415999999995</v>
      </c>
      <c r="CO45" s="134">
        <f>CN45/N45</f>
        <v>40.951415999999995</v>
      </c>
      <c r="CP45" s="93">
        <v>320</v>
      </c>
      <c r="CQ45" s="106">
        <v>1</v>
      </c>
      <c r="CR45" s="91">
        <f>CO45/CP45/CQ45</f>
        <v>0.12797317499999999</v>
      </c>
      <c r="CS45" s="103">
        <v>1228.5424799999998</v>
      </c>
      <c r="CT45" s="134">
        <f>CS45/N45</f>
        <v>122.85424799999998</v>
      </c>
      <c r="CU45" s="93">
        <v>8000</v>
      </c>
      <c r="CV45" s="106">
        <v>1</v>
      </c>
      <c r="CW45" s="91">
        <f>CT45/CU45/CV45</f>
        <v>1.5356780999999998E-2</v>
      </c>
      <c r="CX45" s="103">
        <v>819.02831999999989</v>
      </c>
      <c r="CY45" s="134">
        <f>CX45/N45</f>
        <v>81.902831999999989</v>
      </c>
      <c r="CZ45" s="93">
        <v>300</v>
      </c>
      <c r="DA45" s="106">
        <v>1</v>
      </c>
      <c r="DB45" s="91">
        <f>CY45/CZ45/DA45</f>
        <v>0.27300943999999999</v>
      </c>
      <c r="DC45" s="99">
        <f t="shared" ref="DC45:DC55" si="77">K45</f>
        <v>52.451999999999316</v>
      </c>
      <c r="DD45" s="134">
        <f>DC45/N45</f>
        <v>5.2451999999999313</v>
      </c>
      <c r="DE45" s="100">
        <v>50</v>
      </c>
      <c r="DF45" s="106">
        <v>1</v>
      </c>
      <c r="DG45" s="91">
        <f>DD45/DE45/DF45</f>
        <v>0.10490399999999862</v>
      </c>
      <c r="DH45" s="101">
        <f>CEILING(SUM(CH45,CM45,CR45,CW45,DB45,DG45),0.5)</f>
        <v>1</v>
      </c>
      <c r="DI45" s="122">
        <f t="shared" si="69"/>
        <v>3.5</v>
      </c>
      <c r="DJ45" s="122">
        <f t="shared" si="70"/>
        <v>6</v>
      </c>
      <c r="DK45" s="122">
        <f>DH45</f>
        <v>1</v>
      </c>
      <c r="DL45" s="122">
        <f t="shared" si="12"/>
        <v>11</v>
      </c>
      <c r="DM45" s="47">
        <f t="shared" si="9"/>
        <v>10</v>
      </c>
      <c r="DN45" s="122">
        <f>DL45*DM45</f>
        <v>110</v>
      </c>
      <c r="DO45" s="157">
        <f t="shared" si="71"/>
        <v>111</v>
      </c>
      <c r="DP45" s="157"/>
      <c r="DQ45" s="86">
        <f t="shared" si="64"/>
        <v>5.78125</v>
      </c>
      <c r="DR45" s="42"/>
      <c r="DS45" s="42"/>
      <c r="DT45" s="42"/>
      <c r="DU45" s="42"/>
      <c r="DV45" s="42"/>
    </row>
    <row r="46" spans="2:126" s="3" customFormat="1" ht="17.25" customHeight="1">
      <c r="B46" s="152">
        <v>35</v>
      </c>
      <c r="C46" s="145" t="s">
        <v>135</v>
      </c>
      <c r="D46" s="147" t="s">
        <v>136</v>
      </c>
      <c r="E46" s="65" t="s">
        <v>129</v>
      </c>
      <c r="F46" s="108"/>
      <c r="G46" s="108" t="s">
        <v>18</v>
      </c>
      <c r="H46" s="107"/>
      <c r="I46" s="138">
        <v>9826.4609999999993</v>
      </c>
      <c r="J46" s="138">
        <v>9872.64</v>
      </c>
      <c r="K46" s="87">
        <f t="shared" si="5"/>
        <v>46.179000000000087</v>
      </c>
      <c r="L46" s="87" t="s">
        <v>50</v>
      </c>
      <c r="M46" s="102">
        <v>8</v>
      </c>
      <c r="N46" s="113">
        <v>8</v>
      </c>
      <c r="O46" s="87">
        <f t="shared" si="6"/>
        <v>5.7723750000000109</v>
      </c>
      <c r="P46" s="90">
        <v>1</v>
      </c>
      <c r="Q46" s="139">
        <v>69.730290000000139</v>
      </c>
      <c r="R46" s="134">
        <f t="shared" si="18"/>
        <v>8.7162862500000173</v>
      </c>
      <c r="S46" s="88">
        <v>53.9</v>
      </c>
      <c r="T46" s="106">
        <v>1</v>
      </c>
      <c r="U46" s="90">
        <f t="shared" si="19"/>
        <v>0.16171217532467566</v>
      </c>
      <c r="V46" s="133">
        <v>254.9080800000005</v>
      </c>
      <c r="W46" s="134">
        <f t="shared" si="20"/>
        <v>31.863510000000062</v>
      </c>
      <c r="X46" s="127">
        <v>190</v>
      </c>
      <c r="Y46" s="106">
        <v>1</v>
      </c>
      <c r="Z46" s="90">
        <f t="shared" si="21"/>
        <v>0.16770268421052664</v>
      </c>
      <c r="AA46" s="141">
        <v>61.879860000000122</v>
      </c>
      <c r="AB46" s="134">
        <f t="shared" si="22"/>
        <v>7.7349825000000152</v>
      </c>
      <c r="AC46" s="105">
        <v>42</v>
      </c>
      <c r="AD46" s="106">
        <v>1</v>
      </c>
      <c r="AE46" s="90">
        <f t="shared" si="23"/>
        <v>0.48416625000000035</v>
      </c>
      <c r="AF46" s="133">
        <v>36.943200000000068</v>
      </c>
      <c r="AG46" s="134">
        <f t="shared" si="24"/>
        <v>4.6179000000000086</v>
      </c>
      <c r="AH46" s="105">
        <v>40</v>
      </c>
      <c r="AI46" s="106">
        <v>1</v>
      </c>
      <c r="AJ46" s="90">
        <f t="shared" si="25"/>
        <v>0.11544750000000022</v>
      </c>
      <c r="AK46" s="141">
        <v>16.624440000000032</v>
      </c>
      <c r="AL46" s="134">
        <f t="shared" si="26"/>
        <v>2.078055000000004</v>
      </c>
      <c r="AM46" s="105">
        <v>130</v>
      </c>
      <c r="AN46" s="106">
        <v>1</v>
      </c>
      <c r="AO46" s="104">
        <f t="shared" si="27"/>
        <v>1.5985038461538491E-2</v>
      </c>
      <c r="AP46" s="89">
        <f t="shared" si="74"/>
        <v>1</v>
      </c>
      <c r="AQ46" s="139">
        <v>52.644060000000096</v>
      </c>
      <c r="AR46" s="134">
        <f t="shared" si="29"/>
        <v>6.5805075000000119</v>
      </c>
      <c r="AS46" s="105">
        <v>225</v>
      </c>
      <c r="AT46" s="106">
        <v>1</v>
      </c>
      <c r="AU46" s="91">
        <f t="shared" si="30"/>
        <v>2.9246700000000053E-2</v>
      </c>
      <c r="AV46" s="92">
        <f t="shared" si="31"/>
        <v>3</v>
      </c>
      <c r="AW46" s="133">
        <v>18.471600000000034</v>
      </c>
      <c r="AX46" s="134">
        <f t="shared" si="32"/>
        <v>2.3089500000000043</v>
      </c>
      <c r="AY46" s="93">
        <v>40</v>
      </c>
      <c r="AZ46" s="106">
        <v>1</v>
      </c>
      <c r="BA46" s="91">
        <f t="shared" si="33"/>
        <v>5.7723750000000108E-2</v>
      </c>
      <c r="BB46" s="133">
        <v>20.31876000000004</v>
      </c>
      <c r="BC46" s="134">
        <f t="shared" si="34"/>
        <v>2.539845000000005</v>
      </c>
      <c r="BD46" s="105">
        <v>130</v>
      </c>
      <c r="BE46" s="106">
        <v>1</v>
      </c>
      <c r="BF46" s="104">
        <f t="shared" si="35"/>
        <v>1.9537269230769268E-2</v>
      </c>
      <c r="BG46" s="89">
        <f t="shared" si="75"/>
        <v>2</v>
      </c>
      <c r="BH46" s="59"/>
      <c r="BI46" s="59"/>
      <c r="BJ46" s="94"/>
      <c r="BK46" s="95"/>
      <c r="BL46" s="96"/>
      <c r="BM46" s="133">
        <v>69.637932000000134</v>
      </c>
      <c r="BN46" s="134">
        <f t="shared" si="37"/>
        <v>8.7047415000000168</v>
      </c>
      <c r="BO46" s="93">
        <v>35</v>
      </c>
      <c r="BP46" s="106">
        <v>1</v>
      </c>
      <c r="BQ46" s="104">
        <f t="shared" si="38"/>
        <v>0.24870690000000048</v>
      </c>
      <c r="BR46" s="133">
        <v>11.821824000000023</v>
      </c>
      <c r="BS46" s="134">
        <f t="shared" si="39"/>
        <v>1.4777280000000028</v>
      </c>
      <c r="BT46" s="97">
        <v>3.4</v>
      </c>
      <c r="BU46" s="106">
        <v>1</v>
      </c>
      <c r="BV46" s="91">
        <f t="shared" si="40"/>
        <v>0.43462588235294203</v>
      </c>
      <c r="BW46" s="133">
        <v>63.357588000000128</v>
      </c>
      <c r="BX46" s="134">
        <f t="shared" si="41"/>
        <v>7.919698500000016</v>
      </c>
      <c r="BY46" s="105">
        <v>125</v>
      </c>
      <c r="BZ46" s="106">
        <v>1</v>
      </c>
      <c r="CA46" s="104">
        <f t="shared" si="42"/>
        <v>6.3357588000000131E-2</v>
      </c>
      <c r="CB46" s="89">
        <f t="shared" si="76"/>
        <v>3</v>
      </c>
      <c r="CC46" s="98">
        <f t="shared" si="44"/>
        <v>6</v>
      </c>
      <c r="CD46" s="139">
        <v>22.812426000000041</v>
      </c>
      <c r="CE46" s="134">
        <f t="shared" si="45"/>
        <v>2.8515532500000051</v>
      </c>
      <c r="CF46" s="105">
        <v>165</v>
      </c>
      <c r="CG46" s="106">
        <v>1</v>
      </c>
      <c r="CH46" s="91">
        <f t="shared" si="46"/>
        <v>1.7282140909090939E-2</v>
      </c>
      <c r="CI46" s="139">
        <v>30.939930000000061</v>
      </c>
      <c r="CJ46" s="134">
        <f t="shared" si="47"/>
        <v>3.8674912500000076</v>
      </c>
      <c r="CK46" s="105">
        <v>150</v>
      </c>
      <c r="CL46" s="106">
        <v>1</v>
      </c>
      <c r="CM46" s="91">
        <f t="shared" si="48"/>
        <v>2.578327500000005E-2</v>
      </c>
      <c r="CN46" s="139">
        <v>188.41032000000035</v>
      </c>
      <c r="CO46" s="134">
        <f t="shared" si="49"/>
        <v>23.551290000000044</v>
      </c>
      <c r="CP46" s="93">
        <v>320</v>
      </c>
      <c r="CQ46" s="106">
        <v>1</v>
      </c>
      <c r="CR46" s="91">
        <f t="shared" si="50"/>
        <v>7.3597781250000133E-2</v>
      </c>
      <c r="CS46" s="133">
        <v>565.23096000000101</v>
      </c>
      <c r="CT46" s="134">
        <f t="shared" si="51"/>
        <v>70.653870000000126</v>
      </c>
      <c r="CU46" s="93">
        <v>8000</v>
      </c>
      <c r="CV46" s="106">
        <v>1</v>
      </c>
      <c r="CW46" s="91">
        <f t="shared" si="52"/>
        <v>8.8317337500000166E-3</v>
      </c>
      <c r="CX46" s="133">
        <v>376.82064000000071</v>
      </c>
      <c r="CY46" s="134">
        <f t="shared" si="53"/>
        <v>47.102580000000088</v>
      </c>
      <c r="CZ46" s="93">
        <v>300</v>
      </c>
      <c r="DA46" s="106">
        <v>1</v>
      </c>
      <c r="DB46" s="91">
        <f t="shared" si="54"/>
        <v>0.1570086000000003</v>
      </c>
      <c r="DC46" s="99">
        <f t="shared" si="77"/>
        <v>46.179000000000087</v>
      </c>
      <c r="DD46" s="134">
        <f t="shared" si="56"/>
        <v>5.7723750000000109</v>
      </c>
      <c r="DE46" s="100">
        <v>50</v>
      </c>
      <c r="DF46" s="106">
        <v>1</v>
      </c>
      <c r="DG46" s="91">
        <f t="shared" si="57"/>
        <v>0.11544750000000022</v>
      </c>
      <c r="DH46" s="101">
        <f t="shared" si="58"/>
        <v>0.5</v>
      </c>
      <c r="DI46" s="122">
        <f t="shared" si="69"/>
        <v>3</v>
      </c>
      <c r="DJ46" s="122">
        <f t="shared" si="70"/>
        <v>6</v>
      </c>
      <c r="DK46" s="122">
        <f t="shared" si="59"/>
        <v>0.5</v>
      </c>
      <c r="DL46" s="122">
        <f t="shared" si="12"/>
        <v>10</v>
      </c>
      <c r="DM46" s="47">
        <f t="shared" si="9"/>
        <v>8</v>
      </c>
      <c r="DN46" s="122">
        <f t="shared" si="60"/>
        <v>80</v>
      </c>
      <c r="DO46" s="157">
        <f t="shared" si="71"/>
        <v>81</v>
      </c>
      <c r="DP46" s="157"/>
      <c r="DQ46" s="86">
        <f t="shared" si="64"/>
        <v>4.21875</v>
      </c>
      <c r="DR46" s="42"/>
      <c r="DS46" s="42"/>
      <c r="DT46" s="42"/>
      <c r="DU46" s="42"/>
      <c r="DV46" s="42"/>
    </row>
    <row r="47" spans="2:126" s="3" customFormat="1" ht="17.25" customHeight="1">
      <c r="B47" s="152">
        <v>36</v>
      </c>
      <c r="C47" s="145" t="s">
        <v>137</v>
      </c>
      <c r="D47" s="147" t="s">
        <v>138</v>
      </c>
      <c r="E47" s="65" t="s">
        <v>129</v>
      </c>
      <c r="F47" s="108"/>
      <c r="G47" s="108" t="s">
        <v>18</v>
      </c>
      <c r="H47" s="107"/>
      <c r="I47" s="138">
        <v>10535.824000000001</v>
      </c>
      <c r="J47" s="138">
        <v>10582.205</v>
      </c>
      <c r="K47" s="87">
        <f t="shared" si="5"/>
        <v>46.380999999999403</v>
      </c>
      <c r="L47" s="87" t="s">
        <v>50</v>
      </c>
      <c r="M47" s="102">
        <v>9</v>
      </c>
      <c r="N47" s="115">
        <v>8</v>
      </c>
      <c r="O47" s="87">
        <f t="shared" si="6"/>
        <v>5.7976249999999254</v>
      </c>
      <c r="P47" s="90">
        <v>1</v>
      </c>
      <c r="Q47" s="139">
        <v>70.0353099999991</v>
      </c>
      <c r="R47" s="134">
        <f t="shared" si="18"/>
        <v>8.7544137499998875</v>
      </c>
      <c r="S47" s="88">
        <v>53.9</v>
      </c>
      <c r="T47" s="106">
        <v>1</v>
      </c>
      <c r="U47" s="90">
        <f t="shared" si="19"/>
        <v>0.16241955009276229</v>
      </c>
      <c r="V47" s="133">
        <v>256.02311999999671</v>
      </c>
      <c r="W47" s="134">
        <f t="shared" si="20"/>
        <v>32.002889999999589</v>
      </c>
      <c r="X47" s="127">
        <v>190</v>
      </c>
      <c r="Y47" s="106">
        <v>1</v>
      </c>
      <c r="Z47" s="90">
        <f t="shared" si="21"/>
        <v>0.16843626315789256</v>
      </c>
      <c r="AA47" s="141">
        <v>62.150539999999204</v>
      </c>
      <c r="AB47" s="134">
        <f t="shared" si="22"/>
        <v>7.7688174999999005</v>
      </c>
      <c r="AC47" s="105">
        <v>42</v>
      </c>
      <c r="AD47" s="106">
        <v>1</v>
      </c>
      <c r="AE47" s="90">
        <f t="shared" si="23"/>
        <v>0.48497184523809289</v>
      </c>
      <c r="AF47" s="133">
        <v>37.104799999999521</v>
      </c>
      <c r="AG47" s="134">
        <f t="shared" si="24"/>
        <v>4.6380999999999402</v>
      </c>
      <c r="AH47" s="105">
        <v>40</v>
      </c>
      <c r="AI47" s="106">
        <v>1</v>
      </c>
      <c r="AJ47" s="90">
        <f t="shared" si="25"/>
        <v>0.1159524999999985</v>
      </c>
      <c r="AK47" s="141">
        <v>16.697159999999787</v>
      </c>
      <c r="AL47" s="134">
        <f t="shared" si="26"/>
        <v>2.0871449999999734</v>
      </c>
      <c r="AM47" s="105">
        <v>130</v>
      </c>
      <c r="AN47" s="106">
        <v>1</v>
      </c>
      <c r="AO47" s="104">
        <f t="shared" si="27"/>
        <v>1.6054961538461334E-2</v>
      </c>
      <c r="AP47" s="89">
        <f t="shared" si="74"/>
        <v>1</v>
      </c>
      <c r="AQ47" s="139">
        <v>52.874339999999314</v>
      </c>
      <c r="AR47" s="134">
        <f t="shared" si="29"/>
        <v>6.6092924999999143</v>
      </c>
      <c r="AS47" s="105">
        <v>225</v>
      </c>
      <c r="AT47" s="106">
        <v>1</v>
      </c>
      <c r="AU47" s="91">
        <f t="shared" si="30"/>
        <v>2.9374633333332952E-2</v>
      </c>
      <c r="AV47" s="92">
        <f t="shared" si="31"/>
        <v>3</v>
      </c>
      <c r="AW47" s="133">
        <v>18.552399999999761</v>
      </c>
      <c r="AX47" s="134">
        <f t="shared" si="32"/>
        <v>2.3190499999999701</v>
      </c>
      <c r="AY47" s="93">
        <v>40</v>
      </c>
      <c r="AZ47" s="106">
        <v>1</v>
      </c>
      <c r="BA47" s="91">
        <f t="shared" si="33"/>
        <v>5.7976249999999251E-2</v>
      </c>
      <c r="BB47" s="133">
        <v>20.407639999999741</v>
      </c>
      <c r="BC47" s="134">
        <f t="shared" si="34"/>
        <v>2.5509549999999677</v>
      </c>
      <c r="BD47" s="105">
        <v>130</v>
      </c>
      <c r="BE47" s="106">
        <v>1</v>
      </c>
      <c r="BF47" s="104">
        <f t="shared" si="35"/>
        <v>1.9622730769230521E-2</v>
      </c>
      <c r="BG47" s="89">
        <f t="shared" si="75"/>
        <v>2</v>
      </c>
      <c r="BH47" s="59"/>
      <c r="BI47" s="59"/>
      <c r="BJ47" s="94"/>
      <c r="BK47" s="95"/>
      <c r="BL47" s="96"/>
      <c r="BM47" s="133">
        <v>69.942547999999107</v>
      </c>
      <c r="BN47" s="134">
        <f t="shared" si="37"/>
        <v>8.7428184999998884</v>
      </c>
      <c r="BO47" s="93">
        <v>35</v>
      </c>
      <c r="BP47" s="106">
        <v>1</v>
      </c>
      <c r="BQ47" s="104">
        <f t="shared" si="38"/>
        <v>0.2497948142857111</v>
      </c>
      <c r="BR47" s="133">
        <v>11.873535999999847</v>
      </c>
      <c r="BS47" s="134">
        <f t="shared" si="39"/>
        <v>1.4841919999999809</v>
      </c>
      <c r="BT47" s="97">
        <v>3.4</v>
      </c>
      <c r="BU47" s="106">
        <v>1</v>
      </c>
      <c r="BV47" s="91">
        <f t="shared" si="40"/>
        <v>0.43652705882352377</v>
      </c>
      <c r="BW47" s="133">
        <v>63.63473199999919</v>
      </c>
      <c r="BX47" s="134">
        <f t="shared" si="41"/>
        <v>7.9543414999998987</v>
      </c>
      <c r="BY47" s="105">
        <v>125</v>
      </c>
      <c r="BZ47" s="106">
        <v>1</v>
      </c>
      <c r="CA47" s="104">
        <f t="shared" si="42"/>
        <v>6.3634731999999194E-2</v>
      </c>
      <c r="CB47" s="89">
        <f t="shared" si="76"/>
        <v>3</v>
      </c>
      <c r="CC47" s="98">
        <f t="shared" si="44"/>
        <v>6</v>
      </c>
      <c r="CD47" s="139">
        <v>22.912213999999704</v>
      </c>
      <c r="CE47" s="134">
        <f t="shared" si="45"/>
        <v>2.864026749999963</v>
      </c>
      <c r="CF47" s="105">
        <v>165</v>
      </c>
      <c r="CG47" s="106">
        <v>1</v>
      </c>
      <c r="CH47" s="91">
        <f t="shared" si="46"/>
        <v>1.7357737878787655E-2</v>
      </c>
      <c r="CI47" s="139">
        <v>31.075269999999602</v>
      </c>
      <c r="CJ47" s="134">
        <f t="shared" si="47"/>
        <v>3.8844087499999502</v>
      </c>
      <c r="CK47" s="105">
        <v>150</v>
      </c>
      <c r="CL47" s="106">
        <v>1</v>
      </c>
      <c r="CM47" s="91">
        <f t="shared" si="48"/>
        <v>2.5896058333333003E-2</v>
      </c>
      <c r="CN47" s="139">
        <v>189.23447999999757</v>
      </c>
      <c r="CO47" s="134">
        <f t="shared" si="49"/>
        <v>23.654309999999697</v>
      </c>
      <c r="CP47" s="93">
        <v>320</v>
      </c>
      <c r="CQ47" s="106">
        <v>1</v>
      </c>
      <c r="CR47" s="91">
        <f t="shared" si="50"/>
        <v>7.3919718749999058E-2</v>
      </c>
      <c r="CS47" s="133">
        <v>567.70343999999272</v>
      </c>
      <c r="CT47" s="134">
        <f t="shared" si="51"/>
        <v>70.962929999999091</v>
      </c>
      <c r="CU47" s="93">
        <v>8000</v>
      </c>
      <c r="CV47" s="106">
        <v>1</v>
      </c>
      <c r="CW47" s="91">
        <f t="shared" si="52"/>
        <v>8.8703662499998864E-3</v>
      </c>
      <c r="CX47" s="133">
        <v>378.46895999999515</v>
      </c>
      <c r="CY47" s="134">
        <f t="shared" si="53"/>
        <v>47.308619999999394</v>
      </c>
      <c r="CZ47" s="93">
        <v>300</v>
      </c>
      <c r="DA47" s="106">
        <v>1</v>
      </c>
      <c r="DB47" s="91">
        <f t="shared" si="54"/>
        <v>0.15769539999999799</v>
      </c>
      <c r="DC47" s="99">
        <f t="shared" si="77"/>
        <v>46.380999999999403</v>
      </c>
      <c r="DD47" s="134">
        <f t="shared" si="56"/>
        <v>5.7976249999999254</v>
      </c>
      <c r="DE47" s="100">
        <v>50</v>
      </c>
      <c r="DF47" s="106">
        <v>1</v>
      </c>
      <c r="DG47" s="91">
        <f t="shared" si="57"/>
        <v>0.11595249999999852</v>
      </c>
      <c r="DH47" s="101">
        <f t="shared" si="58"/>
        <v>0.5</v>
      </c>
      <c r="DI47" s="122">
        <f t="shared" si="69"/>
        <v>3</v>
      </c>
      <c r="DJ47" s="122">
        <f t="shared" si="70"/>
        <v>6</v>
      </c>
      <c r="DK47" s="122">
        <f t="shared" si="59"/>
        <v>0.5</v>
      </c>
      <c r="DL47" s="122">
        <f t="shared" si="12"/>
        <v>10</v>
      </c>
      <c r="DM47" s="47">
        <f t="shared" si="9"/>
        <v>8</v>
      </c>
      <c r="DN47" s="122">
        <f t="shared" si="60"/>
        <v>80</v>
      </c>
      <c r="DO47" s="157">
        <f t="shared" si="71"/>
        <v>81</v>
      </c>
      <c r="DP47" s="157"/>
      <c r="DQ47" s="86">
        <f t="shared" si="64"/>
        <v>4.21875</v>
      </c>
      <c r="DR47" s="42"/>
      <c r="DS47" s="42"/>
      <c r="DT47" s="42"/>
      <c r="DU47" s="42"/>
      <c r="DV47" s="42"/>
    </row>
    <row r="48" spans="2:126" s="3" customFormat="1" ht="17.25" customHeight="1">
      <c r="B48" s="77">
        <v>37</v>
      </c>
      <c r="C48" s="78" t="s">
        <v>139</v>
      </c>
      <c r="D48" s="79" t="s">
        <v>140</v>
      </c>
      <c r="E48" s="79"/>
      <c r="F48" s="130"/>
      <c r="G48" s="130" t="s">
        <v>166</v>
      </c>
      <c r="H48" s="128">
        <v>80</v>
      </c>
      <c r="I48" s="80">
        <v>10853.087</v>
      </c>
      <c r="J48" s="80">
        <v>10919.105</v>
      </c>
      <c r="K48" s="132">
        <f t="shared" si="5"/>
        <v>66.018000000000029</v>
      </c>
      <c r="L48" s="126" t="s">
        <v>167</v>
      </c>
      <c r="M48" s="114">
        <v>13</v>
      </c>
      <c r="N48" s="115">
        <v>10</v>
      </c>
      <c r="O48" s="132">
        <f t="shared" si="6"/>
        <v>6.6018000000000026</v>
      </c>
      <c r="P48" s="90">
        <v>1</v>
      </c>
      <c r="Q48" s="103">
        <v>140.08277999999973</v>
      </c>
      <c r="R48" s="134">
        <f>Q48/N48</f>
        <v>14.008277999999972</v>
      </c>
      <c r="S48" s="88">
        <v>53.9</v>
      </c>
      <c r="T48" s="106">
        <v>1</v>
      </c>
      <c r="U48" s="90">
        <f>R48/S48/T48</f>
        <v>0.25989384044526853</v>
      </c>
      <c r="V48" s="103">
        <v>468.21360999999939</v>
      </c>
      <c r="W48" s="134">
        <f>V48/N48</f>
        <v>46.821360999999939</v>
      </c>
      <c r="X48" s="127">
        <v>190</v>
      </c>
      <c r="Y48" s="106">
        <v>1</v>
      </c>
      <c r="Z48" s="90">
        <f>W48/X48/Y48</f>
        <v>0.24642821578947335</v>
      </c>
      <c r="AA48" s="103">
        <v>88.464120000000037</v>
      </c>
      <c r="AB48" s="134">
        <f>AA48/N48</f>
        <v>8.8464120000000044</v>
      </c>
      <c r="AC48" s="105">
        <v>42</v>
      </c>
      <c r="AD48" s="106">
        <v>1</v>
      </c>
      <c r="AE48" s="90">
        <f>AB48/AC48/AD48+0.3</f>
        <v>0.51062885714285722</v>
      </c>
      <c r="AF48" s="103">
        <v>52.814400000000028</v>
      </c>
      <c r="AG48" s="134">
        <f>AF48/N48</f>
        <v>5.2814400000000026</v>
      </c>
      <c r="AH48" s="105">
        <v>40</v>
      </c>
      <c r="AI48" s="106">
        <v>1</v>
      </c>
      <c r="AJ48" s="90">
        <f>AG48/AH48/AI48</f>
        <v>0.13203600000000007</v>
      </c>
      <c r="AK48" s="103">
        <v>23.766480000000012</v>
      </c>
      <c r="AL48" s="134">
        <f>AK48/N48</f>
        <v>2.3766480000000012</v>
      </c>
      <c r="AM48" s="105">
        <v>130</v>
      </c>
      <c r="AN48" s="106">
        <v>1</v>
      </c>
      <c r="AO48" s="104">
        <f>AL48/AM48/AN48</f>
        <v>1.8281907692307701E-2</v>
      </c>
      <c r="AP48" s="89">
        <f t="shared" si="74"/>
        <v>1</v>
      </c>
      <c r="AQ48" s="103">
        <v>117.9003199999997</v>
      </c>
      <c r="AR48" s="134">
        <f>AQ48/N48</f>
        <v>11.79003199999997</v>
      </c>
      <c r="AS48" s="105">
        <v>225</v>
      </c>
      <c r="AT48" s="106">
        <v>1</v>
      </c>
      <c r="AU48" s="91">
        <f>AR48/AS48/AT48</f>
        <v>5.2400142222222092E-2</v>
      </c>
      <c r="AV48" s="92">
        <f>CEILING(SUM(P48,U48,Z48,AE48,AJ48,AO48,AP48,AU48),0.5)</f>
        <v>3.5</v>
      </c>
      <c r="AW48" s="103">
        <v>26.407200000000014</v>
      </c>
      <c r="AX48" s="134">
        <f>AW48/N48</f>
        <v>2.6407200000000013</v>
      </c>
      <c r="AY48" s="93">
        <v>40</v>
      </c>
      <c r="AZ48" s="106">
        <v>1</v>
      </c>
      <c r="BA48" s="91">
        <f>AX48/AY48/AZ48</f>
        <v>6.6018000000000035E-2</v>
      </c>
      <c r="BB48" s="103">
        <v>29.047920000000016</v>
      </c>
      <c r="BC48" s="134">
        <f>BB48/N48</f>
        <v>2.9047920000000014</v>
      </c>
      <c r="BD48" s="105">
        <v>130</v>
      </c>
      <c r="BE48" s="106">
        <v>1</v>
      </c>
      <c r="BF48" s="104">
        <f>BC48/BD48/BE48</f>
        <v>2.2344553846153858E-2</v>
      </c>
      <c r="BG48" s="89">
        <f t="shared" si="75"/>
        <v>2</v>
      </c>
      <c r="BH48" s="59"/>
      <c r="BI48" s="59"/>
      <c r="BJ48" s="129"/>
      <c r="BK48" s="131"/>
      <c r="BL48" s="124"/>
      <c r="BM48" s="103">
        <v>99.555144000000041</v>
      </c>
      <c r="BN48" s="134">
        <f>BM48/N48</f>
        <v>9.9555144000000038</v>
      </c>
      <c r="BO48" s="93">
        <v>35</v>
      </c>
      <c r="BP48" s="106">
        <v>1</v>
      </c>
      <c r="BQ48" s="104">
        <f>BN48/BO48/BP48</f>
        <v>0.28444326857142865</v>
      </c>
      <c r="BR48" s="103">
        <v>16.900608000000009</v>
      </c>
      <c r="BS48" s="134">
        <f>BR48/N48</f>
        <v>1.6900608000000008</v>
      </c>
      <c r="BT48" s="97">
        <v>3.4</v>
      </c>
      <c r="BU48" s="106">
        <v>1</v>
      </c>
      <c r="BV48" s="91">
        <f>BS48/BT48/BU48</f>
        <v>0.4970767058823532</v>
      </c>
      <c r="BW48" s="103">
        <v>90.576696000000041</v>
      </c>
      <c r="BX48" s="134">
        <f>BW48/N48</f>
        <v>9.0576696000000041</v>
      </c>
      <c r="BY48" s="105">
        <v>125</v>
      </c>
      <c r="BZ48" s="106">
        <v>1</v>
      </c>
      <c r="CA48" s="104">
        <f>BX48/BY48/BZ48</f>
        <v>7.2461356800000029E-2</v>
      </c>
      <c r="CB48" s="89">
        <f t="shared" si="76"/>
        <v>3</v>
      </c>
      <c r="CC48" s="98">
        <f>CEILING(SUM(BA48,BF48,BG48,BL48,BQ48,BV48,CA48,CB48),0.5)</f>
        <v>6</v>
      </c>
      <c r="CD48" s="103">
        <v>57.523511999999812</v>
      </c>
      <c r="CE48" s="134">
        <f>CD48/N48</f>
        <v>5.752351199999981</v>
      </c>
      <c r="CF48" s="105">
        <v>165</v>
      </c>
      <c r="CG48" s="106">
        <v>1</v>
      </c>
      <c r="CH48" s="91">
        <f>CE48/CF48/CG48</f>
        <v>3.4862734545454431E-2</v>
      </c>
      <c r="CI48" s="103">
        <v>80.475889999999751</v>
      </c>
      <c r="CJ48" s="134">
        <f>CI48/N48</f>
        <v>8.0475889999999755</v>
      </c>
      <c r="CK48" s="105">
        <v>150</v>
      </c>
      <c r="CL48" s="106">
        <v>1</v>
      </c>
      <c r="CM48" s="91">
        <f>CJ48/CK48/CL48</f>
        <v>5.365059333333317E-2</v>
      </c>
      <c r="CN48" s="103">
        <v>482.55243999999846</v>
      </c>
      <c r="CO48" s="134">
        <f>CN48/N48</f>
        <v>48.255243999999848</v>
      </c>
      <c r="CP48" s="93">
        <v>320</v>
      </c>
      <c r="CQ48" s="106">
        <v>1</v>
      </c>
      <c r="CR48" s="91">
        <f>CO48/CP48/CQ48</f>
        <v>0.15079763749999953</v>
      </c>
      <c r="CS48" s="103">
        <v>1447.6573199999953</v>
      </c>
      <c r="CT48" s="134">
        <f>CS48/N48</f>
        <v>144.76573199999953</v>
      </c>
      <c r="CU48" s="93">
        <v>8000</v>
      </c>
      <c r="CV48" s="106">
        <v>1</v>
      </c>
      <c r="CW48" s="91">
        <f>CT48/CU48/CV48</f>
        <v>1.8095716499999942E-2</v>
      </c>
      <c r="CX48" s="103">
        <v>965.10487999999691</v>
      </c>
      <c r="CY48" s="134">
        <f>CX48/N48</f>
        <v>96.510487999999697</v>
      </c>
      <c r="CZ48" s="93">
        <v>300</v>
      </c>
      <c r="DA48" s="106">
        <v>1</v>
      </c>
      <c r="DB48" s="91">
        <f>CY48/CZ48/DA48</f>
        <v>0.32170162666666563</v>
      </c>
      <c r="DC48" s="99">
        <f t="shared" si="77"/>
        <v>66.018000000000029</v>
      </c>
      <c r="DD48" s="134">
        <f>DC48/N48</f>
        <v>6.6018000000000026</v>
      </c>
      <c r="DE48" s="100">
        <v>50</v>
      </c>
      <c r="DF48" s="106">
        <v>1</v>
      </c>
      <c r="DG48" s="91">
        <f>DD48/DE48/DF48</f>
        <v>0.13203600000000004</v>
      </c>
      <c r="DH48" s="101">
        <f>CEILING(SUM(CH48,CM48,CR48,CW48,DB48,DG48),0.5)</f>
        <v>1</v>
      </c>
      <c r="DI48" s="122">
        <f t="shared" si="69"/>
        <v>3.5</v>
      </c>
      <c r="DJ48" s="122">
        <f t="shared" si="70"/>
        <v>6</v>
      </c>
      <c r="DK48" s="122">
        <f>DH48</f>
        <v>1</v>
      </c>
      <c r="DL48" s="122">
        <f t="shared" si="12"/>
        <v>11</v>
      </c>
      <c r="DM48" s="47">
        <f t="shared" si="9"/>
        <v>10</v>
      </c>
      <c r="DN48" s="122">
        <f>DL48*DM48</f>
        <v>110</v>
      </c>
      <c r="DO48" s="157">
        <f t="shared" si="71"/>
        <v>111</v>
      </c>
      <c r="DP48" s="157"/>
      <c r="DQ48" s="86">
        <f t="shared" si="64"/>
        <v>5.78125</v>
      </c>
      <c r="DR48" s="42"/>
      <c r="DS48" s="42"/>
      <c r="DT48" s="42"/>
      <c r="DU48" s="42"/>
      <c r="DV48" s="42"/>
    </row>
    <row r="49" spans="2:126" s="3" customFormat="1" ht="17.25" customHeight="1">
      <c r="B49" s="151">
        <v>38</v>
      </c>
      <c r="C49" s="142" t="s">
        <v>143</v>
      </c>
      <c r="D49" s="147" t="s">
        <v>144</v>
      </c>
      <c r="E49" s="147" t="s">
        <v>129</v>
      </c>
      <c r="F49" s="108" t="s">
        <v>157</v>
      </c>
      <c r="G49" s="108" t="s">
        <v>141</v>
      </c>
      <c r="H49" s="107"/>
      <c r="I49" s="138">
        <v>11614.273999999999</v>
      </c>
      <c r="J49" s="138">
        <v>11668.084999999999</v>
      </c>
      <c r="K49" s="87">
        <f t="shared" si="5"/>
        <v>53.810999999999694</v>
      </c>
      <c r="L49" s="87" t="s">
        <v>142</v>
      </c>
      <c r="M49" s="136">
        <v>11</v>
      </c>
      <c r="N49" s="115">
        <v>10</v>
      </c>
      <c r="O49" s="87">
        <f t="shared" si="6"/>
        <v>5.3810999999999698</v>
      </c>
      <c r="P49" s="90">
        <v>1</v>
      </c>
      <c r="Q49" s="103">
        <v>122.46453000000055</v>
      </c>
      <c r="R49" s="134">
        <f t="shared" si="18"/>
        <v>12.246453000000056</v>
      </c>
      <c r="S49" s="88">
        <v>53.9</v>
      </c>
      <c r="T49" s="106">
        <v>1</v>
      </c>
      <c r="U49" s="90">
        <f t="shared" si="19"/>
        <v>0.22720692022263556</v>
      </c>
      <c r="V49" s="103">
        <v>402.57432000000091</v>
      </c>
      <c r="W49" s="134">
        <f t="shared" si="20"/>
        <v>40.257432000000094</v>
      </c>
      <c r="X49" s="127">
        <v>190</v>
      </c>
      <c r="Y49" s="106">
        <v>1</v>
      </c>
      <c r="Z49" s="90">
        <f t="shared" si="21"/>
        <v>0.21188122105263207</v>
      </c>
      <c r="AA49" s="103">
        <v>72.10673999999959</v>
      </c>
      <c r="AB49" s="134">
        <f t="shared" si="22"/>
        <v>7.2106739999999592</v>
      </c>
      <c r="AC49" s="105">
        <v>42</v>
      </c>
      <c r="AD49" s="106">
        <v>1</v>
      </c>
      <c r="AE49" s="90">
        <f t="shared" si="23"/>
        <v>0.47168271428571329</v>
      </c>
      <c r="AF49" s="103">
        <v>43.048799999999758</v>
      </c>
      <c r="AG49" s="134">
        <f t="shared" si="24"/>
        <v>4.3048799999999758</v>
      </c>
      <c r="AH49" s="105">
        <v>40</v>
      </c>
      <c r="AI49" s="106">
        <v>1</v>
      </c>
      <c r="AJ49" s="90">
        <f t="shared" si="25"/>
        <v>0.1076219999999994</v>
      </c>
      <c r="AK49" s="103">
        <v>19.371959999999895</v>
      </c>
      <c r="AL49" s="134">
        <f t="shared" si="26"/>
        <v>1.9371959999999895</v>
      </c>
      <c r="AM49" s="105">
        <v>130</v>
      </c>
      <c r="AN49" s="106">
        <v>1</v>
      </c>
      <c r="AO49" s="104">
        <f t="shared" si="27"/>
        <v>1.4901507692307612E-2</v>
      </c>
      <c r="AP49" s="89">
        <f t="shared" si="74"/>
        <v>1</v>
      </c>
      <c r="AQ49" s="103">
        <v>104.5647000000007</v>
      </c>
      <c r="AR49" s="134">
        <f t="shared" si="29"/>
        <v>10.456470000000071</v>
      </c>
      <c r="AS49" s="105">
        <v>225</v>
      </c>
      <c r="AT49" s="106">
        <v>1</v>
      </c>
      <c r="AU49" s="91">
        <f t="shared" si="30"/>
        <v>4.6473200000000311E-2</v>
      </c>
      <c r="AV49" s="92">
        <f t="shared" si="31"/>
        <v>3.5</v>
      </c>
      <c r="AW49" s="103">
        <v>21.524399999999879</v>
      </c>
      <c r="AX49" s="134">
        <f t="shared" si="32"/>
        <v>2.1524399999999879</v>
      </c>
      <c r="AY49" s="93">
        <v>40</v>
      </c>
      <c r="AZ49" s="106">
        <v>1</v>
      </c>
      <c r="BA49" s="91">
        <f t="shared" si="33"/>
        <v>5.3810999999999699E-2</v>
      </c>
      <c r="BB49" s="103">
        <v>23.676839999999867</v>
      </c>
      <c r="BC49" s="134">
        <f t="shared" si="34"/>
        <v>2.3676839999999868</v>
      </c>
      <c r="BD49" s="105">
        <v>130</v>
      </c>
      <c r="BE49" s="106">
        <v>1</v>
      </c>
      <c r="BF49" s="104">
        <f t="shared" si="35"/>
        <v>1.8212953846153745E-2</v>
      </c>
      <c r="BG49" s="89">
        <f t="shared" si="75"/>
        <v>2</v>
      </c>
      <c r="BH49" s="59"/>
      <c r="BI49" s="59"/>
      <c r="BJ49" s="94"/>
      <c r="BK49" s="95"/>
      <c r="BL49" s="96"/>
      <c r="BM49" s="103">
        <v>81.146987999999538</v>
      </c>
      <c r="BN49" s="134">
        <f t="shared" si="37"/>
        <v>8.1146987999999531</v>
      </c>
      <c r="BO49" s="93">
        <v>35</v>
      </c>
      <c r="BP49" s="106">
        <v>1</v>
      </c>
      <c r="BQ49" s="104">
        <f t="shared" si="38"/>
        <v>0.2318485371428558</v>
      </c>
      <c r="BR49" s="103">
        <v>13.775615999999921</v>
      </c>
      <c r="BS49" s="134">
        <f t="shared" si="39"/>
        <v>1.3775615999999922</v>
      </c>
      <c r="BT49" s="97">
        <v>3.4</v>
      </c>
      <c r="BU49" s="106">
        <v>1</v>
      </c>
      <c r="BV49" s="91">
        <f t="shared" si="40"/>
        <v>0.40516517647058592</v>
      </c>
      <c r="BW49" s="103">
        <v>73.828691999999592</v>
      </c>
      <c r="BX49" s="134">
        <f t="shared" si="41"/>
        <v>7.3828691999999592</v>
      </c>
      <c r="BY49" s="105">
        <v>125</v>
      </c>
      <c r="BZ49" s="106">
        <v>1</v>
      </c>
      <c r="CA49" s="104">
        <f t="shared" si="42"/>
        <v>5.9062953599999676E-2</v>
      </c>
      <c r="CB49" s="89">
        <f t="shared" si="76"/>
        <v>3</v>
      </c>
      <c r="CC49" s="98">
        <f t="shared" si="44"/>
        <v>6</v>
      </c>
      <c r="CD49" s="103">
        <v>51.86140200000046</v>
      </c>
      <c r="CE49" s="134">
        <f t="shared" si="45"/>
        <v>5.1861402000000458</v>
      </c>
      <c r="CF49" s="105">
        <v>165</v>
      </c>
      <c r="CG49" s="106">
        <v>1</v>
      </c>
      <c r="CH49" s="91">
        <f t="shared" si="46"/>
        <v>3.1431152727273003E-2</v>
      </c>
      <c r="CI49" s="103">
        <v>72.79050600000069</v>
      </c>
      <c r="CJ49" s="134">
        <f t="shared" si="47"/>
        <v>7.279050600000069</v>
      </c>
      <c r="CK49" s="105">
        <v>150</v>
      </c>
      <c r="CL49" s="106">
        <v>1</v>
      </c>
      <c r="CM49" s="91">
        <f t="shared" si="48"/>
        <v>4.8527004000000457E-2</v>
      </c>
      <c r="CN49" s="103">
        <v>435.64968000000408</v>
      </c>
      <c r="CO49" s="134">
        <f t="shared" si="49"/>
        <v>43.564968000000405</v>
      </c>
      <c r="CP49" s="93">
        <v>320</v>
      </c>
      <c r="CQ49" s="106">
        <v>1</v>
      </c>
      <c r="CR49" s="91">
        <f t="shared" si="50"/>
        <v>0.13614052500000126</v>
      </c>
      <c r="CS49" s="103">
        <v>1306.9490400000122</v>
      </c>
      <c r="CT49" s="134">
        <f t="shared" si="51"/>
        <v>130.69490400000123</v>
      </c>
      <c r="CU49" s="93">
        <v>8000</v>
      </c>
      <c r="CV49" s="106">
        <v>1</v>
      </c>
      <c r="CW49" s="91">
        <f t="shared" si="52"/>
        <v>1.6336863000000153E-2</v>
      </c>
      <c r="CX49" s="103">
        <v>871.29936000000816</v>
      </c>
      <c r="CY49" s="134">
        <f t="shared" si="53"/>
        <v>87.129936000000811</v>
      </c>
      <c r="CZ49" s="93">
        <v>300</v>
      </c>
      <c r="DA49" s="106">
        <v>1</v>
      </c>
      <c r="DB49" s="91">
        <f t="shared" si="54"/>
        <v>0.29043312000000271</v>
      </c>
      <c r="DC49" s="99">
        <f t="shared" si="77"/>
        <v>53.810999999999694</v>
      </c>
      <c r="DD49" s="134">
        <f t="shared" si="56"/>
        <v>5.3810999999999698</v>
      </c>
      <c r="DE49" s="100">
        <v>50</v>
      </c>
      <c r="DF49" s="106">
        <v>1</v>
      </c>
      <c r="DG49" s="91">
        <f t="shared" si="57"/>
        <v>0.1076219999999994</v>
      </c>
      <c r="DH49" s="101">
        <f t="shared" si="58"/>
        <v>1</v>
      </c>
      <c r="DI49" s="122">
        <f t="shared" si="69"/>
        <v>3.5</v>
      </c>
      <c r="DJ49" s="122">
        <f t="shared" si="70"/>
        <v>6</v>
      </c>
      <c r="DK49" s="122">
        <f t="shared" si="59"/>
        <v>1</v>
      </c>
      <c r="DL49" s="122">
        <f t="shared" si="12"/>
        <v>11</v>
      </c>
      <c r="DM49" s="47">
        <f t="shared" si="9"/>
        <v>10</v>
      </c>
      <c r="DN49" s="122">
        <f t="shared" si="60"/>
        <v>110</v>
      </c>
      <c r="DO49" s="157">
        <f t="shared" si="71"/>
        <v>111</v>
      </c>
      <c r="DP49" s="157"/>
      <c r="DQ49" s="86">
        <f t="shared" si="64"/>
        <v>5.78125</v>
      </c>
      <c r="DS49" s="42"/>
      <c r="DU49" s="42"/>
      <c r="DV49" s="42"/>
    </row>
    <row r="50" spans="2:126" s="3" customFormat="1" ht="17.25" customHeight="1">
      <c r="B50" s="152">
        <v>39</v>
      </c>
      <c r="C50" s="145" t="s">
        <v>145</v>
      </c>
      <c r="D50" s="147" t="s">
        <v>146</v>
      </c>
      <c r="E50" s="135"/>
      <c r="F50" s="108"/>
      <c r="G50" s="108" t="s">
        <v>18</v>
      </c>
      <c r="H50" s="107">
        <v>80</v>
      </c>
      <c r="I50" s="138">
        <v>11885.094999999999</v>
      </c>
      <c r="J50" s="138">
        <v>11920.751</v>
      </c>
      <c r="K50" s="87">
        <f t="shared" si="5"/>
        <v>35.656000000000859</v>
      </c>
      <c r="L50" s="87" t="s">
        <v>50</v>
      </c>
      <c r="M50" s="136">
        <v>8</v>
      </c>
      <c r="N50" s="113">
        <v>8</v>
      </c>
      <c r="O50" s="87">
        <f t="shared" si="6"/>
        <v>4.4570000000001073</v>
      </c>
      <c r="P50" s="90">
        <v>1</v>
      </c>
      <c r="Q50" s="139">
        <v>53.840560000001297</v>
      </c>
      <c r="R50" s="134">
        <f t="shared" si="18"/>
        <v>6.7300700000001621</v>
      </c>
      <c r="S50" s="88">
        <v>53.9</v>
      </c>
      <c r="T50" s="106">
        <v>1</v>
      </c>
      <c r="U50" s="90">
        <f t="shared" si="19"/>
        <v>0.12486215213358372</v>
      </c>
      <c r="V50" s="133">
        <v>196.82112000000475</v>
      </c>
      <c r="W50" s="134">
        <f t="shared" si="20"/>
        <v>24.602640000000594</v>
      </c>
      <c r="X50" s="127">
        <v>190</v>
      </c>
      <c r="Y50" s="106">
        <v>1</v>
      </c>
      <c r="Z50" s="90">
        <f t="shared" si="21"/>
        <v>0.12948757894737156</v>
      </c>
      <c r="AA50" s="141">
        <v>47.779040000001153</v>
      </c>
      <c r="AB50" s="134">
        <f t="shared" si="22"/>
        <v>5.9723800000001441</v>
      </c>
      <c r="AC50" s="105">
        <v>42</v>
      </c>
      <c r="AD50" s="106">
        <v>1</v>
      </c>
      <c r="AE50" s="90">
        <f t="shared" si="23"/>
        <v>0.44219952380952721</v>
      </c>
      <c r="AF50" s="133">
        <v>28.524800000000688</v>
      </c>
      <c r="AG50" s="134">
        <f t="shared" si="24"/>
        <v>3.565600000000086</v>
      </c>
      <c r="AH50" s="105">
        <v>40</v>
      </c>
      <c r="AI50" s="106">
        <v>1</v>
      </c>
      <c r="AJ50" s="90">
        <f t="shared" si="25"/>
        <v>8.9140000000002148E-2</v>
      </c>
      <c r="AK50" s="141">
        <v>12.83616000000031</v>
      </c>
      <c r="AL50" s="134">
        <f t="shared" si="26"/>
        <v>1.6045200000000388</v>
      </c>
      <c r="AM50" s="105">
        <v>130</v>
      </c>
      <c r="AN50" s="106">
        <v>1</v>
      </c>
      <c r="AO50" s="104">
        <f t="shared" si="27"/>
        <v>1.2342461538461837E-2</v>
      </c>
      <c r="AP50" s="89">
        <f t="shared" si="74"/>
        <v>1</v>
      </c>
      <c r="AQ50" s="139">
        <v>40.647840000000976</v>
      </c>
      <c r="AR50" s="134">
        <f t="shared" si="29"/>
        <v>5.080980000000122</v>
      </c>
      <c r="AS50" s="105">
        <v>225</v>
      </c>
      <c r="AT50" s="106">
        <v>1</v>
      </c>
      <c r="AU50" s="91">
        <f t="shared" si="30"/>
        <v>2.2582133333333875E-2</v>
      </c>
      <c r="AV50" s="92">
        <f t="shared" si="31"/>
        <v>3</v>
      </c>
      <c r="AW50" s="133">
        <v>14.262400000000344</v>
      </c>
      <c r="AX50" s="134">
        <f t="shared" si="32"/>
        <v>1.782800000000043</v>
      </c>
      <c r="AY50" s="93">
        <v>40</v>
      </c>
      <c r="AZ50" s="106">
        <v>1</v>
      </c>
      <c r="BA50" s="91">
        <f t="shared" si="33"/>
        <v>4.4570000000001074E-2</v>
      </c>
      <c r="BB50" s="133">
        <v>15.68864000000038</v>
      </c>
      <c r="BC50" s="134">
        <f t="shared" si="34"/>
        <v>1.9610800000000475</v>
      </c>
      <c r="BD50" s="105">
        <v>130</v>
      </c>
      <c r="BE50" s="106">
        <v>1</v>
      </c>
      <c r="BF50" s="104">
        <f t="shared" si="35"/>
        <v>1.5085230769231133E-2</v>
      </c>
      <c r="BG50" s="89">
        <f t="shared" si="75"/>
        <v>2</v>
      </c>
      <c r="BH50" s="59"/>
      <c r="BI50" s="59"/>
      <c r="BJ50" s="94"/>
      <c r="BK50" s="95"/>
      <c r="BL50" s="96"/>
      <c r="BM50" s="133">
        <v>53.769248000001298</v>
      </c>
      <c r="BN50" s="134">
        <f t="shared" si="37"/>
        <v>6.7211560000001622</v>
      </c>
      <c r="BO50" s="93">
        <v>35</v>
      </c>
      <c r="BP50" s="106">
        <v>1</v>
      </c>
      <c r="BQ50" s="104">
        <f t="shared" si="38"/>
        <v>0.1920330285714332</v>
      </c>
      <c r="BR50" s="133">
        <v>9.1279360000002203</v>
      </c>
      <c r="BS50" s="134">
        <f t="shared" si="39"/>
        <v>1.1409920000000275</v>
      </c>
      <c r="BT50" s="97">
        <v>3.4</v>
      </c>
      <c r="BU50" s="106">
        <v>1</v>
      </c>
      <c r="BV50" s="91">
        <f t="shared" si="40"/>
        <v>0.33558588235294928</v>
      </c>
      <c r="BW50" s="133">
        <v>48.920032000001179</v>
      </c>
      <c r="BX50" s="134">
        <f t="shared" si="41"/>
        <v>6.1150040000001473</v>
      </c>
      <c r="BY50" s="105">
        <v>125</v>
      </c>
      <c r="BZ50" s="106">
        <v>1</v>
      </c>
      <c r="CA50" s="104">
        <f t="shared" si="42"/>
        <v>4.8920032000001182E-2</v>
      </c>
      <c r="CB50" s="89">
        <f t="shared" si="76"/>
        <v>3</v>
      </c>
      <c r="CC50" s="98">
        <f t="shared" si="44"/>
        <v>6</v>
      </c>
      <c r="CD50" s="139">
        <v>17.614064000000425</v>
      </c>
      <c r="CE50" s="134">
        <f t="shared" si="45"/>
        <v>2.2017580000000532</v>
      </c>
      <c r="CF50" s="105">
        <v>165</v>
      </c>
      <c r="CG50" s="106">
        <v>1</v>
      </c>
      <c r="CH50" s="91">
        <f t="shared" si="46"/>
        <v>1.3343987878788202E-2</v>
      </c>
      <c r="CI50" s="139">
        <v>23.889520000000577</v>
      </c>
      <c r="CJ50" s="134">
        <f t="shared" si="47"/>
        <v>2.9861900000000721</v>
      </c>
      <c r="CK50" s="105">
        <v>150</v>
      </c>
      <c r="CL50" s="106">
        <v>1</v>
      </c>
      <c r="CM50" s="91">
        <f t="shared" si="48"/>
        <v>1.9907933333333815E-2</v>
      </c>
      <c r="CN50" s="139">
        <v>145.47648000000351</v>
      </c>
      <c r="CO50" s="134">
        <f t="shared" si="49"/>
        <v>18.184560000000438</v>
      </c>
      <c r="CP50" s="93">
        <v>320</v>
      </c>
      <c r="CQ50" s="106">
        <v>1</v>
      </c>
      <c r="CR50" s="91">
        <f t="shared" si="50"/>
        <v>5.6826750000001369E-2</v>
      </c>
      <c r="CS50" s="133">
        <v>436.42944000001052</v>
      </c>
      <c r="CT50" s="134">
        <f t="shared" si="51"/>
        <v>54.553680000001314</v>
      </c>
      <c r="CU50" s="93">
        <v>8000</v>
      </c>
      <c r="CV50" s="106">
        <v>1</v>
      </c>
      <c r="CW50" s="91">
        <f t="shared" si="52"/>
        <v>6.819210000000164E-3</v>
      </c>
      <c r="CX50" s="133">
        <v>290.95296000000701</v>
      </c>
      <c r="CY50" s="134">
        <f t="shared" si="53"/>
        <v>36.369120000000876</v>
      </c>
      <c r="CZ50" s="93">
        <v>300</v>
      </c>
      <c r="DA50" s="106">
        <v>1</v>
      </c>
      <c r="DB50" s="91">
        <f t="shared" si="54"/>
        <v>0.12123040000000292</v>
      </c>
      <c r="DC50" s="99">
        <f t="shared" si="77"/>
        <v>35.656000000000859</v>
      </c>
      <c r="DD50" s="134">
        <f t="shared" si="56"/>
        <v>4.4570000000001073</v>
      </c>
      <c r="DE50" s="100">
        <v>50</v>
      </c>
      <c r="DF50" s="106">
        <v>1</v>
      </c>
      <c r="DG50" s="91">
        <f t="shared" si="57"/>
        <v>8.9140000000002148E-2</v>
      </c>
      <c r="DH50" s="101">
        <f t="shared" si="58"/>
        <v>0.5</v>
      </c>
      <c r="DI50" s="122">
        <f t="shared" si="69"/>
        <v>3</v>
      </c>
      <c r="DJ50" s="122">
        <f t="shared" si="70"/>
        <v>6</v>
      </c>
      <c r="DK50" s="122">
        <f t="shared" si="59"/>
        <v>0.5</v>
      </c>
      <c r="DL50" s="122">
        <f t="shared" si="12"/>
        <v>10</v>
      </c>
      <c r="DM50" s="47">
        <f t="shared" si="9"/>
        <v>8</v>
      </c>
      <c r="DN50" s="122">
        <f t="shared" si="60"/>
        <v>80</v>
      </c>
      <c r="DO50" s="157">
        <f t="shared" si="71"/>
        <v>81</v>
      </c>
      <c r="DP50" s="157"/>
      <c r="DQ50" s="86">
        <f t="shared" si="64"/>
        <v>4.21875</v>
      </c>
      <c r="DR50" s="42"/>
      <c r="DS50" s="42"/>
      <c r="DU50" s="42"/>
      <c r="DV50" s="42"/>
    </row>
    <row r="51" spans="2:126" s="3" customFormat="1" ht="17.25" customHeight="1">
      <c r="B51" s="155">
        <v>40</v>
      </c>
      <c r="C51" s="153" t="s">
        <v>147</v>
      </c>
      <c r="D51" s="147" t="s">
        <v>148</v>
      </c>
      <c r="E51" s="135" t="s">
        <v>128</v>
      </c>
      <c r="F51" s="108"/>
      <c r="G51" s="108" t="s">
        <v>18</v>
      </c>
      <c r="H51" s="107"/>
      <c r="I51" s="138">
        <v>12212.407999999999</v>
      </c>
      <c r="J51" s="138">
        <v>12254.748</v>
      </c>
      <c r="K51" s="87">
        <f t="shared" si="5"/>
        <v>42.340000000000146</v>
      </c>
      <c r="L51" s="87" t="s">
        <v>50</v>
      </c>
      <c r="M51" s="136">
        <v>7</v>
      </c>
      <c r="N51" s="113">
        <v>7</v>
      </c>
      <c r="O51" s="87">
        <f t="shared" si="6"/>
        <v>6.0485714285714494</v>
      </c>
      <c r="P51" s="90">
        <v>1</v>
      </c>
      <c r="Q51" s="139">
        <v>63.933400000000219</v>
      </c>
      <c r="R51" s="134">
        <f t="shared" si="18"/>
        <v>9.133342857142889</v>
      </c>
      <c r="S51" s="88">
        <v>53.9</v>
      </c>
      <c r="T51" s="106">
        <v>1</v>
      </c>
      <c r="U51" s="90">
        <f t="shared" si="19"/>
        <v>0.16944977471508144</v>
      </c>
      <c r="V51" s="133">
        <v>233.71680000000077</v>
      </c>
      <c r="W51" s="134">
        <f t="shared" si="20"/>
        <v>33.388114285714394</v>
      </c>
      <c r="X51" s="127">
        <v>190</v>
      </c>
      <c r="Y51" s="106">
        <v>1</v>
      </c>
      <c r="Z51" s="90">
        <f t="shared" si="21"/>
        <v>0.17572691729323364</v>
      </c>
      <c r="AA51" s="141">
        <v>56.735600000000197</v>
      </c>
      <c r="AB51" s="134">
        <f t="shared" si="22"/>
        <v>8.1050857142857424</v>
      </c>
      <c r="AC51" s="105">
        <v>42</v>
      </c>
      <c r="AD51" s="106">
        <v>1</v>
      </c>
      <c r="AE51" s="90">
        <f t="shared" si="23"/>
        <v>0.49297823129251767</v>
      </c>
      <c r="AF51" s="133">
        <v>33.872000000000121</v>
      </c>
      <c r="AG51" s="134">
        <f t="shared" si="24"/>
        <v>4.8388571428571598</v>
      </c>
      <c r="AH51" s="105">
        <v>40</v>
      </c>
      <c r="AI51" s="106">
        <v>1</v>
      </c>
      <c r="AJ51" s="90">
        <f t="shared" si="25"/>
        <v>0.12097142857142899</v>
      </c>
      <c r="AK51" s="141">
        <v>15.242400000000055</v>
      </c>
      <c r="AL51" s="134">
        <f t="shared" si="26"/>
        <v>2.177485714285722</v>
      </c>
      <c r="AM51" s="105">
        <v>130</v>
      </c>
      <c r="AN51" s="106">
        <v>1</v>
      </c>
      <c r="AO51" s="104">
        <f t="shared" si="27"/>
        <v>1.674989010989017E-2</v>
      </c>
      <c r="AP51" s="89">
        <f t="shared" si="74"/>
        <v>1</v>
      </c>
      <c r="AQ51" s="139">
        <v>48.267600000000165</v>
      </c>
      <c r="AR51" s="134">
        <f t="shared" si="29"/>
        <v>6.895371428571452</v>
      </c>
      <c r="AS51" s="105">
        <v>225</v>
      </c>
      <c r="AT51" s="106">
        <v>1</v>
      </c>
      <c r="AU51" s="91">
        <f t="shared" si="30"/>
        <v>3.0646095238095344E-2</v>
      </c>
      <c r="AV51" s="92">
        <f t="shared" si="31"/>
        <v>3.5</v>
      </c>
      <c r="AW51" s="133">
        <v>16.93600000000006</v>
      </c>
      <c r="AX51" s="134">
        <f t="shared" si="32"/>
        <v>2.4194285714285799</v>
      </c>
      <c r="AY51" s="93">
        <v>40</v>
      </c>
      <c r="AZ51" s="106">
        <v>1</v>
      </c>
      <c r="BA51" s="91">
        <f t="shared" si="33"/>
        <v>6.0485714285714497E-2</v>
      </c>
      <c r="BB51" s="133">
        <v>18.629600000000067</v>
      </c>
      <c r="BC51" s="134">
        <f t="shared" si="34"/>
        <v>2.6613714285714383</v>
      </c>
      <c r="BD51" s="105">
        <v>130</v>
      </c>
      <c r="BE51" s="106">
        <v>1</v>
      </c>
      <c r="BF51" s="104">
        <f t="shared" si="35"/>
        <v>2.0472087912087988E-2</v>
      </c>
      <c r="BG51" s="89">
        <f t="shared" si="75"/>
        <v>2</v>
      </c>
      <c r="BH51" s="59"/>
      <c r="BI51" s="59"/>
      <c r="BJ51" s="94"/>
      <c r="BK51" s="95"/>
      <c r="BL51" s="96"/>
      <c r="BM51" s="133">
        <v>63.84872000000022</v>
      </c>
      <c r="BN51" s="134">
        <f t="shared" si="37"/>
        <v>9.1212457142857453</v>
      </c>
      <c r="BO51" s="93">
        <v>35</v>
      </c>
      <c r="BP51" s="106">
        <v>1</v>
      </c>
      <c r="BQ51" s="104">
        <f t="shared" si="38"/>
        <v>0.26060702040816414</v>
      </c>
      <c r="BR51" s="133">
        <v>10.839040000000038</v>
      </c>
      <c r="BS51" s="134">
        <f t="shared" si="39"/>
        <v>1.5484342857142912</v>
      </c>
      <c r="BT51" s="97">
        <v>3.4</v>
      </c>
      <c r="BU51" s="106">
        <v>1</v>
      </c>
      <c r="BV51" s="91">
        <f t="shared" si="40"/>
        <v>0.45542184873949743</v>
      </c>
      <c r="BW51" s="133">
        <v>58.090480000000206</v>
      </c>
      <c r="BX51" s="134">
        <f t="shared" si="41"/>
        <v>8.2986400000000291</v>
      </c>
      <c r="BY51" s="105">
        <v>125</v>
      </c>
      <c r="BZ51" s="106">
        <v>1</v>
      </c>
      <c r="CA51" s="104">
        <f t="shared" si="42"/>
        <v>6.6389120000000232E-2</v>
      </c>
      <c r="CB51" s="89">
        <f t="shared" si="76"/>
        <v>3</v>
      </c>
      <c r="CC51" s="98">
        <f t="shared" si="44"/>
        <v>6</v>
      </c>
      <c r="CD51" s="139">
        <v>20.915960000000073</v>
      </c>
      <c r="CE51" s="134">
        <f t="shared" si="45"/>
        <v>2.9879942857142963</v>
      </c>
      <c r="CF51" s="105">
        <v>165</v>
      </c>
      <c r="CG51" s="106">
        <v>1</v>
      </c>
      <c r="CH51" s="91">
        <f t="shared" si="46"/>
        <v>1.8109056277056342E-2</v>
      </c>
      <c r="CI51" s="139">
        <v>28.367800000000098</v>
      </c>
      <c r="CJ51" s="134">
        <f t="shared" si="47"/>
        <v>4.0525428571428712</v>
      </c>
      <c r="CK51" s="105">
        <v>150</v>
      </c>
      <c r="CL51" s="106">
        <v>1</v>
      </c>
      <c r="CM51" s="91">
        <f t="shared" si="48"/>
        <v>2.7016952380952475E-2</v>
      </c>
      <c r="CN51" s="139">
        <v>172.74720000000059</v>
      </c>
      <c r="CO51" s="134">
        <f t="shared" si="49"/>
        <v>24.678171428571513</v>
      </c>
      <c r="CP51" s="93">
        <v>320</v>
      </c>
      <c r="CQ51" s="106">
        <v>1</v>
      </c>
      <c r="CR51" s="91">
        <f t="shared" si="50"/>
        <v>7.7119285714285973E-2</v>
      </c>
      <c r="CS51" s="133">
        <v>518.24160000000177</v>
      </c>
      <c r="CT51" s="134">
        <f t="shared" si="51"/>
        <v>74.034514285714536</v>
      </c>
      <c r="CU51" s="93">
        <v>8000</v>
      </c>
      <c r="CV51" s="106">
        <v>1</v>
      </c>
      <c r="CW51" s="91">
        <f t="shared" si="52"/>
        <v>9.2543142857143164E-3</v>
      </c>
      <c r="CX51" s="133">
        <v>345.49440000000118</v>
      </c>
      <c r="CY51" s="134">
        <f t="shared" si="53"/>
        <v>49.356342857143026</v>
      </c>
      <c r="CZ51" s="93">
        <v>300</v>
      </c>
      <c r="DA51" s="106">
        <v>1</v>
      </c>
      <c r="DB51" s="91">
        <f t="shared" si="54"/>
        <v>0.16452114285714342</v>
      </c>
      <c r="DC51" s="99">
        <f t="shared" si="77"/>
        <v>42.340000000000146</v>
      </c>
      <c r="DD51" s="134">
        <f t="shared" si="56"/>
        <v>6.0485714285714494</v>
      </c>
      <c r="DE51" s="100">
        <v>50</v>
      </c>
      <c r="DF51" s="106">
        <v>1</v>
      </c>
      <c r="DG51" s="91">
        <f t="shared" si="57"/>
        <v>0.12097142857142899</v>
      </c>
      <c r="DH51" s="101">
        <f t="shared" si="58"/>
        <v>0.5</v>
      </c>
      <c r="DI51" s="122">
        <f t="shared" si="69"/>
        <v>3.5</v>
      </c>
      <c r="DJ51" s="122">
        <f t="shared" si="70"/>
        <v>6</v>
      </c>
      <c r="DK51" s="122">
        <f t="shared" si="59"/>
        <v>0.5</v>
      </c>
      <c r="DL51" s="122">
        <f t="shared" si="12"/>
        <v>10</v>
      </c>
      <c r="DM51" s="47">
        <f t="shared" si="9"/>
        <v>7</v>
      </c>
      <c r="DN51" s="122">
        <f t="shared" si="60"/>
        <v>70</v>
      </c>
      <c r="DO51" s="157">
        <f t="shared" si="71"/>
        <v>71</v>
      </c>
      <c r="DP51" s="157"/>
      <c r="DQ51" s="86">
        <f t="shared" si="64"/>
        <v>3.697916666666667</v>
      </c>
      <c r="DR51" s="42"/>
      <c r="DS51" s="42"/>
      <c r="DU51" s="42"/>
      <c r="DV51" s="42"/>
    </row>
    <row r="52" spans="2:126" s="3" customFormat="1" ht="17.25" customHeight="1">
      <c r="B52" s="152">
        <v>41</v>
      </c>
      <c r="C52" s="145" t="s">
        <v>149</v>
      </c>
      <c r="D52" s="147" t="s">
        <v>150</v>
      </c>
      <c r="E52" s="135" t="s">
        <v>128</v>
      </c>
      <c r="F52" s="108"/>
      <c r="G52" s="108" t="s">
        <v>18</v>
      </c>
      <c r="H52" s="107"/>
      <c r="I52" s="138">
        <v>12503.953</v>
      </c>
      <c r="J52" s="138">
        <v>12547.94</v>
      </c>
      <c r="K52" s="87">
        <f t="shared" si="5"/>
        <v>43.98700000000099</v>
      </c>
      <c r="L52" s="87" t="s">
        <v>50</v>
      </c>
      <c r="M52" s="136">
        <v>8</v>
      </c>
      <c r="N52" s="113">
        <v>8</v>
      </c>
      <c r="O52" s="87">
        <f t="shared" si="6"/>
        <v>5.4983750000001237</v>
      </c>
      <c r="P52" s="90">
        <v>1</v>
      </c>
      <c r="Q52" s="139">
        <v>98.0910100000022</v>
      </c>
      <c r="R52" s="134">
        <f t="shared" si="18"/>
        <v>12.261376250000275</v>
      </c>
      <c r="S52" s="88">
        <v>53.9</v>
      </c>
      <c r="T52" s="106">
        <v>1</v>
      </c>
      <c r="U52" s="90">
        <f t="shared" si="19"/>
        <v>0.22748378942486597</v>
      </c>
      <c r="V52" s="133">
        <v>324.18419000000733</v>
      </c>
      <c r="W52" s="134">
        <f t="shared" si="20"/>
        <v>40.523023750000917</v>
      </c>
      <c r="X52" s="127">
        <v>190</v>
      </c>
      <c r="Y52" s="106">
        <v>1</v>
      </c>
      <c r="Z52" s="90">
        <f t="shared" si="21"/>
        <v>0.21327907236842589</v>
      </c>
      <c r="AA52" s="141">
        <v>58.942580000001328</v>
      </c>
      <c r="AB52" s="134">
        <f t="shared" si="22"/>
        <v>7.367822500000166</v>
      </c>
      <c r="AC52" s="105">
        <v>42</v>
      </c>
      <c r="AD52" s="106">
        <v>1</v>
      </c>
      <c r="AE52" s="90">
        <f t="shared" si="23"/>
        <v>0.47542434523809918</v>
      </c>
      <c r="AF52" s="133">
        <v>35.189600000000794</v>
      </c>
      <c r="AG52" s="134">
        <f t="shared" si="24"/>
        <v>4.3987000000000993</v>
      </c>
      <c r="AH52" s="105">
        <v>40</v>
      </c>
      <c r="AI52" s="106">
        <v>1</v>
      </c>
      <c r="AJ52" s="90">
        <f t="shared" si="25"/>
        <v>0.10996750000000248</v>
      </c>
      <c r="AK52" s="141">
        <v>15.835320000000358</v>
      </c>
      <c r="AL52" s="134">
        <f t="shared" si="26"/>
        <v>1.9794150000000448</v>
      </c>
      <c r="AM52" s="105">
        <v>130</v>
      </c>
      <c r="AN52" s="106">
        <v>1</v>
      </c>
      <c r="AO52" s="104">
        <f t="shared" si="27"/>
        <v>1.5226269230769576E-2</v>
      </c>
      <c r="AP52" s="89">
        <f t="shared" si="74"/>
        <v>1</v>
      </c>
      <c r="AQ52" s="139">
        <v>83.575300000001874</v>
      </c>
      <c r="AR52" s="134">
        <f t="shared" si="29"/>
        <v>10.446912500000234</v>
      </c>
      <c r="AS52" s="105">
        <v>225</v>
      </c>
      <c r="AT52" s="106">
        <v>1</v>
      </c>
      <c r="AU52" s="91">
        <f t="shared" si="30"/>
        <v>4.6430722222223261E-2</v>
      </c>
      <c r="AV52" s="92">
        <f t="shared" si="31"/>
        <v>3.5</v>
      </c>
      <c r="AW52" s="133">
        <v>17.594800000000397</v>
      </c>
      <c r="AX52" s="134">
        <f t="shared" si="32"/>
        <v>2.1993500000000497</v>
      </c>
      <c r="AY52" s="93">
        <v>40</v>
      </c>
      <c r="AZ52" s="106">
        <v>1</v>
      </c>
      <c r="BA52" s="91">
        <f t="shared" si="33"/>
        <v>5.498375000000124E-2</v>
      </c>
      <c r="BB52" s="133">
        <v>19.354280000000436</v>
      </c>
      <c r="BC52" s="134">
        <f t="shared" si="34"/>
        <v>2.4192850000000545</v>
      </c>
      <c r="BD52" s="105">
        <v>130</v>
      </c>
      <c r="BE52" s="106">
        <v>1</v>
      </c>
      <c r="BF52" s="104">
        <f t="shared" si="35"/>
        <v>1.8609884615385035E-2</v>
      </c>
      <c r="BG52" s="89">
        <f t="shared" si="75"/>
        <v>2</v>
      </c>
      <c r="BH52" s="59"/>
      <c r="BI52" s="59"/>
      <c r="BJ52" s="94"/>
      <c r="BK52" s="95"/>
      <c r="BL52" s="96"/>
      <c r="BM52" s="133">
        <v>66.332396000001495</v>
      </c>
      <c r="BN52" s="134">
        <f t="shared" si="37"/>
        <v>8.2915495000001869</v>
      </c>
      <c r="BO52" s="93">
        <v>35</v>
      </c>
      <c r="BP52" s="106">
        <v>1</v>
      </c>
      <c r="BQ52" s="104">
        <f t="shared" si="38"/>
        <v>0.23690141428571962</v>
      </c>
      <c r="BR52" s="133">
        <v>11.260672000000254</v>
      </c>
      <c r="BS52" s="134">
        <f t="shared" si="39"/>
        <v>1.4075840000000317</v>
      </c>
      <c r="BT52" s="97">
        <v>3.4</v>
      </c>
      <c r="BU52" s="106">
        <v>1</v>
      </c>
      <c r="BV52" s="91">
        <f t="shared" si="40"/>
        <v>0.4139952941176564</v>
      </c>
      <c r="BW52" s="133">
        <v>60.350164000001364</v>
      </c>
      <c r="BX52" s="134">
        <f t="shared" si="41"/>
        <v>7.5437705000001705</v>
      </c>
      <c r="BY52" s="105">
        <v>125</v>
      </c>
      <c r="BZ52" s="106">
        <v>1</v>
      </c>
      <c r="CA52" s="104">
        <f t="shared" si="42"/>
        <v>6.0350164000001365E-2</v>
      </c>
      <c r="CB52" s="89">
        <f t="shared" si="76"/>
        <v>3</v>
      </c>
      <c r="CC52" s="98">
        <f t="shared" si="44"/>
        <v>6</v>
      </c>
      <c r="CD52" s="139">
        <v>41.259806000000928</v>
      </c>
      <c r="CE52" s="134">
        <f t="shared" si="45"/>
        <v>5.157475750000116</v>
      </c>
      <c r="CF52" s="105">
        <v>165</v>
      </c>
      <c r="CG52" s="106">
        <v>1</v>
      </c>
      <c r="CH52" s="91">
        <f t="shared" si="46"/>
        <v>3.1257428787879495E-2</v>
      </c>
      <c r="CI52" s="139">
        <v>57.886892000001303</v>
      </c>
      <c r="CJ52" s="134">
        <f t="shared" si="47"/>
        <v>7.2358615000001629</v>
      </c>
      <c r="CK52" s="105">
        <v>150</v>
      </c>
      <c r="CL52" s="106">
        <v>1</v>
      </c>
      <c r="CM52" s="91">
        <f t="shared" si="48"/>
        <v>4.8239076666667755E-2</v>
      </c>
      <c r="CN52" s="139">
        <v>346.61756000000781</v>
      </c>
      <c r="CO52" s="134">
        <f t="shared" si="49"/>
        <v>43.327195000000977</v>
      </c>
      <c r="CP52" s="93">
        <v>320</v>
      </c>
      <c r="CQ52" s="106">
        <v>1</v>
      </c>
      <c r="CR52" s="91">
        <f t="shared" si="50"/>
        <v>0.13539748437500304</v>
      </c>
      <c r="CS52" s="133">
        <v>1039.8526800000234</v>
      </c>
      <c r="CT52" s="134">
        <f t="shared" si="51"/>
        <v>129.98158500000292</v>
      </c>
      <c r="CU52" s="93">
        <v>8000</v>
      </c>
      <c r="CV52" s="106">
        <v>1</v>
      </c>
      <c r="CW52" s="91">
        <f t="shared" si="52"/>
        <v>1.6247698125000366E-2</v>
      </c>
      <c r="CX52" s="133">
        <v>693.23512000001563</v>
      </c>
      <c r="CY52" s="134">
        <f t="shared" si="53"/>
        <v>86.654390000001953</v>
      </c>
      <c r="CZ52" s="93">
        <v>300</v>
      </c>
      <c r="DA52" s="106">
        <v>1</v>
      </c>
      <c r="DB52" s="91">
        <f t="shared" si="54"/>
        <v>0.28884796666667317</v>
      </c>
      <c r="DC52" s="99">
        <f t="shared" si="77"/>
        <v>43.98700000000099</v>
      </c>
      <c r="DD52" s="134">
        <f t="shared" si="56"/>
        <v>5.4983750000001237</v>
      </c>
      <c r="DE52" s="100">
        <v>50</v>
      </c>
      <c r="DF52" s="106">
        <v>1</v>
      </c>
      <c r="DG52" s="91">
        <f t="shared" si="57"/>
        <v>0.10996750000000248</v>
      </c>
      <c r="DH52" s="101">
        <f t="shared" si="58"/>
        <v>1</v>
      </c>
      <c r="DI52" s="122">
        <f t="shared" si="69"/>
        <v>3.5</v>
      </c>
      <c r="DJ52" s="122">
        <f t="shared" si="70"/>
        <v>6</v>
      </c>
      <c r="DK52" s="122">
        <f t="shared" si="59"/>
        <v>1</v>
      </c>
      <c r="DL52" s="122">
        <f t="shared" si="12"/>
        <v>11</v>
      </c>
      <c r="DM52" s="47">
        <f t="shared" si="9"/>
        <v>8</v>
      </c>
      <c r="DN52" s="122">
        <f t="shared" si="60"/>
        <v>88</v>
      </c>
      <c r="DO52" s="157">
        <f t="shared" si="71"/>
        <v>89</v>
      </c>
      <c r="DP52" s="157"/>
      <c r="DQ52" s="86">
        <f t="shared" si="64"/>
        <v>4.635416666666667</v>
      </c>
      <c r="DR52" s="42"/>
      <c r="DS52" s="42"/>
      <c r="DT52" s="42"/>
      <c r="DU52" s="42"/>
      <c r="DV52" s="42"/>
    </row>
    <row r="53" spans="2:126" s="3" customFormat="1" ht="17.25" customHeight="1">
      <c r="B53" s="152">
        <v>42</v>
      </c>
      <c r="C53" s="145" t="s">
        <v>151</v>
      </c>
      <c r="D53" s="147" t="s">
        <v>152</v>
      </c>
      <c r="E53" s="135" t="s">
        <v>128</v>
      </c>
      <c r="F53" s="108"/>
      <c r="G53" s="108" t="s">
        <v>18</v>
      </c>
      <c r="H53" s="107"/>
      <c r="I53" s="138">
        <v>12792.950999999999</v>
      </c>
      <c r="J53" s="138">
        <v>12834.008</v>
      </c>
      <c r="K53" s="87">
        <f t="shared" si="5"/>
        <v>41.057000000000698</v>
      </c>
      <c r="L53" s="87" t="s">
        <v>50</v>
      </c>
      <c r="M53" s="136">
        <v>7</v>
      </c>
      <c r="N53" s="113">
        <v>7</v>
      </c>
      <c r="O53" s="87">
        <f t="shared" si="6"/>
        <v>5.8652857142858137</v>
      </c>
      <c r="P53" s="90">
        <v>1</v>
      </c>
      <c r="Q53" s="139">
        <v>61.996070000001055</v>
      </c>
      <c r="R53" s="134">
        <f t="shared" si="18"/>
        <v>8.8565814285715785</v>
      </c>
      <c r="S53" s="88">
        <v>53.9</v>
      </c>
      <c r="T53" s="106">
        <v>1</v>
      </c>
      <c r="U53" s="90">
        <f t="shared" si="19"/>
        <v>0.16431505433342447</v>
      </c>
      <c r="V53" s="133">
        <v>226.63464000000386</v>
      </c>
      <c r="W53" s="134">
        <f t="shared" si="20"/>
        <v>32.376377142857692</v>
      </c>
      <c r="X53" s="127">
        <v>190</v>
      </c>
      <c r="Y53" s="106">
        <v>1</v>
      </c>
      <c r="Z53" s="90">
        <f t="shared" si="21"/>
        <v>0.17040198496240891</v>
      </c>
      <c r="AA53" s="141">
        <v>55.016380000000936</v>
      </c>
      <c r="AB53" s="134">
        <f t="shared" si="22"/>
        <v>7.8594828571429911</v>
      </c>
      <c r="AC53" s="105">
        <v>42</v>
      </c>
      <c r="AD53" s="106">
        <v>1</v>
      </c>
      <c r="AE53" s="90">
        <f t="shared" si="23"/>
        <v>0.48713054421769025</v>
      </c>
      <c r="AF53" s="133">
        <v>32.845600000000559</v>
      </c>
      <c r="AG53" s="134">
        <f t="shared" si="24"/>
        <v>4.6922285714286511</v>
      </c>
      <c r="AH53" s="105">
        <v>40</v>
      </c>
      <c r="AI53" s="106">
        <v>1</v>
      </c>
      <c r="AJ53" s="90">
        <f t="shared" si="25"/>
        <v>0.11730571428571628</v>
      </c>
      <c r="AK53" s="141">
        <v>14.780520000000253</v>
      </c>
      <c r="AL53" s="134">
        <f t="shared" si="26"/>
        <v>2.1115028571428933</v>
      </c>
      <c r="AM53" s="105">
        <v>130</v>
      </c>
      <c r="AN53" s="106">
        <v>1</v>
      </c>
      <c r="AO53" s="104">
        <f t="shared" si="27"/>
        <v>1.6242329670329948E-2</v>
      </c>
      <c r="AP53" s="89">
        <f t="shared" si="74"/>
        <v>1</v>
      </c>
      <c r="AQ53" s="139">
        <v>46.804980000000789</v>
      </c>
      <c r="AR53" s="134">
        <f t="shared" si="29"/>
        <v>6.6864257142858268</v>
      </c>
      <c r="AS53" s="105">
        <v>225</v>
      </c>
      <c r="AT53" s="106">
        <v>1</v>
      </c>
      <c r="AU53" s="91">
        <f t="shared" si="30"/>
        <v>2.9717447619048119E-2</v>
      </c>
      <c r="AV53" s="92">
        <f t="shared" si="31"/>
        <v>3</v>
      </c>
      <c r="AW53" s="133">
        <v>16.422800000000279</v>
      </c>
      <c r="AX53" s="134">
        <f t="shared" si="32"/>
        <v>2.3461142857143256</v>
      </c>
      <c r="AY53" s="93">
        <v>40</v>
      </c>
      <c r="AZ53" s="106">
        <v>1</v>
      </c>
      <c r="BA53" s="91">
        <f t="shared" si="33"/>
        <v>5.8652857142858138E-2</v>
      </c>
      <c r="BB53" s="133">
        <v>18.065080000000311</v>
      </c>
      <c r="BC53" s="134">
        <f t="shared" si="34"/>
        <v>2.5807257142857587</v>
      </c>
      <c r="BD53" s="105">
        <v>130</v>
      </c>
      <c r="BE53" s="106">
        <v>1</v>
      </c>
      <c r="BF53" s="104">
        <f t="shared" si="35"/>
        <v>1.9851736263736604E-2</v>
      </c>
      <c r="BG53" s="89">
        <f t="shared" si="75"/>
        <v>2</v>
      </c>
      <c r="BH53" s="59"/>
      <c r="BI53" s="59"/>
      <c r="BJ53" s="94"/>
      <c r="BK53" s="95"/>
      <c r="BL53" s="96"/>
      <c r="BM53" s="133">
        <v>61.91395600000105</v>
      </c>
      <c r="BN53" s="134">
        <f t="shared" si="37"/>
        <v>8.8448508571430065</v>
      </c>
      <c r="BO53" s="93">
        <v>35</v>
      </c>
      <c r="BP53" s="106">
        <v>1</v>
      </c>
      <c r="BQ53" s="104">
        <f t="shared" si="38"/>
        <v>0.25271002448980018</v>
      </c>
      <c r="BR53" s="133">
        <v>10.510592000000178</v>
      </c>
      <c r="BS53" s="134">
        <f t="shared" si="39"/>
        <v>1.5015131428571684</v>
      </c>
      <c r="BT53" s="97">
        <v>3.4</v>
      </c>
      <c r="BU53" s="106">
        <v>1</v>
      </c>
      <c r="BV53" s="91">
        <f t="shared" si="40"/>
        <v>0.44162151260504956</v>
      </c>
      <c r="BW53" s="133">
        <v>56.330204000000961</v>
      </c>
      <c r="BX53" s="134">
        <f t="shared" si="41"/>
        <v>8.0471720000001365</v>
      </c>
      <c r="BY53" s="105">
        <v>125</v>
      </c>
      <c r="BZ53" s="106">
        <v>1</v>
      </c>
      <c r="CA53" s="104">
        <f t="shared" si="42"/>
        <v>6.4377376000001096E-2</v>
      </c>
      <c r="CB53" s="89">
        <f t="shared" si="76"/>
        <v>3</v>
      </c>
      <c r="CC53" s="98">
        <f t="shared" si="44"/>
        <v>6</v>
      </c>
      <c r="CD53" s="139">
        <v>20.282158000000344</v>
      </c>
      <c r="CE53" s="134">
        <f t="shared" si="45"/>
        <v>2.8974511428571921</v>
      </c>
      <c r="CF53" s="105">
        <v>165</v>
      </c>
      <c r="CG53" s="106">
        <v>1</v>
      </c>
      <c r="CH53" s="91">
        <f t="shared" si="46"/>
        <v>1.7560309956710256E-2</v>
      </c>
      <c r="CI53" s="139">
        <v>27.508190000000468</v>
      </c>
      <c r="CJ53" s="134">
        <f t="shared" si="47"/>
        <v>3.9297414285714956</v>
      </c>
      <c r="CK53" s="105">
        <v>150</v>
      </c>
      <c r="CL53" s="106">
        <v>1</v>
      </c>
      <c r="CM53" s="91">
        <f t="shared" si="48"/>
        <v>2.6198276190476637E-2</v>
      </c>
      <c r="CN53" s="139">
        <v>167.51256000000285</v>
      </c>
      <c r="CO53" s="134">
        <f t="shared" si="49"/>
        <v>23.930365714286122</v>
      </c>
      <c r="CP53" s="93">
        <v>320</v>
      </c>
      <c r="CQ53" s="106">
        <v>1</v>
      </c>
      <c r="CR53" s="91">
        <f t="shared" si="50"/>
        <v>7.4782392857144137E-2</v>
      </c>
      <c r="CS53" s="133">
        <v>502.53768000000855</v>
      </c>
      <c r="CT53" s="134">
        <f t="shared" si="51"/>
        <v>71.791097142858362</v>
      </c>
      <c r="CU53" s="93">
        <v>8000</v>
      </c>
      <c r="CV53" s="106">
        <v>1</v>
      </c>
      <c r="CW53" s="91">
        <f t="shared" si="52"/>
        <v>8.9738871428572953E-3</v>
      </c>
      <c r="CX53" s="133">
        <v>335.0251200000057</v>
      </c>
      <c r="CY53" s="134">
        <f t="shared" si="53"/>
        <v>47.860731428572244</v>
      </c>
      <c r="CZ53" s="93">
        <v>300</v>
      </c>
      <c r="DA53" s="106">
        <v>1</v>
      </c>
      <c r="DB53" s="91">
        <f t="shared" si="54"/>
        <v>0.15953577142857414</v>
      </c>
      <c r="DC53" s="99">
        <f t="shared" si="77"/>
        <v>41.057000000000698</v>
      </c>
      <c r="DD53" s="134">
        <f t="shared" si="56"/>
        <v>5.8652857142858137</v>
      </c>
      <c r="DE53" s="100">
        <v>50</v>
      </c>
      <c r="DF53" s="106">
        <v>1</v>
      </c>
      <c r="DG53" s="91">
        <f t="shared" si="57"/>
        <v>0.11730571428571628</v>
      </c>
      <c r="DH53" s="101">
        <f t="shared" si="58"/>
        <v>0.5</v>
      </c>
      <c r="DI53" s="122">
        <f t="shared" si="69"/>
        <v>3</v>
      </c>
      <c r="DJ53" s="122">
        <f t="shared" si="70"/>
        <v>6</v>
      </c>
      <c r="DK53" s="122">
        <f t="shared" si="59"/>
        <v>0.5</v>
      </c>
      <c r="DL53" s="122">
        <f t="shared" si="12"/>
        <v>10</v>
      </c>
      <c r="DM53" s="47">
        <f t="shared" si="9"/>
        <v>7</v>
      </c>
      <c r="DN53" s="122">
        <f t="shared" si="60"/>
        <v>70</v>
      </c>
      <c r="DO53" s="157">
        <f t="shared" si="71"/>
        <v>71</v>
      </c>
      <c r="DP53" s="157"/>
      <c r="DQ53" s="86">
        <f t="shared" si="64"/>
        <v>3.697916666666667</v>
      </c>
      <c r="DR53" s="42"/>
      <c r="DS53" s="42"/>
      <c r="DT53" s="42"/>
      <c r="DU53" s="42"/>
      <c r="DV53" s="42"/>
    </row>
    <row r="54" spans="2:126" s="3" customFormat="1" ht="17.25" customHeight="1">
      <c r="B54" s="77">
        <v>43</v>
      </c>
      <c r="C54" s="78" t="s">
        <v>155</v>
      </c>
      <c r="D54" s="79" t="s">
        <v>156</v>
      </c>
      <c r="E54" s="79"/>
      <c r="F54" s="130"/>
      <c r="G54" s="130" t="s">
        <v>166</v>
      </c>
      <c r="H54" s="128">
        <v>80</v>
      </c>
      <c r="I54" s="80">
        <v>13303.124</v>
      </c>
      <c r="J54" s="80">
        <v>13357.045</v>
      </c>
      <c r="K54" s="132">
        <f t="shared" si="5"/>
        <v>53.921000000000276</v>
      </c>
      <c r="L54" s="126" t="s">
        <v>167</v>
      </c>
      <c r="M54" s="114">
        <v>11</v>
      </c>
      <c r="N54" s="115">
        <v>10</v>
      </c>
      <c r="O54" s="132">
        <f t="shared" si="6"/>
        <v>5.3921000000000276</v>
      </c>
      <c r="P54" s="90">
        <v>1</v>
      </c>
      <c r="Q54" s="139">
        <v>81.420710000000412</v>
      </c>
      <c r="R54" s="134">
        <f>Q54/N54</f>
        <v>8.1420710000000405</v>
      </c>
      <c r="S54" s="88">
        <v>53.9</v>
      </c>
      <c r="T54" s="106">
        <v>1</v>
      </c>
      <c r="U54" s="90">
        <f>R54/S54/T54</f>
        <v>0.15105883116883193</v>
      </c>
      <c r="V54" s="133">
        <v>297.64392000000151</v>
      </c>
      <c r="W54" s="134">
        <f>V54/N54</f>
        <v>29.76439200000015</v>
      </c>
      <c r="X54" s="127">
        <v>190</v>
      </c>
      <c r="Y54" s="106">
        <v>1</v>
      </c>
      <c r="Z54" s="90">
        <f>W54/X54/Y54</f>
        <v>0.1566546947368429</v>
      </c>
      <c r="AA54" s="141">
        <v>72.254140000000376</v>
      </c>
      <c r="AB54" s="134">
        <f>AA54/N54</f>
        <v>7.225414000000038</v>
      </c>
      <c r="AC54" s="105">
        <v>42</v>
      </c>
      <c r="AD54" s="106">
        <v>1</v>
      </c>
      <c r="AE54" s="90">
        <f>AB54/AC54/AD54+0.3</f>
        <v>0.47203366666666757</v>
      </c>
      <c r="AF54" s="133">
        <v>43.136800000000221</v>
      </c>
      <c r="AG54" s="134">
        <f>AF54/N54</f>
        <v>4.3136800000000219</v>
      </c>
      <c r="AH54" s="105">
        <v>40</v>
      </c>
      <c r="AI54" s="106">
        <v>1</v>
      </c>
      <c r="AJ54" s="90">
        <f>AG54/AH54/AI54</f>
        <v>0.10784200000000055</v>
      </c>
      <c r="AK54" s="141">
        <v>19.411560000000101</v>
      </c>
      <c r="AL54" s="134">
        <f>AK54/N54</f>
        <v>1.9411560000000101</v>
      </c>
      <c r="AM54" s="105">
        <v>130</v>
      </c>
      <c r="AN54" s="106">
        <v>1</v>
      </c>
      <c r="AO54" s="104">
        <f>AL54/AM54/AN54</f>
        <v>1.4931969230769308E-2</v>
      </c>
      <c r="AP54" s="89">
        <f t="shared" si="74"/>
        <v>1</v>
      </c>
      <c r="AQ54" s="139">
        <v>61.469940000000307</v>
      </c>
      <c r="AR54" s="134">
        <f>AQ54/N54</f>
        <v>6.1469940000000305</v>
      </c>
      <c r="AS54" s="105">
        <v>225</v>
      </c>
      <c r="AT54" s="106">
        <v>1</v>
      </c>
      <c r="AU54" s="91">
        <f>AR54/AS54/AT54</f>
        <v>2.7319973333333469E-2</v>
      </c>
      <c r="AV54" s="92">
        <f>CEILING(SUM(P54,U54,Z54,AE54,AJ54,AO54,AP54,AU54),0.5)</f>
        <v>3</v>
      </c>
      <c r="AW54" s="133">
        <v>21.568400000000111</v>
      </c>
      <c r="AX54" s="134">
        <f>AW54/N54</f>
        <v>2.156840000000011</v>
      </c>
      <c r="AY54" s="93">
        <v>40</v>
      </c>
      <c r="AZ54" s="106">
        <v>1</v>
      </c>
      <c r="BA54" s="91">
        <f>AX54/AY54/AZ54</f>
        <v>5.3921000000000274E-2</v>
      </c>
      <c r="BB54" s="133">
        <v>23.725240000000124</v>
      </c>
      <c r="BC54" s="134">
        <f>BB54/N54</f>
        <v>2.3725240000000123</v>
      </c>
      <c r="BD54" s="105">
        <v>130</v>
      </c>
      <c r="BE54" s="106">
        <v>1</v>
      </c>
      <c r="BF54" s="104">
        <f>BC54/BD54/BE54</f>
        <v>1.8250184615384711E-2</v>
      </c>
      <c r="BG54" s="89">
        <f t="shared" si="75"/>
        <v>2</v>
      </c>
      <c r="BH54" s="59"/>
      <c r="BI54" s="59"/>
      <c r="BJ54" s="129"/>
      <c r="BK54" s="131"/>
      <c r="BL54" s="124"/>
      <c r="BM54" s="133">
        <v>81.312868000000421</v>
      </c>
      <c r="BN54" s="134">
        <f>BM54/N54</f>
        <v>8.1312868000000424</v>
      </c>
      <c r="BO54" s="93">
        <v>35</v>
      </c>
      <c r="BP54" s="106">
        <v>1</v>
      </c>
      <c r="BQ54" s="104">
        <f>BN54/BO54/BP54</f>
        <v>0.23232248000000122</v>
      </c>
      <c r="BR54" s="133">
        <v>13.80377600000007</v>
      </c>
      <c r="BS54" s="134">
        <f>BR54/N54</f>
        <v>1.380377600000007</v>
      </c>
      <c r="BT54" s="97">
        <v>3.4</v>
      </c>
      <c r="BU54" s="106">
        <v>1</v>
      </c>
      <c r="BV54" s="91">
        <f>BS54/BT54/BU54</f>
        <v>0.40599341176470793</v>
      </c>
      <c r="BW54" s="133">
        <v>73.979612000000387</v>
      </c>
      <c r="BX54" s="134">
        <f>BW54/N54</f>
        <v>7.3979612000000383</v>
      </c>
      <c r="BY54" s="105">
        <v>125</v>
      </c>
      <c r="BZ54" s="106">
        <v>1</v>
      </c>
      <c r="CA54" s="104">
        <f>BX54/BY54/BZ54</f>
        <v>5.9183689600000304E-2</v>
      </c>
      <c r="CB54" s="89">
        <f t="shared" si="76"/>
        <v>3</v>
      </c>
      <c r="CC54" s="98">
        <f>CEILING(SUM(BA54,BF54,BG54,BL54,BQ54,BV54,CA54,CB54),0.5)</f>
        <v>6</v>
      </c>
      <c r="CD54" s="139">
        <v>26.636974000000137</v>
      </c>
      <c r="CE54" s="134">
        <f>CD54/N54</f>
        <v>2.6636974000000135</v>
      </c>
      <c r="CF54" s="105">
        <v>165</v>
      </c>
      <c r="CG54" s="106">
        <v>1</v>
      </c>
      <c r="CH54" s="91">
        <f>CE54/CF54/CG54</f>
        <v>1.6143620606060689E-2</v>
      </c>
      <c r="CI54" s="139">
        <v>36.127070000000188</v>
      </c>
      <c r="CJ54" s="134">
        <f>CI54/N54</f>
        <v>3.612707000000019</v>
      </c>
      <c r="CK54" s="105">
        <v>150</v>
      </c>
      <c r="CL54" s="106">
        <v>1</v>
      </c>
      <c r="CM54" s="91">
        <f>CJ54/CK54/CL54</f>
        <v>2.4084713333333459E-2</v>
      </c>
      <c r="CN54" s="139">
        <v>219.99768000000114</v>
      </c>
      <c r="CO54" s="134">
        <f>CN54/N54</f>
        <v>21.999768000000113</v>
      </c>
      <c r="CP54" s="93">
        <v>320</v>
      </c>
      <c r="CQ54" s="106">
        <v>1</v>
      </c>
      <c r="CR54" s="91">
        <f>CO54/CP54/CQ54</f>
        <v>6.8749275000000359E-2</v>
      </c>
      <c r="CS54" s="133">
        <v>659.99304000000348</v>
      </c>
      <c r="CT54" s="134">
        <f>CS54/N54</f>
        <v>65.99930400000035</v>
      </c>
      <c r="CU54" s="93">
        <v>8000</v>
      </c>
      <c r="CV54" s="106">
        <v>1</v>
      </c>
      <c r="CW54" s="91">
        <f>CT54/CU54/CV54</f>
        <v>8.2499130000000444E-3</v>
      </c>
      <c r="CX54" s="133">
        <v>439.99536000000228</v>
      </c>
      <c r="CY54" s="134">
        <f>CX54/N54</f>
        <v>43.999536000000226</v>
      </c>
      <c r="CZ54" s="93">
        <v>300</v>
      </c>
      <c r="DA54" s="106">
        <v>1</v>
      </c>
      <c r="DB54" s="91">
        <f>CY54/CZ54/DA54</f>
        <v>0.14666512000000076</v>
      </c>
      <c r="DC54" s="99">
        <f t="shared" si="77"/>
        <v>53.921000000000276</v>
      </c>
      <c r="DD54" s="134">
        <f>DC54/N54</f>
        <v>5.3921000000000276</v>
      </c>
      <c r="DE54" s="100">
        <v>50</v>
      </c>
      <c r="DF54" s="106">
        <v>1</v>
      </c>
      <c r="DG54" s="91">
        <f>DD54/DE54/DF54</f>
        <v>0.10784200000000055</v>
      </c>
      <c r="DH54" s="101">
        <f>CEILING(SUM(CH54,CM54,CR54,CW54,DB54,DG54),0.5)</f>
        <v>0.5</v>
      </c>
      <c r="DI54" s="122">
        <f t="shared" si="69"/>
        <v>3</v>
      </c>
      <c r="DJ54" s="122">
        <f t="shared" si="70"/>
        <v>6</v>
      </c>
      <c r="DK54" s="122">
        <f>DH54</f>
        <v>0.5</v>
      </c>
      <c r="DL54" s="122">
        <f t="shared" si="12"/>
        <v>10</v>
      </c>
      <c r="DM54" s="47">
        <f t="shared" si="9"/>
        <v>10</v>
      </c>
      <c r="DN54" s="122">
        <f>DL54*DM54</f>
        <v>100</v>
      </c>
      <c r="DO54" s="157">
        <f t="shared" si="71"/>
        <v>101</v>
      </c>
      <c r="DP54" s="157"/>
      <c r="DQ54" s="86">
        <f t="shared" si="64"/>
        <v>5.260416666666667</v>
      </c>
      <c r="DR54" s="42"/>
      <c r="DS54" s="42"/>
      <c r="DT54" s="42"/>
      <c r="DU54" s="42"/>
      <c r="DV54" s="42"/>
    </row>
    <row r="55" spans="2:126" s="3" customFormat="1" ht="17.25" customHeight="1">
      <c r="B55" s="152">
        <v>44</v>
      </c>
      <c r="C55" s="145" t="s">
        <v>153</v>
      </c>
      <c r="D55" s="147" t="s">
        <v>154</v>
      </c>
      <c r="E55" s="135"/>
      <c r="F55" s="108"/>
      <c r="G55" s="108" t="s">
        <v>18</v>
      </c>
      <c r="H55" s="107">
        <v>80</v>
      </c>
      <c r="I55" s="138">
        <v>13710.977000000001</v>
      </c>
      <c r="J55" s="138">
        <v>13753.08</v>
      </c>
      <c r="K55" s="87">
        <f t="shared" si="5"/>
        <v>42.102999999999156</v>
      </c>
      <c r="L55" s="87" t="s">
        <v>50</v>
      </c>
      <c r="M55" s="136">
        <v>6</v>
      </c>
      <c r="N55" s="113">
        <v>6</v>
      </c>
      <c r="O55" s="87">
        <f t="shared" si="6"/>
        <v>7.017166666666526</v>
      </c>
      <c r="P55" s="90">
        <v>1</v>
      </c>
      <c r="Q55" s="139">
        <v>93.889689999998112</v>
      </c>
      <c r="R55" s="134">
        <f t="shared" si="18"/>
        <v>15.648281666666351</v>
      </c>
      <c r="S55" s="88">
        <v>53.9</v>
      </c>
      <c r="T55" s="106">
        <v>1</v>
      </c>
      <c r="U55" s="90">
        <f t="shared" si="19"/>
        <v>0.29032062461347591</v>
      </c>
      <c r="V55" s="133">
        <v>310.29910999999379</v>
      </c>
      <c r="W55" s="134">
        <f t="shared" si="20"/>
        <v>51.716518333332296</v>
      </c>
      <c r="X55" s="127">
        <v>190</v>
      </c>
      <c r="Y55" s="106">
        <v>1</v>
      </c>
      <c r="Z55" s="90">
        <f t="shared" si="21"/>
        <v>0.27219220175438053</v>
      </c>
      <c r="AA55" s="141">
        <v>56.418019999998876</v>
      </c>
      <c r="AB55" s="134">
        <f t="shared" si="22"/>
        <v>9.403003333333146</v>
      </c>
      <c r="AC55" s="105">
        <v>42</v>
      </c>
      <c r="AD55" s="106">
        <v>1</v>
      </c>
      <c r="AE55" s="90">
        <f t="shared" si="23"/>
        <v>0.52388103174602729</v>
      </c>
      <c r="AF55" s="133">
        <v>33.682399999999326</v>
      </c>
      <c r="AG55" s="134">
        <f t="shared" si="24"/>
        <v>5.6137333333332213</v>
      </c>
      <c r="AH55" s="105">
        <v>40</v>
      </c>
      <c r="AI55" s="106">
        <v>1</v>
      </c>
      <c r="AJ55" s="90">
        <f t="shared" si="25"/>
        <v>0.14034333333333054</v>
      </c>
      <c r="AK55" s="141">
        <v>15.157079999999699</v>
      </c>
      <c r="AL55" s="134">
        <f t="shared" si="26"/>
        <v>2.5261799999999499</v>
      </c>
      <c r="AM55" s="105">
        <v>130</v>
      </c>
      <c r="AN55" s="106">
        <v>1</v>
      </c>
      <c r="AO55" s="104">
        <f t="shared" si="27"/>
        <v>1.943215384615346E-2</v>
      </c>
      <c r="AP55" s="89">
        <f t="shared" si="74"/>
        <v>1</v>
      </c>
      <c r="AQ55" s="139">
        <v>79.995699999998394</v>
      </c>
      <c r="AR55" s="134">
        <f t="shared" si="29"/>
        <v>13.332616666666398</v>
      </c>
      <c r="AS55" s="105">
        <v>225</v>
      </c>
      <c r="AT55" s="106">
        <v>1</v>
      </c>
      <c r="AU55" s="91">
        <f t="shared" si="30"/>
        <v>5.9256074074072879E-2</v>
      </c>
      <c r="AV55" s="92">
        <f t="shared" si="31"/>
        <v>3.5</v>
      </c>
      <c r="AW55" s="133">
        <v>16.841199999999663</v>
      </c>
      <c r="AX55" s="134">
        <f t="shared" si="32"/>
        <v>2.8068666666666107</v>
      </c>
      <c r="AY55" s="93">
        <v>40</v>
      </c>
      <c r="AZ55" s="106">
        <v>1</v>
      </c>
      <c r="BA55" s="91">
        <f t="shared" si="33"/>
        <v>7.0171666666665272E-2</v>
      </c>
      <c r="BB55" s="133">
        <v>18.525319999999631</v>
      </c>
      <c r="BC55" s="134">
        <f t="shared" si="34"/>
        <v>3.0875533333332719</v>
      </c>
      <c r="BD55" s="105">
        <v>130</v>
      </c>
      <c r="BE55" s="106">
        <v>1</v>
      </c>
      <c r="BF55" s="104">
        <f t="shared" si="35"/>
        <v>2.3750410256409782E-2</v>
      </c>
      <c r="BG55" s="89">
        <f t="shared" si="75"/>
        <v>2</v>
      </c>
      <c r="BH55" s="59"/>
      <c r="BI55" s="59"/>
      <c r="BJ55" s="94"/>
      <c r="BK55" s="95"/>
      <c r="BL55" s="96"/>
      <c r="BM55" s="133">
        <v>63.491323999998727</v>
      </c>
      <c r="BN55" s="134">
        <f t="shared" si="37"/>
        <v>10.581887333333121</v>
      </c>
      <c r="BO55" s="93">
        <v>35</v>
      </c>
      <c r="BP55" s="106">
        <v>1</v>
      </c>
      <c r="BQ55" s="104">
        <f t="shared" si="38"/>
        <v>0.30233963809523201</v>
      </c>
      <c r="BR55" s="133">
        <v>10.778367999999784</v>
      </c>
      <c r="BS55" s="134">
        <f t="shared" si="39"/>
        <v>1.7963946666666306</v>
      </c>
      <c r="BT55" s="97">
        <v>3.4</v>
      </c>
      <c r="BU55" s="106">
        <v>1</v>
      </c>
      <c r="BV55" s="91">
        <f t="shared" si="40"/>
        <v>0.52835137254900899</v>
      </c>
      <c r="BW55" s="133">
        <v>57.765315999998847</v>
      </c>
      <c r="BX55" s="134">
        <f t="shared" si="41"/>
        <v>9.6275526666664746</v>
      </c>
      <c r="BY55" s="105">
        <v>125</v>
      </c>
      <c r="BZ55" s="106">
        <v>1</v>
      </c>
      <c r="CA55" s="104">
        <f t="shared" si="42"/>
        <v>7.7020421333331798E-2</v>
      </c>
      <c r="CB55" s="89">
        <f t="shared" si="76"/>
        <v>3</v>
      </c>
      <c r="CC55" s="98">
        <f t="shared" si="44"/>
        <v>6.5</v>
      </c>
      <c r="CD55" s="139">
        <v>39.492613999999207</v>
      </c>
      <c r="CE55" s="134">
        <f t="shared" si="45"/>
        <v>6.5821023333332009</v>
      </c>
      <c r="CF55" s="105">
        <v>165</v>
      </c>
      <c r="CG55" s="106">
        <v>1</v>
      </c>
      <c r="CH55" s="91">
        <f t="shared" si="46"/>
        <v>3.9891529292928489E-2</v>
      </c>
      <c r="CI55" s="139">
        <v>55.40754799999889</v>
      </c>
      <c r="CJ55" s="134">
        <f t="shared" si="47"/>
        <v>9.2345913333331477</v>
      </c>
      <c r="CK55" s="105">
        <v>150</v>
      </c>
      <c r="CL55" s="106">
        <v>1</v>
      </c>
      <c r="CM55" s="91">
        <f t="shared" si="48"/>
        <v>6.1563942222220988E-2</v>
      </c>
      <c r="CN55" s="139">
        <v>331.77163999999334</v>
      </c>
      <c r="CO55" s="134">
        <f t="shared" si="49"/>
        <v>55.295273333332226</v>
      </c>
      <c r="CP55" s="93">
        <v>320</v>
      </c>
      <c r="CQ55" s="106">
        <v>1</v>
      </c>
      <c r="CR55" s="91">
        <f t="shared" si="50"/>
        <v>0.17279772916666319</v>
      </c>
      <c r="CS55" s="133">
        <v>995.31491999998002</v>
      </c>
      <c r="CT55" s="134">
        <f t="shared" si="51"/>
        <v>165.88581999999667</v>
      </c>
      <c r="CU55" s="93">
        <v>8000</v>
      </c>
      <c r="CV55" s="106">
        <v>1</v>
      </c>
      <c r="CW55" s="91">
        <f t="shared" si="52"/>
        <v>2.0735727499999582E-2</v>
      </c>
      <c r="CX55" s="133">
        <v>663.54327999998668</v>
      </c>
      <c r="CY55" s="134">
        <f t="shared" si="53"/>
        <v>110.59054666666445</v>
      </c>
      <c r="CZ55" s="93">
        <v>300</v>
      </c>
      <c r="DA55" s="106">
        <v>1</v>
      </c>
      <c r="DB55" s="91">
        <f t="shared" si="54"/>
        <v>0.36863515555554816</v>
      </c>
      <c r="DC55" s="99">
        <f t="shared" si="77"/>
        <v>42.102999999999156</v>
      </c>
      <c r="DD55" s="134">
        <f t="shared" si="56"/>
        <v>7.017166666666526</v>
      </c>
      <c r="DE55" s="100">
        <v>50</v>
      </c>
      <c r="DF55" s="106">
        <v>1</v>
      </c>
      <c r="DG55" s="91">
        <f t="shared" si="57"/>
        <v>0.14034333333333052</v>
      </c>
      <c r="DH55" s="101">
        <f t="shared" si="58"/>
        <v>1</v>
      </c>
      <c r="DI55" s="122">
        <f t="shared" si="69"/>
        <v>3.5</v>
      </c>
      <c r="DJ55" s="122">
        <f t="shared" si="70"/>
        <v>6.5</v>
      </c>
      <c r="DK55" s="122">
        <f t="shared" si="59"/>
        <v>1</v>
      </c>
      <c r="DL55" s="122">
        <f t="shared" si="12"/>
        <v>11</v>
      </c>
      <c r="DM55" s="47">
        <f t="shared" si="9"/>
        <v>6</v>
      </c>
      <c r="DN55" s="122">
        <f t="shared" si="60"/>
        <v>66</v>
      </c>
      <c r="DO55" s="157">
        <f t="shared" si="71"/>
        <v>67</v>
      </c>
      <c r="DP55" s="157"/>
      <c r="DQ55" s="86">
        <f t="shared" si="64"/>
        <v>3.4895833333333335</v>
      </c>
      <c r="DR55" s="42"/>
      <c r="DS55" s="85">
        <f>SUM(DQ12:DQ55)</f>
        <v>182.39583333333326</v>
      </c>
      <c r="DT55" s="42"/>
      <c r="DU55" s="42"/>
      <c r="DV55" s="42"/>
    </row>
    <row r="56" spans="2:126" s="28" customFormat="1" ht="17.25" customHeight="1">
      <c r="B56" s="29"/>
      <c r="C56" s="29"/>
      <c r="D56" s="29"/>
      <c r="E56" s="29"/>
      <c r="F56" s="29"/>
      <c r="G56" s="29"/>
      <c r="H56" s="30"/>
      <c r="I56" s="26"/>
      <c r="J56" s="26"/>
      <c r="K56" s="31"/>
      <c r="L56" s="31"/>
      <c r="M56" s="31"/>
      <c r="N56" s="45"/>
      <c r="O56" s="41"/>
      <c r="P56" s="30"/>
      <c r="Q56" s="27"/>
      <c r="R56" s="27"/>
      <c r="S56" s="32"/>
      <c r="T56" s="33"/>
      <c r="U56" s="34"/>
      <c r="V56" s="27"/>
      <c r="W56" s="27"/>
      <c r="X56" s="35"/>
      <c r="Y56" s="33"/>
      <c r="Z56" s="34"/>
      <c r="AA56" s="27"/>
      <c r="AB56" s="27"/>
      <c r="AC56" s="35"/>
      <c r="AD56" s="33"/>
      <c r="AE56" s="34"/>
      <c r="AF56" s="27"/>
      <c r="AG56" s="27"/>
      <c r="AH56" s="35"/>
      <c r="AI56" s="33"/>
      <c r="AJ56" s="34"/>
      <c r="AK56" s="27"/>
      <c r="AL56" s="27"/>
      <c r="AM56" s="35"/>
      <c r="AN56" s="33"/>
      <c r="AO56" s="34"/>
      <c r="AP56" s="30"/>
      <c r="AQ56" s="27"/>
      <c r="AR56" s="27"/>
      <c r="AS56" s="35"/>
      <c r="AT56" s="33"/>
      <c r="AU56" s="34"/>
      <c r="AV56" s="36"/>
      <c r="AW56" s="27"/>
      <c r="AX56" s="27"/>
      <c r="AY56" s="37"/>
      <c r="AZ56" s="33"/>
      <c r="BA56" s="34"/>
      <c r="BB56" s="27"/>
      <c r="BC56" s="27"/>
      <c r="BD56" s="35"/>
      <c r="BE56" s="33"/>
      <c r="BF56" s="34"/>
      <c r="BG56" s="30"/>
      <c r="BH56" s="27"/>
      <c r="BI56" s="27"/>
      <c r="BJ56" s="38"/>
      <c r="BK56" s="33"/>
      <c r="BL56" s="34"/>
      <c r="BM56" s="27"/>
      <c r="BN56" s="27"/>
      <c r="BO56" s="37"/>
      <c r="BP56" s="33"/>
      <c r="BQ56" s="34"/>
      <c r="BR56" s="27"/>
      <c r="BS56" s="27"/>
      <c r="BT56" s="39"/>
      <c r="BU56" s="33"/>
      <c r="BV56" s="34"/>
      <c r="BW56" s="27"/>
      <c r="BX56" s="27"/>
      <c r="BY56" s="35"/>
      <c r="BZ56" s="33"/>
      <c r="CA56" s="34"/>
      <c r="CB56" s="30"/>
      <c r="CC56" s="36"/>
      <c r="CD56" s="27"/>
      <c r="CE56" s="27"/>
      <c r="CF56" s="35"/>
      <c r="CG56" s="33"/>
      <c r="CH56" s="34"/>
      <c r="CI56" s="27"/>
      <c r="CJ56" s="27"/>
      <c r="CK56" s="35"/>
      <c r="CL56" s="33"/>
      <c r="CM56" s="34"/>
      <c r="CN56" s="27"/>
      <c r="CO56" s="27"/>
      <c r="CP56" s="37"/>
      <c r="CQ56" s="33"/>
      <c r="CR56" s="34"/>
      <c r="CS56" s="27"/>
      <c r="CT56" s="27"/>
      <c r="CU56" s="37"/>
      <c r="CV56" s="33"/>
      <c r="CW56" s="34"/>
      <c r="CX56" s="27"/>
      <c r="CY56" s="27"/>
      <c r="CZ56" s="37"/>
      <c r="DA56" s="33"/>
      <c r="DB56" s="34"/>
      <c r="DC56" s="31"/>
      <c r="DD56" s="31"/>
      <c r="DE56" s="38"/>
      <c r="DF56" s="33"/>
      <c r="DG56" s="34"/>
      <c r="DH56" s="40"/>
      <c r="DI56" s="51"/>
      <c r="DJ56" s="51"/>
      <c r="DK56" s="51"/>
      <c r="DL56" s="51"/>
      <c r="DM56" s="51"/>
      <c r="DN56" s="52"/>
      <c r="DO56" s="52"/>
      <c r="DP56" s="52"/>
      <c r="DQ56" s="29"/>
      <c r="DR56" s="29"/>
      <c r="DS56" s="29"/>
      <c r="DT56" s="29"/>
      <c r="DU56" s="29"/>
      <c r="DV56" s="29"/>
    </row>
    <row r="57" spans="2:126" s="28" customFormat="1" ht="17.25" customHeight="1">
      <c r="B57" s="29"/>
      <c r="C57" s="29"/>
      <c r="D57" s="29"/>
      <c r="E57" s="29"/>
      <c r="F57" s="29"/>
      <c r="G57" s="29"/>
      <c r="H57" s="30"/>
      <c r="I57" s="26"/>
      <c r="J57" s="26"/>
      <c r="K57" s="31"/>
      <c r="L57" s="31"/>
      <c r="M57" s="31"/>
      <c r="N57" s="45"/>
      <c r="O57" s="41"/>
      <c r="P57" s="30"/>
      <c r="Q57" s="27"/>
      <c r="R57" s="27"/>
      <c r="S57" s="32"/>
      <c r="T57" s="33"/>
      <c r="U57" s="34"/>
      <c r="V57" s="27"/>
      <c r="W57" s="27"/>
      <c r="X57" s="35"/>
      <c r="Y57" s="33"/>
      <c r="Z57" s="34"/>
      <c r="AA57" s="27"/>
      <c r="AB57" s="27"/>
      <c r="AC57" s="35"/>
      <c r="AD57" s="33"/>
      <c r="AE57" s="34"/>
      <c r="AF57" s="27"/>
      <c r="AG57" s="27"/>
      <c r="AH57" s="35"/>
      <c r="AI57" s="33"/>
      <c r="AJ57" s="34"/>
      <c r="AK57" s="27"/>
      <c r="AL57" s="27"/>
      <c r="AM57" s="35"/>
      <c r="AN57" s="33"/>
      <c r="AO57" s="34"/>
      <c r="AP57" s="30"/>
      <c r="AQ57" s="27"/>
      <c r="AR57" s="27"/>
      <c r="AS57" s="35"/>
      <c r="AT57" s="33"/>
      <c r="AU57" s="34"/>
      <c r="AV57" s="36"/>
      <c r="AW57" s="27"/>
      <c r="AX57" s="27"/>
      <c r="AY57" s="37"/>
      <c r="AZ57" s="33"/>
      <c r="BA57" s="34"/>
      <c r="BB57" s="27"/>
      <c r="BC57" s="27"/>
      <c r="BD57" s="35"/>
      <c r="BE57" s="33"/>
      <c r="BF57" s="34"/>
      <c r="BG57" s="30"/>
      <c r="BH57" s="27"/>
      <c r="BI57" s="27"/>
      <c r="BJ57" s="38"/>
      <c r="BK57" s="33"/>
      <c r="BL57" s="34"/>
      <c r="BM57" s="27"/>
      <c r="BN57" s="27"/>
      <c r="BO57" s="37"/>
      <c r="BP57" s="33"/>
      <c r="BQ57" s="34"/>
      <c r="BR57" s="27"/>
      <c r="BS57" s="27"/>
      <c r="BT57" s="39"/>
      <c r="BU57" s="33"/>
      <c r="BV57" s="34"/>
      <c r="BW57" s="27"/>
      <c r="BX57" s="27"/>
      <c r="BY57" s="35"/>
      <c r="BZ57" s="33"/>
      <c r="CA57" s="34"/>
      <c r="CB57" s="30"/>
      <c r="CC57" s="36"/>
      <c r="CD57" s="27"/>
      <c r="CE57" s="27"/>
      <c r="CF57" s="35"/>
      <c r="CG57" s="33"/>
      <c r="CH57" s="34"/>
      <c r="CI57" s="27"/>
      <c r="CJ57" s="27"/>
      <c r="CK57" s="35"/>
      <c r="CL57" s="33"/>
      <c r="CM57" s="34"/>
      <c r="CN57" s="27"/>
      <c r="CO57" s="27"/>
      <c r="CP57" s="37"/>
      <c r="CQ57" s="33"/>
      <c r="CR57" s="34"/>
      <c r="CS57" s="27"/>
      <c r="CT57" s="27"/>
      <c r="CU57" s="37"/>
      <c r="CV57" s="33"/>
      <c r="CW57" s="34"/>
      <c r="CX57" s="27"/>
      <c r="CY57" s="27"/>
      <c r="CZ57" s="37"/>
      <c r="DA57" s="33"/>
      <c r="DB57" s="34"/>
      <c r="DC57" s="31"/>
      <c r="DD57" s="31"/>
      <c r="DE57" s="38"/>
      <c r="DF57" s="33"/>
      <c r="DG57" s="34"/>
      <c r="DH57" s="40"/>
      <c r="DI57" s="51"/>
      <c r="DJ57" s="51"/>
      <c r="DK57" s="51"/>
      <c r="DL57" s="51"/>
      <c r="DM57" s="51"/>
      <c r="DN57" s="52"/>
      <c r="DO57" s="52"/>
      <c r="DP57" s="52"/>
      <c r="DQ57" s="29"/>
      <c r="DR57" s="29"/>
      <c r="DS57" s="29"/>
      <c r="DT57" s="29"/>
      <c r="DU57" s="29"/>
      <c r="DV57" s="29"/>
    </row>
    <row r="58" spans="2:126" s="28" customFormat="1" ht="17.25" customHeight="1">
      <c r="B58" s="29"/>
      <c r="C58" s="29"/>
      <c r="D58" s="29"/>
      <c r="E58" s="29"/>
      <c r="F58" s="29"/>
      <c r="G58" s="29"/>
      <c r="H58" s="30"/>
      <c r="I58" s="26"/>
      <c r="J58" s="26"/>
      <c r="K58" s="31"/>
      <c r="L58" s="31"/>
      <c r="M58" s="31"/>
      <c r="N58" s="45"/>
      <c r="O58" s="41"/>
      <c r="P58" s="30"/>
      <c r="Q58" s="27"/>
      <c r="R58" s="27"/>
      <c r="S58" s="32"/>
      <c r="T58" s="33"/>
      <c r="U58" s="34"/>
      <c r="V58" s="27"/>
      <c r="W58" s="27"/>
      <c r="X58" s="35"/>
      <c r="Y58" s="33"/>
      <c r="Z58" s="34"/>
      <c r="AA58" s="27"/>
      <c r="AB58" s="27"/>
      <c r="AC58" s="35"/>
      <c r="AD58" s="33"/>
      <c r="AE58" s="34"/>
      <c r="AF58" s="27"/>
      <c r="AG58" s="27"/>
      <c r="AH58" s="35"/>
      <c r="AI58" s="33"/>
      <c r="AJ58" s="34"/>
      <c r="AK58" s="27"/>
      <c r="AL58" s="27"/>
      <c r="AM58" s="35"/>
      <c r="AN58" s="33"/>
      <c r="AO58" s="34"/>
      <c r="AP58" s="30"/>
      <c r="AQ58" s="27"/>
      <c r="AR58" s="27"/>
      <c r="AS58" s="35"/>
      <c r="AT58" s="33"/>
      <c r="AU58" s="34"/>
      <c r="AV58" s="36"/>
      <c r="AW58" s="27"/>
      <c r="AX58" s="27"/>
      <c r="AY58" s="37"/>
      <c r="AZ58" s="33"/>
      <c r="BA58" s="34"/>
      <c r="BB58" s="27"/>
      <c r="BC58" s="27"/>
      <c r="BD58" s="35"/>
      <c r="BE58" s="33"/>
      <c r="BF58" s="34"/>
      <c r="BG58" s="30"/>
      <c r="BH58" s="27"/>
      <c r="BI58" s="27"/>
      <c r="BJ58" s="38"/>
      <c r="BK58" s="33"/>
      <c r="BL58" s="34"/>
      <c r="BM58" s="27"/>
      <c r="BN58" s="27"/>
      <c r="BO58" s="37"/>
      <c r="BP58" s="33"/>
      <c r="BQ58" s="34"/>
      <c r="BR58" s="27"/>
      <c r="BS58" s="27"/>
      <c r="BT58" s="39"/>
      <c r="BU58" s="33"/>
      <c r="BV58" s="34"/>
      <c r="BW58" s="27"/>
      <c r="BX58" s="27"/>
      <c r="BY58" s="35"/>
      <c r="BZ58" s="33"/>
      <c r="CA58" s="34"/>
      <c r="CB58" s="30"/>
      <c r="CC58" s="36"/>
      <c r="CD58" s="27"/>
      <c r="CE58" s="27"/>
      <c r="CF58" s="35"/>
      <c r="CG58" s="33"/>
      <c r="CH58" s="34"/>
      <c r="CI58" s="27"/>
      <c r="CJ58" s="27"/>
      <c r="CK58" s="35"/>
      <c r="CL58" s="33"/>
      <c r="CM58" s="34"/>
      <c r="CN58" s="27"/>
      <c r="CO58" s="27"/>
      <c r="CP58" s="37"/>
      <c r="CQ58" s="33"/>
      <c r="CR58" s="34"/>
      <c r="CS58" s="27"/>
      <c r="CT58" s="27"/>
      <c r="CU58" s="37"/>
      <c r="CV58" s="33"/>
      <c r="CW58" s="34"/>
      <c r="CX58" s="27"/>
      <c r="CY58" s="27"/>
      <c r="CZ58" s="37"/>
      <c r="DA58" s="33"/>
      <c r="DB58" s="34"/>
      <c r="DC58" s="31"/>
      <c r="DD58" s="31"/>
      <c r="DE58" s="38"/>
      <c r="DF58" s="33"/>
      <c r="DG58" s="34"/>
      <c r="DH58" s="40"/>
      <c r="DI58" s="51"/>
      <c r="DJ58" s="51"/>
      <c r="DK58" s="51"/>
      <c r="DL58" s="51"/>
      <c r="DM58" s="51"/>
      <c r="DN58" s="52"/>
      <c r="DO58" s="52"/>
      <c r="DP58" s="52"/>
      <c r="DQ58" s="29"/>
      <c r="DR58" s="29"/>
      <c r="DS58" s="29"/>
      <c r="DT58" s="29"/>
      <c r="DU58" s="29"/>
      <c r="DV58" s="29"/>
    </row>
    <row r="59" spans="2:126" s="28" customFormat="1" ht="17.25" customHeight="1">
      <c r="B59" s="29"/>
      <c r="C59" s="29"/>
      <c r="D59" s="29"/>
      <c r="E59" s="29"/>
      <c r="F59" s="29"/>
      <c r="G59" s="29"/>
      <c r="H59" s="30"/>
      <c r="I59" s="26"/>
      <c r="J59" s="26"/>
      <c r="K59" s="31"/>
      <c r="L59" s="31"/>
      <c r="M59" s="31"/>
      <c r="N59" s="45"/>
      <c r="O59" s="41"/>
      <c r="P59" s="30"/>
      <c r="Q59" s="27"/>
      <c r="R59" s="27"/>
      <c r="S59" s="32"/>
      <c r="T59" s="33"/>
      <c r="U59" s="34"/>
      <c r="V59" s="27"/>
      <c r="W59" s="27"/>
      <c r="X59" s="35"/>
      <c r="Y59" s="33"/>
      <c r="Z59" s="34"/>
      <c r="AA59" s="27"/>
      <c r="AB59" s="27"/>
      <c r="AC59" s="35"/>
      <c r="AD59" s="33"/>
      <c r="AE59" s="34"/>
      <c r="AF59" s="27"/>
      <c r="AG59" s="27"/>
      <c r="AH59" s="35"/>
      <c r="AI59" s="33"/>
      <c r="AJ59" s="34"/>
      <c r="AK59" s="27"/>
      <c r="AL59" s="27"/>
      <c r="AM59" s="35"/>
      <c r="AN59" s="33"/>
      <c r="AO59" s="34"/>
      <c r="AP59" s="30"/>
      <c r="AQ59" s="27"/>
      <c r="AR59" s="27"/>
      <c r="AS59" s="35"/>
      <c r="AT59" s="33"/>
      <c r="AU59" s="34"/>
      <c r="AV59" s="36"/>
      <c r="AW59" s="27"/>
      <c r="AX59" s="27"/>
      <c r="AY59" s="37"/>
      <c r="AZ59" s="33"/>
      <c r="BA59" s="34"/>
      <c r="BB59" s="27"/>
      <c r="BC59" s="27"/>
      <c r="BD59" s="35"/>
      <c r="BE59" s="33"/>
      <c r="BF59" s="34"/>
      <c r="BG59" s="30"/>
      <c r="BH59" s="27"/>
      <c r="BI59" s="27"/>
      <c r="BJ59" s="38"/>
      <c r="BK59" s="33"/>
      <c r="BL59" s="34"/>
      <c r="BM59" s="27"/>
      <c r="BN59" s="27"/>
      <c r="BO59" s="37"/>
      <c r="BP59" s="33"/>
      <c r="BQ59" s="34"/>
      <c r="BR59" s="27"/>
      <c r="BS59" s="27"/>
      <c r="BT59" s="39"/>
      <c r="BU59" s="33"/>
      <c r="BV59" s="34"/>
      <c r="BW59" s="27"/>
      <c r="BX59" s="27"/>
      <c r="BY59" s="35"/>
      <c r="BZ59" s="33"/>
      <c r="CA59" s="34"/>
      <c r="CB59" s="30"/>
      <c r="CC59" s="36"/>
      <c r="CD59" s="27"/>
      <c r="CE59" s="27"/>
      <c r="CF59" s="35"/>
      <c r="CG59" s="33"/>
      <c r="CH59" s="34"/>
      <c r="CI59" s="27"/>
      <c r="CJ59" s="27"/>
      <c r="CK59" s="35"/>
      <c r="CL59" s="33"/>
      <c r="CM59" s="34"/>
      <c r="CN59" s="27"/>
      <c r="CO59" s="27"/>
      <c r="CP59" s="37"/>
      <c r="CQ59" s="33"/>
      <c r="CR59" s="34"/>
      <c r="CS59" s="27"/>
      <c r="CT59" s="27"/>
      <c r="CU59" s="37"/>
      <c r="CV59" s="33"/>
      <c r="CW59" s="34"/>
      <c r="CX59" s="27"/>
      <c r="CY59" s="27"/>
      <c r="CZ59" s="37"/>
      <c r="DA59" s="33"/>
      <c r="DB59" s="34"/>
      <c r="DC59" s="31"/>
      <c r="DD59" s="31"/>
      <c r="DE59" s="38"/>
      <c r="DF59" s="33"/>
      <c r="DG59" s="34"/>
      <c r="DH59" s="40"/>
      <c r="DI59" s="51"/>
      <c r="DJ59" s="51"/>
      <c r="DK59" s="51"/>
      <c r="DL59" s="51"/>
      <c r="DM59" s="51"/>
      <c r="DN59" s="52"/>
      <c r="DO59" s="52"/>
      <c r="DP59" s="52"/>
      <c r="DQ59" s="29"/>
      <c r="DR59" s="29"/>
      <c r="DS59" s="29"/>
      <c r="DT59" s="29"/>
      <c r="DU59" s="29"/>
      <c r="DV59" s="29"/>
    </row>
    <row r="60" spans="2:126" s="28" customFormat="1" ht="17.25" customHeight="1">
      <c r="B60" s="29"/>
      <c r="C60" s="29"/>
      <c r="D60" s="29"/>
      <c r="E60" s="29"/>
      <c r="F60" s="29"/>
      <c r="G60" s="29"/>
      <c r="H60" s="30"/>
      <c r="I60" s="26"/>
      <c r="J60" s="26"/>
      <c r="K60" s="31"/>
      <c r="L60" s="31"/>
      <c r="M60" s="31"/>
      <c r="N60" s="45"/>
      <c r="O60" s="41"/>
      <c r="P60" s="30"/>
      <c r="Q60" s="27"/>
      <c r="R60" s="27"/>
      <c r="S60" s="32"/>
      <c r="T60" s="33"/>
      <c r="U60" s="34"/>
      <c r="V60" s="27"/>
      <c r="W60" s="27"/>
      <c r="X60" s="35"/>
      <c r="Y60" s="33"/>
      <c r="Z60" s="34"/>
      <c r="AA60" s="27"/>
      <c r="AB60" s="27"/>
      <c r="AC60" s="35"/>
      <c r="AD60" s="33"/>
      <c r="AE60" s="34"/>
      <c r="AF60" s="27"/>
      <c r="AG60" s="27"/>
      <c r="AH60" s="35"/>
      <c r="AI60" s="33"/>
      <c r="AJ60" s="34"/>
      <c r="AK60" s="27"/>
      <c r="AL60" s="27"/>
      <c r="AM60" s="35"/>
      <c r="AN60" s="33"/>
      <c r="AO60" s="34"/>
      <c r="AP60" s="30"/>
      <c r="AQ60" s="27"/>
      <c r="AR60" s="27"/>
      <c r="AS60" s="35"/>
      <c r="AT60" s="33"/>
      <c r="AU60" s="34"/>
      <c r="AV60" s="36"/>
      <c r="AW60" s="27"/>
      <c r="AX60" s="27"/>
      <c r="AY60" s="37"/>
      <c r="AZ60" s="33"/>
      <c r="BA60" s="34"/>
      <c r="BB60" s="27"/>
      <c r="BC60" s="27"/>
      <c r="BD60" s="35"/>
      <c r="BE60" s="33"/>
      <c r="BF60" s="34"/>
      <c r="BG60" s="30"/>
      <c r="BH60" s="27"/>
      <c r="BI60" s="27"/>
      <c r="BJ60" s="38"/>
      <c r="BK60" s="33"/>
      <c r="BL60" s="34"/>
      <c r="BM60" s="27"/>
      <c r="BN60" s="27"/>
      <c r="BO60" s="37"/>
      <c r="BP60" s="33"/>
      <c r="BQ60" s="34"/>
      <c r="BR60" s="27"/>
      <c r="BS60" s="27"/>
      <c r="BT60" s="39"/>
      <c r="BU60" s="33"/>
      <c r="BV60" s="34"/>
      <c r="BW60" s="27"/>
      <c r="BX60" s="27"/>
      <c r="BY60" s="35"/>
      <c r="BZ60" s="33"/>
      <c r="CA60" s="34"/>
      <c r="CB60" s="30"/>
      <c r="CC60" s="36"/>
      <c r="CD60" s="27"/>
      <c r="CE60" s="27"/>
      <c r="CF60" s="35"/>
      <c r="CG60" s="33"/>
      <c r="CH60" s="34"/>
      <c r="CI60" s="27"/>
      <c r="CJ60" s="27"/>
      <c r="CK60" s="35"/>
      <c r="CL60" s="33"/>
      <c r="CM60" s="34"/>
      <c r="CN60" s="27"/>
      <c r="CO60" s="27"/>
      <c r="CP60" s="37"/>
      <c r="CQ60" s="33"/>
      <c r="CR60" s="34"/>
      <c r="CS60" s="27"/>
      <c r="CT60" s="27"/>
      <c r="CU60" s="37"/>
      <c r="CV60" s="33"/>
      <c r="CW60" s="34"/>
      <c r="CX60" s="27"/>
      <c r="CY60" s="27"/>
      <c r="CZ60" s="37"/>
      <c r="DA60" s="33"/>
      <c r="DB60" s="34"/>
      <c r="DC60" s="31"/>
      <c r="DD60" s="31"/>
      <c r="DE60" s="38"/>
      <c r="DF60" s="33"/>
      <c r="DG60" s="34"/>
      <c r="DH60" s="40"/>
      <c r="DI60" s="51"/>
      <c r="DJ60" s="51"/>
      <c r="DK60" s="51"/>
      <c r="DL60" s="51"/>
      <c r="DM60" s="51"/>
      <c r="DN60" s="52"/>
      <c r="DO60" s="52"/>
      <c r="DP60" s="52"/>
      <c r="DQ60" s="29"/>
      <c r="DR60" s="29"/>
      <c r="DS60" s="29"/>
      <c r="DT60" s="29"/>
      <c r="DU60" s="29"/>
      <c r="DV60" s="29"/>
    </row>
    <row r="61" spans="2:126" s="28" customFormat="1" ht="17.25" customHeight="1">
      <c r="B61" s="29"/>
      <c r="C61" s="29"/>
      <c r="D61" s="29"/>
      <c r="E61" s="29"/>
      <c r="F61" s="29"/>
      <c r="G61" s="29"/>
      <c r="H61" s="30"/>
      <c r="I61" s="26"/>
      <c r="J61" s="26"/>
      <c r="K61" s="31"/>
      <c r="L61" s="31"/>
      <c r="M61" s="31"/>
      <c r="N61" s="45"/>
      <c r="O61" s="41"/>
      <c r="P61" s="30"/>
      <c r="Q61" s="27"/>
      <c r="R61" s="27"/>
      <c r="S61" s="32"/>
      <c r="T61" s="33"/>
      <c r="U61" s="34"/>
      <c r="V61" s="27"/>
      <c r="W61" s="27"/>
      <c r="X61" s="35"/>
      <c r="Y61" s="33"/>
      <c r="Z61" s="34"/>
      <c r="AA61" s="27"/>
      <c r="AB61" s="27"/>
      <c r="AC61" s="35"/>
      <c r="AD61" s="33"/>
      <c r="AE61" s="34"/>
      <c r="AF61" s="27"/>
      <c r="AG61" s="27"/>
      <c r="AH61" s="35"/>
      <c r="AI61" s="33"/>
      <c r="AJ61" s="34"/>
      <c r="AK61" s="27"/>
      <c r="AL61" s="27"/>
      <c r="AM61" s="35"/>
      <c r="AN61" s="33"/>
      <c r="AO61" s="34"/>
      <c r="AP61" s="30"/>
      <c r="AQ61" s="27"/>
      <c r="AR61" s="27"/>
      <c r="AS61" s="35"/>
      <c r="AT61" s="33"/>
      <c r="AU61" s="34"/>
      <c r="AV61" s="36"/>
      <c r="AW61" s="27"/>
      <c r="AX61" s="27"/>
      <c r="AY61" s="37"/>
      <c r="AZ61" s="33"/>
      <c r="BA61" s="34"/>
      <c r="BB61" s="27"/>
      <c r="BC61" s="27"/>
      <c r="BD61" s="35"/>
      <c r="BE61" s="33"/>
      <c r="BF61" s="34"/>
      <c r="BG61" s="30"/>
      <c r="BH61" s="27"/>
      <c r="BI61" s="27"/>
      <c r="BJ61" s="38"/>
      <c r="BK61" s="33"/>
      <c r="BL61" s="34"/>
      <c r="BM61" s="27"/>
      <c r="BN61" s="27"/>
      <c r="BO61" s="37"/>
      <c r="BP61" s="33"/>
      <c r="BQ61" s="34"/>
      <c r="BR61" s="27"/>
      <c r="BS61" s="27"/>
      <c r="BT61" s="39"/>
      <c r="BU61" s="33"/>
      <c r="BV61" s="34"/>
      <c r="BW61" s="27"/>
      <c r="BX61" s="27"/>
      <c r="BY61" s="35"/>
      <c r="BZ61" s="33"/>
      <c r="CA61" s="34"/>
      <c r="CB61" s="30"/>
      <c r="CC61" s="36"/>
      <c r="CD61" s="27"/>
      <c r="CE61" s="27"/>
      <c r="CF61" s="35"/>
      <c r="CG61" s="33"/>
      <c r="CH61" s="34"/>
      <c r="CI61" s="27"/>
      <c r="CJ61" s="27"/>
      <c r="CK61" s="35"/>
      <c r="CL61" s="33"/>
      <c r="CM61" s="34"/>
      <c r="CN61" s="27"/>
      <c r="CO61" s="27"/>
      <c r="CP61" s="37"/>
      <c r="CQ61" s="33"/>
      <c r="CR61" s="34"/>
      <c r="CS61" s="27"/>
      <c r="CT61" s="27"/>
      <c r="CU61" s="37"/>
      <c r="CV61" s="33"/>
      <c r="CW61" s="34"/>
      <c r="CX61" s="27"/>
      <c r="CY61" s="27"/>
      <c r="CZ61" s="37"/>
      <c r="DA61" s="33"/>
      <c r="DB61" s="34"/>
      <c r="DC61" s="31"/>
      <c r="DD61" s="31"/>
      <c r="DE61" s="38"/>
      <c r="DF61" s="33"/>
      <c r="DG61" s="34"/>
      <c r="DH61" s="40"/>
      <c r="DI61" s="51"/>
      <c r="DJ61" s="51"/>
      <c r="DK61" s="51"/>
      <c r="DL61" s="51"/>
      <c r="DM61" s="51"/>
      <c r="DN61" s="52"/>
      <c r="DO61" s="52"/>
      <c r="DP61" s="52"/>
      <c r="DQ61" s="29"/>
      <c r="DR61" s="29"/>
      <c r="DS61" s="29"/>
      <c r="DT61" s="29"/>
      <c r="DU61" s="29"/>
      <c r="DV61" s="29"/>
    </row>
    <row r="62" spans="2:126" s="28" customFormat="1" ht="17.25" customHeight="1">
      <c r="B62" s="29"/>
      <c r="C62" s="29"/>
      <c r="D62" s="29"/>
      <c r="E62" s="29"/>
      <c r="F62" s="29"/>
      <c r="G62" s="29"/>
      <c r="H62" s="30"/>
      <c r="I62" s="26"/>
      <c r="J62" s="26"/>
      <c r="K62" s="31"/>
      <c r="L62" s="31"/>
      <c r="M62" s="31"/>
      <c r="N62" s="45"/>
      <c r="O62" s="41"/>
      <c r="P62" s="30"/>
      <c r="Q62" s="27"/>
      <c r="R62" s="27"/>
      <c r="S62" s="32"/>
      <c r="T62" s="33"/>
      <c r="U62" s="34"/>
      <c r="V62" s="27"/>
      <c r="W62" s="27"/>
      <c r="X62" s="35"/>
      <c r="Y62" s="33"/>
      <c r="Z62" s="34"/>
      <c r="AA62" s="27"/>
      <c r="AB62" s="27"/>
      <c r="AC62" s="35"/>
      <c r="AD62" s="33"/>
      <c r="AE62" s="34"/>
      <c r="AF62" s="27"/>
      <c r="AG62" s="27"/>
      <c r="AH62" s="35"/>
      <c r="AI62" s="33"/>
      <c r="AJ62" s="34"/>
      <c r="AK62" s="27"/>
      <c r="AL62" s="27"/>
      <c r="AM62" s="35"/>
      <c r="AN62" s="33"/>
      <c r="AO62" s="34"/>
      <c r="AP62" s="30"/>
      <c r="AQ62" s="27"/>
      <c r="AR62" s="27"/>
      <c r="AS62" s="35"/>
      <c r="AT62" s="33"/>
      <c r="AU62" s="34"/>
      <c r="AV62" s="36"/>
      <c r="AW62" s="27"/>
      <c r="AX62" s="27"/>
      <c r="AY62" s="37"/>
      <c r="AZ62" s="33"/>
      <c r="BA62" s="34"/>
      <c r="BB62" s="27"/>
      <c r="BC62" s="27"/>
      <c r="BD62" s="35"/>
      <c r="BE62" s="33"/>
      <c r="BF62" s="34"/>
      <c r="BG62" s="30"/>
      <c r="BH62" s="27"/>
      <c r="BI62" s="27"/>
      <c r="BJ62" s="38"/>
      <c r="BK62" s="33"/>
      <c r="BL62" s="34"/>
      <c r="BM62" s="27"/>
      <c r="BN62" s="27"/>
      <c r="BO62" s="37"/>
      <c r="BP62" s="33"/>
      <c r="BQ62" s="34"/>
      <c r="BR62" s="27"/>
      <c r="BS62" s="27"/>
      <c r="BT62" s="39"/>
      <c r="BU62" s="33"/>
      <c r="BV62" s="34"/>
      <c r="BW62" s="27"/>
      <c r="BX62" s="27"/>
      <c r="BY62" s="35"/>
      <c r="BZ62" s="33"/>
      <c r="CA62" s="34"/>
      <c r="CB62" s="30"/>
      <c r="CC62" s="36"/>
      <c r="CD62" s="27"/>
      <c r="CE62" s="27"/>
      <c r="CF62" s="35"/>
      <c r="CG62" s="33"/>
      <c r="CH62" s="34"/>
      <c r="CI62" s="27"/>
      <c r="CJ62" s="27"/>
      <c r="CK62" s="35"/>
      <c r="CL62" s="33"/>
      <c r="CM62" s="34"/>
      <c r="CN62" s="27"/>
      <c r="CO62" s="27"/>
      <c r="CP62" s="37"/>
      <c r="CQ62" s="33"/>
      <c r="CR62" s="34"/>
      <c r="CS62" s="27"/>
      <c r="CT62" s="27"/>
      <c r="CU62" s="37"/>
      <c r="CV62" s="33"/>
      <c r="CW62" s="34"/>
      <c r="CX62" s="27"/>
      <c r="CY62" s="27"/>
      <c r="CZ62" s="37"/>
      <c r="DA62" s="33"/>
      <c r="DB62" s="34"/>
      <c r="DC62" s="31"/>
      <c r="DD62" s="31"/>
      <c r="DE62" s="38"/>
      <c r="DF62" s="33"/>
      <c r="DG62" s="34"/>
      <c r="DH62" s="40"/>
      <c r="DI62" s="51"/>
      <c r="DJ62" s="51"/>
      <c r="DK62" s="51"/>
      <c r="DL62" s="51"/>
      <c r="DM62" s="51"/>
      <c r="DN62" s="52"/>
      <c r="DO62" s="52"/>
      <c r="DP62" s="52"/>
      <c r="DQ62" s="29"/>
      <c r="DR62" s="29"/>
      <c r="DS62" s="29"/>
      <c r="DT62" s="29"/>
      <c r="DU62" s="29"/>
      <c r="DV62" s="29"/>
    </row>
    <row r="63" spans="2:126" s="28" customFormat="1" ht="17.25" customHeight="1">
      <c r="B63" s="29"/>
      <c r="C63" s="29"/>
      <c r="D63" s="29"/>
      <c r="E63" s="29"/>
      <c r="F63" s="29"/>
      <c r="G63" s="29"/>
      <c r="H63" s="30"/>
      <c r="I63" s="26"/>
      <c r="J63" s="26"/>
      <c r="K63" s="31"/>
      <c r="L63" s="31"/>
      <c r="M63" s="31"/>
      <c r="N63" s="45"/>
      <c r="O63" s="41"/>
      <c r="P63" s="30"/>
      <c r="Q63" s="27"/>
      <c r="R63" s="27"/>
      <c r="S63" s="32"/>
      <c r="T63" s="33"/>
      <c r="U63" s="34"/>
      <c r="V63" s="27"/>
      <c r="W63" s="27"/>
      <c r="X63" s="35"/>
      <c r="Y63" s="33"/>
      <c r="Z63" s="34"/>
      <c r="AA63" s="27"/>
      <c r="AB63" s="27"/>
      <c r="AC63" s="35"/>
      <c r="AD63" s="33"/>
      <c r="AE63" s="34"/>
      <c r="AF63" s="27"/>
      <c r="AG63" s="27"/>
      <c r="AH63" s="35"/>
      <c r="AI63" s="33"/>
      <c r="AJ63" s="34"/>
      <c r="AK63" s="27"/>
      <c r="AL63" s="27"/>
      <c r="AM63" s="35"/>
      <c r="AN63" s="33"/>
      <c r="AO63" s="34"/>
      <c r="AP63" s="30"/>
      <c r="AQ63" s="27"/>
      <c r="AR63" s="27"/>
      <c r="AS63" s="35"/>
      <c r="AT63" s="33"/>
      <c r="AU63" s="34"/>
      <c r="AV63" s="36"/>
      <c r="AW63" s="27"/>
      <c r="AX63" s="27"/>
      <c r="AY63" s="37"/>
      <c r="AZ63" s="33"/>
      <c r="BA63" s="34"/>
      <c r="BB63" s="27"/>
      <c r="BC63" s="27"/>
      <c r="BD63" s="35"/>
      <c r="BE63" s="33"/>
      <c r="BF63" s="34"/>
      <c r="BG63" s="30"/>
      <c r="BH63" s="27"/>
      <c r="BI63" s="27"/>
      <c r="BJ63" s="38"/>
      <c r="BK63" s="33"/>
      <c r="BL63" s="34"/>
      <c r="BM63" s="27"/>
      <c r="BN63" s="27"/>
      <c r="BO63" s="37"/>
      <c r="BP63" s="33"/>
      <c r="BQ63" s="34"/>
      <c r="BR63" s="27"/>
      <c r="BS63" s="27"/>
      <c r="BT63" s="39"/>
      <c r="BU63" s="33"/>
      <c r="BV63" s="34"/>
      <c r="BW63" s="27"/>
      <c r="BX63" s="27"/>
      <c r="BY63" s="35"/>
      <c r="BZ63" s="33"/>
      <c r="CA63" s="34"/>
      <c r="CB63" s="30"/>
      <c r="CC63" s="36"/>
      <c r="CD63" s="27"/>
      <c r="CE63" s="27"/>
      <c r="CF63" s="35"/>
      <c r="CG63" s="33"/>
      <c r="CH63" s="34"/>
      <c r="CI63" s="27"/>
      <c r="CJ63" s="27"/>
      <c r="CK63" s="35"/>
      <c r="CL63" s="33"/>
      <c r="CM63" s="34"/>
      <c r="CN63" s="27"/>
      <c r="CO63" s="27"/>
      <c r="CP63" s="37"/>
      <c r="CQ63" s="33"/>
      <c r="CR63" s="34"/>
      <c r="CS63" s="27"/>
      <c r="CT63" s="27"/>
      <c r="CU63" s="37"/>
      <c r="CV63" s="33"/>
      <c r="CW63" s="34"/>
      <c r="CX63" s="27"/>
      <c r="CY63" s="27"/>
      <c r="CZ63" s="37"/>
      <c r="DA63" s="33"/>
      <c r="DB63" s="34"/>
      <c r="DC63" s="31"/>
      <c r="DD63" s="31"/>
      <c r="DE63" s="38"/>
      <c r="DF63" s="33"/>
      <c r="DG63" s="34"/>
      <c r="DH63" s="40"/>
      <c r="DI63" s="51"/>
      <c r="DJ63" s="51"/>
      <c r="DK63" s="51"/>
      <c r="DL63" s="51"/>
      <c r="DM63" s="51"/>
      <c r="DN63" s="52"/>
      <c r="DO63" s="52"/>
      <c r="DP63" s="52"/>
      <c r="DQ63" s="29"/>
      <c r="DR63" s="29"/>
      <c r="DS63" s="29"/>
      <c r="DT63" s="29"/>
      <c r="DU63" s="29"/>
      <c r="DV63" s="29"/>
    </row>
    <row r="64" spans="2:126" s="28" customFormat="1" ht="17.25" customHeight="1">
      <c r="B64" s="29"/>
      <c r="C64" s="29"/>
      <c r="D64" s="29"/>
      <c r="E64" s="29"/>
      <c r="F64" s="29"/>
      <c r="G64" s="29"/>
      <c r="H64" s="30"/>
      <c r="I64" s="26"/>
      <c r="J64" s="26"/>
      <c r="K64" s="31"/>
      <c r="L64" s="31"/>
      <c r="M64" s="31"/>
      <c r="N64" s="45"/>
      <c r="O64" s="41"/>
      <c r="P64" s="30"/>
      <c r="Q64" s="27"/>
      <c r="R64" s="27"/>
      <c r="S64" s="32"/>
      <c r="T64" s="33"/>
      <c r="U64" s="34"/>
      <c r="V64" s="27"/>
      <c r="W64" s="27"/>
      <c r="X64" s="35"/>
      <c r="Y64" s="33"/>
      <c r="Z64" s="34"/>
      <c r="AA64" s="27"/>
      <c r="AB64" s="27"/>
      <c r="AC64" s="35"/>
      <c r="AD64" s="33"/>
      <c r="AE64" s="34"/>
      <c r="AF64" s="27"/>
      <c r="AG64" s="27"/>
      <c r="AH64" s="35"/>
      <c r="AI64" s="33"/>
      <c r="AJ64" s="34"/>
      <c r="AK64" s="27"/>
      <c r="AL64" s="27"/>
      <c r="AM64" s="35"/>
      <c r="AN64" s="33"/>
      <c r="AO64" s="34"/>
      <c r="AP64" s="30"/>
      <c r="AQ64" s="27"/>
      <c r="AR64" s="27"/>
      <c r="AS64" s="35"/>
      <c r="AT64" s="33"/>
      <c r="AU64" s="34"/>
      <c r="AV64" s="36"/>
      <c r="AW64" s="27"/>
      <c r="AX64" s="27"/>
      <c r="AY64" s="37"/>
      <c r="AZ64" s="33"/>
      <c r="BA64" s="34"/>
      <c r="BB64" s="27"/>
      <c r="BC64" s="27"/>
      <c r="BD64" s="35"/>
      <c r="BE64" s="33"/>
      <c r="BF64" s="34"/>
      <c r="BG64" s="30"/>
      <c r="BH64" s="27"/>
      <c r="BI64" s="27"/>
      <c r="BJ64" s="38"/>
      <c r="BK64" s="33"/>
      <c r="BL64" s="34"/>
      <c r="BM64" s="27"/>
      <c r="BN64" s="27"/>
      <c r="BO64" s="37"/>
      <c r="BP64" s="33"/>
      <c r="BQ64" s="34"/>
      <c r="BR64" s="27"/>
      <c r="BS64" s="27"/>
      <c r="BT64" s="39"/>
      <c r="BU64" s="33"/>
      <c r="BV64" s="34"/>
      <c r="BW64" s="27"/>
      <c r="BX64" s="27"/>
      <c r="BY64" s="35"/>
      <c r="BZ64" s="33"/>
      <c r="CA64" s="34"/>
      <c r="CB64" s="30"/>
      <c r="CC64" s="36"/>
      <c r="CD64" s="27"/>
      <c r="CE64" s="27"/>
      <c r="CF64" s="35"/>
      <c r="CG64" s="33"/>
      <c r="CH64" s="34"/>
      <c r="CI64" s="27"/>
      <c r="CJ64" s="27"/>
      <c r="CK64" s="35"/>
      <c r="CL64" s="33"/>
      <c r="CM64" s="34"/>
      <c r="CN64" s="27"/>
      <c r="CO64" s="27"/>
      <c r="CP64" s="37"/>
      <c r="CQ64" s="33"/>
      <c r="CR64" s="34"/>
      <c r="CS64" s="27"/>
      <c r="CT64" s="27"/>
      <c r="CU64" s="37"/>
      <c r="CV64" s="33"/>
      <c r="CW64" s="34"/>
      <c r="CX64" s="27"/>
      <c r="CY64" s="27"/>
      <c r="CZ64" s="37"/>
      <c r="DA64" s="33"/>
      <c r="DB64" s="34"/>
      <c r="DC64" s="31"/>
      <c r="DD64" s="31"/>
      <c r="DE64" s="38"/>
      <c r="DF64" s="33"/>
      <c r="DG64" s="34"/>
      <c r="DH64" s="40"/>
      <c r="DI64" s="51"/>
      <c r="DJ64" s="51"/>
      <c r="DK64" s="51"/>
      <c r="DL64" s="51"/>
      <c r="DM64" s="51"/>
      <c r="DN64" s="52"/>
      <c r="DO64" s="52"/>
      <c r="DP64" s="52"/>
      <c r="DQ64" s="29"/>
      <c r="DR64" s="29"/>
      <c r="DS64" s="29"/>
      <c r="DT64" s="29"/>
      <c r="DU64" s="29"/>
      <c r="DV64" s="29"/>
    </row>
    <row r="65" spans="2:126" s="28" customFormat="1" ht="17.25" customHeight="1">
      <c r="B65" s="29"/>
      <c r="C65" s="29"/>
      <c r="D65" s="29"/>
      <c r="E65" s="29"/>
      <c r="F65" s="29"/>
      <c r="G65" s="29"/>
      <c r="H65" s="30"/>
      <c r="I65" s="26"/>
      <c r="J65" s="26"/>
      <c r="K65" s="31"/>
      <c r="L65" s="31"/>
      <c r="M65" s="31"/>
      <c r="N65" s="45"/>
      <c r="O65" s="41"/>
      <c r="P65" s="30"/>
      <c r="Q65" s="27"/>
      <c r="R65" s="27"/>
      <c r="S65" s="32"/>
      <c r="T65" s="33"/>
      <c r="U65" s="34"/>
      <c r="V65" s="27"/>
      <c r="W65" s="27"/>
      <c r="X65" s="35"/>
      <c r="Y65" s="33"/>
      <c r="Z65" s="34"/>
      <c r="AA65" s="27"/>
      <c r="AB65" s="27"/>
      <c r="AC65" s="35"/>
      <c r="AD65" s="33"/>
      <c r="AE65" s="34"/>
      <c r="AF65" s="27"/>
      <c r="AG65" s="27"/>
      <c r="AH65" s="35"/>
      <c r="AI65" s="33"/>
      <c r="AJ65" s="34"/>
      <c r="AK65" s="27"/>
      <c r="AL65" s="27"/>
      <c r="AM65" s="35"/>
      <c r="AN65" s="33"/>
      <c r="AO65" s="34"/>
      <c r="AP65" s="30"/>
      <c r="AQ65" s="27"/>
      <c r="AR65" s="27"/>
      <c r="AS65" s="35"/>
      <c r="AT65" s="33"/>
      <c r="AU65" s="34"/>
      <c r="AV65" s="36"/>
      <c r="AW65" s="27"/>
      <c r="AX65" s="27"/>
      <c r="AY65" s="37"/>
      <c r="AZ65" s="33"/>
      <c r="BA65" s="34"/>
      <c r="BB65" s="27"/>
      <c r="BC65" s="27"/>
      <c r="BD65" s="35"/>
      <c r="BE65" s="33"/>
      <c r="BF65" s="34"/>
      <c r="BG65" s="30"/>
      <c r="BH65" s="27"/>
      <c r="BI65" s="27"/>
      <c r="BJ65" s="38"/>
      <c r="BK65" s="33"/>
      <c r="BL65" s="34"/>
      <c r="BM65" s="27"/>
      <c r="BN65" s="27"/>
      <c r="BO65" s="37"/>
      <c r="BP65" s="33"/>
      <c r="BQ65" s="34"/>
      <c r="BR65" s="27"/>
      <c r="BS65" s="27"/>
      <c r="BT65" s="39"/>
      <c r="BU65" s="33"/>
      <c r="BV65" s="34"/>
      <c r="BW65" s="27"/>
      <c r="BX65" s="27"/>
      <c r="BY65" s="35"/>
      <c r="BZ65" s="33"/>
      <c r="CA65" s="34"/>
      <c r="CB65" s="30"/>
      <c r="CC65" s="36"/>
      <c r="CD65" s="27"/>
      <c r="CE65" s="27"/>
      <c r="CF65" s="35"/>
      <c r="CG65" s="33"/>
      <c r="CH65" s="34"/>
      <c r="CI65" s="27"/>
      <c r="CJ65" s="27"/>
      <c r="CK65" s="35"/>
      <c r="CL65" s="33"/>
      <c r="CM65" s="34"/>
      <c r="CN65" s="27"/>
      <c r="CO65" s="27"/>
      <c r="CP65" s="37"/>
      <c r="CQ65" s="33"/>
      <c r="CR65" s="34"/>
      <c r="CS65" s="27"/>
      <c r="CT65" s="27"/>
      <c r="CU65" s="37"/>
      <c r="CV65" s="33"/>
      <c r="CW65" s="34"/>
      <c r="CX65" s="27"/>
      <c r="CY65" s="27"/>
      <c r="CZ65" s="37"/>
      <c r="DA65" s="33"/>
      <c r="DB65" s="34"/>
      <c r="DC65" s="31"/>
      <c r="DD65" s="31"/>
      <c r="DE65" s="38"/>
      <c r="DF65" s="33"/>
      <c r="DG65" s="34"/>
      <c r="DH65" s="40"/>
      <c r="DI65" s="51"/>
      <c r="DJ65" s="51"/>
      <c r="DK65" s="51"/>
      <c r="DL65" s="51"/>
      <c r="DM65" s="51"/>
      <c r="DN65" s="52"/>
      <c r="DO65" s="52"/>
      <c r="DP65" s="52"/>
      <c r="DQ65" s="29"/>
      <c r="DR65" s="29"/>
      <c r="DS65" s="29"/>
      <c r="DT65" s="29"/>
      <c r="DU65" s="29"/>
      <c r="DV65" s="29"/>
    </row>
    <row r="66" spans="2:126" s="28" customFormat="1" ht="17.25" customHeight="1">
      <c r="B66" s="29"/>
      <c r="C66" s="29"/>
      <c r="D66" s="29"/>
      <c r="E66" s="29"/>
      <c r="F66" s="29"/>
      <c r="G66" s="29"/>
      <c r="H66" s="30"/>
      <c r="I66" s="26"/>
      <c r="J66" s="26"/>
      <c r="K66" s="31"/>
      <c r="L66" s="31"/>
      <c r="M66" s="31"/>
      <c r="N66" s="45"/>
      <c r="O66" s="41"/>
      <c r="P66" s="30"/>
      <c r="Q66" s="27"/>
      <c r="R66" s="27"/>
      <c r="S66" s="32"/>
      <c r="T66" s="33"/>
      <c r="U66" s="34"/>
      <c r="V66" s="27"/>
      <c r="W66" s="27"/>
      <c r="X66" s="35"/>
      <c r="Y66" s="33"/>
      <c r="Z66" s="34"/>
      <c r="AA66" s="27"/>
      <c r="AB66" s="27"/>
      <c r="AC66" s="35"/>
      <c r="AD66" s="33"/>
      <c r="AE66" s="34"/>
      <c r="AF66" s="27"/>
      <c r="AG66" s="27"/>
      <c r="AH66" s="35"/>
      <c r="AI66" s="33"/>
      <c r="AJ66" s="34"/>
      <c r="AK66" s="27"/>
      <c r="AL66" s="27"/>
      <c r="AM66" s="35"/>
      <c r="AN66" s="33"/>
      <c r="AO66" s="34"/>
      <c r="AP66" s="30"/>
      <c r="AQ66" s="27"/>
      <c r="AR66" s="27"/>
      <c r="AS66" s="35"/>
      <c r="AT66" s="33"/>
      <c r="AU66" s="34"/>
      <c r="AV66" s="36"/>
      <c r="AW66" s="27"/>
      <c r="AX66" s="27"/>
      <c r="AY66" s="37"/>
      <c r="AZ66" s="33"/>
      <c r="BA66" s="34"/>
      <c r="BB66" s="27"/>
      <c r="BC66" s="27"/>
      <c r="BD66" s="35"/>
      <c r="BE66" s="33"/>
      <c r="BF66" s="34"/>
      <c r="BG66" s="30"/>
      <c r="BH66" s="27"/>
      <c r="BI66" s="27"/>
      <c r="BJ66" s="38"/>
      <c r="BK66" s="33"/>
      <c r="BL66" s="34"/>
      <c r="BM66" s="27"/>
      <c r="BN66" s="27"/>
      <c r="BO66" s="37"/>
      <c r="BP66" s="33"/>
      <c r="BQ66" s="34"/>
      <c r="BR66" s="27"/>
      <c r="BS66" s="27"/>
      <c r="BT66" s="39"/>
      <c r="BU66" s="33"/>
      <c r="BV66" s="34"/>
      <c r="BW66" s="27"/>
      <c r="BX66" s="27"/>
      <c r="BY66" s="35"/>
      <c r="BZ66" s="33"/>
      <c r="CA66" s="34"/>
      <c r="CB66" s="30"/>
      <c r="CC66" s="36"/>
      <c r="CD66" s="27"/>
      <c r="CE66" s="27"/>
      <c r="CF66" s="35"/>
      <c r="CG66" s="33"/>
      <c r="CH66" s="34"/>
      <c r="CI66" s="27"/>
      <c r="CJ66" s="27"/>
      <c r="CK66" s="35"/>
      <c r="CL66" s="33"/>
      <c r="CM66" s="34"/>
      <c r="CN66" s="27"/>
      <c r="CO66" s="27"/>
      <c r="CP66" s="37"/>
      <c r="CQ66" s="33"/>
      <c r="CR66" s="34"/>
      <c r="CS66" s="27"/>
      <c r="CT66" s="27"/>
      <c r="CU66" s="37"/>
      <c r="CV66" s="33"/>
      <c r="CW66" s="34"/>
      <c r="CX66" s="27"/>
      <c r="CY66" s="27"/>
      <c r="CZ66" s="37"/>
      <c r="DA66" s="33"/>
      <c r="DB66" s="34"/>
      <c r="DC66" s="31"/>
      <c r="DD66" s="31"/>
      <c r="DE66" s="38"/>
      <c r="DF66" s="33"/>
      <c r="DG66" s="34"/>
      <c r="DH66" s="40"/>
      <c r="DI66" s="51"/>
      <c r="DJ66" s="51"/>
      <c r="DK66" s="51"/>
      <c r="DL66" s="51"/>
      <c r="DM66" s="51"/>
      <c r="DN66" s="52"/>
      <c r="DO66" s="52"/>
      <c r="DP66" s="52"/>
      <c r="DQ66" s="29"/>
      <c r="DR66" s="29"/>
      <c r="DS66" s="29"/>
      <c r="DT66" s="29"/>
      <c r="DU66" s="29"/>
      <c r="DV66" s="29"/>
    </row>
    <row r="67" spans="2:126" s="28" customFormat="1" ht="17.25" customHeight="1">
      <c r="B67" s="29"/>
      <c r="C67" s="29"/>
      <c r="D67" s="29"/>
      <c r="E67" s="29"/>
      <c r="F67" s="29"/>
      <c r="G67" s="29"/>
      <c r="H67" s="30"/>
      <c r="I67" s="26"/>
      <c r="J67" s="26"/>
      <c r="K67" s="31"/>
      <c r="L67" s="31"/>
      <c r="M67" s="31"/>
      <c r="N67" s="45"/>
      <c r="O67" s="41"/>
      <c r="P67" s="30"/>
      <c r="Q67" s="27"/>
      <c r="R67" s="27"/>
      <c r="S67" s="32"/>
      <c r="T67" s="33"/>
      <c r="U67" s="34"/>
      <c r="V67" s="27"/>
      <c r="W67" s="27"/>
      <c r="X67" s="35"/>
      <c r="Y67" s="33"/>
      <c r="Z67" s="34"/>
      <c r="AA67" s="27"/>
      <c r="AB67" s="27"/>
      <c r="AC67" s="35"/>
      <c r="AD67" s="33"/>
      <c r="AE67" s="34"/>
      <c r="AF67" s="27"/>
      <c r="AG67" s="27"/>
      <c r="AH67" s="35"/>
      <c r="AI67" s="33"/>
      <c r="AJ67" s="34"/>
      <c r="AK67" s="27"/>
      <c r="AL67" s="27"/>
      <c r="AM67" s="35"/>
      <c r="AN67" s="33"/>
      <c r="AO67" s="34"/>
      <c r="AP67" s="30"/>
      <c r="AQ67" s="27"/>
      <c r="AR67" s="27"/>
      <c r="AS67" s="35"/>
      <c r="AT67" s="33"/>
      <c r="AU67" s="34"/>
      <c r="AV67" s="36"/>
      <c r="AW67" s="27"/>
      <c r="AX67" s="27"/>
      <c r="AY67" s="37"/>
      <c r="AZ67" s="33"/>
      <c r="BA67" s="34"/>
      <c r="BB67" s="27"/>
      <c r="BC67" s="27"/>
      <c r="BD67" s="35"/>
      <c r="BE67" s="33"/>
      <c r="BF67" s="34"/>
      <c r="BG67" s="30"/>
      <c r="BH67" s="27"/>
      <c r="BI67" s="27"/>
      <c r="BJ67" s="38"/>
      <c r="BK67" s="33"/>
      <c r="BL67" s="34"/>
      <c r="BM67" s="27"/>
      <c r="BN67" s="27"/>
      <c r="BO67" s="37"/>
      <c r="BP67" s="33"/>
      <c r="BQ67" s="34"/>
      <c r="BR67" s="27"/>
      <c r="BS67" s="27"/>
      <c r="BT67" s="39"/>
      <c r="BU67" s="33"/>
      <c r="BV67" s="34"/>
      <c r="BW67" s="27"/>
      <c r="BX67" s="27"/>
      <c r="BY67" s="35"/>
      <c r="BZ67" s="33"/>
      <c r="CA67" s="34"/>
      <c r="CB67" s="30"/>
      <c r="CC67" s="36"/>
      <c r="CD67" s="27"/>
      <c r="CE67" s="27"/>
      <c r="CF67" s="35"/>
      <c r="CG67" s="33"/>
      <c r="CH67" s="34"/>
      <c r="CI67" s="27"/>
      <c r="CJ67" s="27"/>
      <c r="CK67" s="35"/>
      <c r="CL67" s="33"/>
      <c r="CM67" s="34"/>
      <c r="CN67" s="27"/>
      <c r="CO67" s="27"/>
      <c r="CP67" s="37"/>
      <c r="CQ67" s="33"/>
      <c r="CR67" s="34"/>
      <c r="CS67" s="27"/>
      <c r="CT67" s="27"/>
      <c r="CU67" s="37"/>
      <c r="CV67" s="33"/>
      <c r="CW67" s="34"/>
      <c r="CX67" s="27"/>
      <c r="CY67" s="27"/>
      <c r="CZ67" s="37"/>
      <c r="DA67" s="33"/>
      <c r="DB67" s="34"/>
      <c r="DC67" s="31"/>
      <c r="DD67" s="31"/>
      <c r="DE67" s="38"/>
      <c r="DF67" s="33"/>
      <c r="DG67" s="34"/>
      <c r="DH67" s="40"/>
      <c r="DI67" s="51"/>
      <c r="DJ67" s="51"/>
      <c r="DK67" s="51"/>
      <c r="DL67" s="51"/>
      <c r="DM67" s="51"/>
      <c r="DN67" s="52"/>
      <c r="DO67" s="52"/>
      <c r="DP67" s="52"/>
      <c r="DQ67" s="29"/>
      <c r="DR67" s="29"/>
      <c r="DS67" s="29"/>
      <c r="DT67" s="29"/>
      <c r="DU67" s="29"/>
      <c r="DV67" s="29"/>
    </row>
    <row r="68" spans="2:126" s="28" customFormat="1" ht="17.25" customHeight="1">
      <c r="B68" s="29"/>
      <c r="C68" s="29"/>
      <c r="D68" s="29"/>
      <c r="E68" s="29"/>
      <c r="F68" s="29"/>
      <c r="G68" s="29"/>
      <c r="H68" s="30"/>
      <c r="I68" s="26"/>
      <c r="J68" s="26"/>
      <c r="K68" s="31"/>
      <c r="L68" s="31"/>
      <c r="M68" s="31"/>
      <c r="N68" s="45"/>
      <c r="O68" s="41"/>
      <c r="P68" s="30"/>
      <c r="Q68" s="27"/>
      <c r="R68" s="27"/>
      <c r="S68" s="32"/>
      <c r="T68" s="33"/>
      <c r="U68" s="34"/>
      <c r="V68" s="27"/>
      <c r="W68" s="27"/>
      <c r="X68" s="35"/>
      <c r="Y68" s="33"/>
      <c r="Z68" s="34"/>
      <c r="AA68" s="27"/>
      <c r="AB68" s="27"/>
      <c r="AC68" s="35"/>
      <c r="AD68" s="33"/>
      <c r="AE68" s="34"/>
      <c r="AF68" s="27"/>
      <c r="AG68" s="27"/>
      <c r="AH68" s="35"/>
      <c r="AI68" s="33"/>
      <c r="AJ68" s="34"/>
      <c r="AK68" s="27"/>
      <c r="AL68" s="27"/>
      <c r="AM68" s="35"/>
      <c r="AN68" s="33"/>
      <c r="AO68" s="34"/>
      <c r="AP68" s="30"/>
      <c r="AQ68" s="27"/>
      <c r="AR68" s="27"/>
      <c r="AS68" s="35"/>
      <c r="AT68" s="33"/>
      <c r="AU68" s="34"/>
      <c r="AV68" s="36"/>
      <c r="AW68" s="27"/>
      <c r="AX68" s="27"/>
      <c r="AY68" s="37"/>
      <c r="AZ68" s="33"/>
      <c r="BA68" s="34"/>
      <c r="BB68" s="27"/>
      <c r="BC68" s="27"/>
      <c r="BD68" s="35"/>
      <c r="BE68" s="33"/>
      <c r="BF68" s="34"/>
      <c r="BG68" s="30"/>
      <c r="BH68" s="27"/>
      <c r="BI68" s="27"/>
      <c r="BJ68" s="38"/>
      <c r="BK68" s="33"/>
      <c r="BL68" s="34"/>
      <c r="BM68" s="27"/>
      <c r="BN68" s="27"/>
      <c r="BO68" s="37"/>
      <c r="BP68" s="33"/>
      <c r="BQ68" s="34"/>
      <c r="BR68" s="27"/>
      <c r="BS68" s="27"/>
      <c r="BT68" s="39"/>
      <c r="BU68" s="33"/>
      <c r="BV68" s="34"/>
      <c r="BW68" s="27"/>
      <c r="BX68" s="27"/>
      <c r="BY68" s="35"/>
      <c r="BZ68" s="33"/>
      <c r="CA68" s="34"/>
      <c r="CB68" s="30"/>
      <c r="CC68" s="36"/>
      <c r="CD68" s="27"/>
      <c r="CE68" s="27"/>
      <c r="CF68" s="35"/>
      <c r="CG68" s="33"/>
      <c r="CH68" s="34"/>
      <c r="CI68" s="27"/>
      <c r="CJ68" s="27"/>
      <c r="CK68" s="35"/>
      <c r="CL68" s="33"/>
      <c r="CM68" s="34"/>
      <c r="CN68" s="27"/>
      <c r="CO68" s="27"/>
      <c r="CP68" s="37"/>
      <c r="CQ68" s="33"/>
      <c r="CR68" s="34"/>
      <c r="CS68" s="27"/>
      <c r="CT68" s="27"/>
      <c r="CU68" s="37"/>
      <c r="CV68" s="33"/>
      <c r="CW68" s="34"/>
      <c r="CX68" s="27"/>
      <c r="CY68" s="27"/>
      <c r="CZ68" s="37"/>
      <c r="DA68" s="33"/>
      <c r="DB68" s="34"/>
      <c r="DC68" s="31"/>
      <c r="DD68" s="31"/>
      <c r="DE68" s="38"/>
      <c r="DF68" s="33"/>
      <c r="DG68" s="34"/>
      <c r="DH68" s="40"/>
      <c r="DI68" s="51"/>
      <c r="DJ68" s="51"/>
      <c r="DK68" s="51"/>
      <c r="DL68" s="51"/>
      <c r="DM68" s="51"/>
      <c r="DN68" s="52"/>
      <c r="DO68" s="52"/>
      <c r="DP68" s="52"/>
      <c r="DQ68" s="29"/>
      <c r="DR68" s="29"/>
      <c r="DS68" s="29"/>
      <c r="DT68" s="29"/>
      <c r="DU68" s="29"/>
      <c r="DV68" s="29"/>
    </row>
    <row r="69" spans="2:126" s="28" customFormat="1" ht="17.25" customHeight="1">
      <c r="B69" s="29"/>
      <c r="C69" s="29"/>
      <c r="D69" s="29"/>
      <c r="E69" s="29"/>
      <c r="F69" s="29"/>
      <c r="G69" s="29"/>
      <c r="H69" s="30"/>
      <c r="I69" s="26"/>
      <c r="J69" s="26"/>
      <c r="K69" s="31"/>
      <c r="L69" s="31"/>
      <c r="M69" s="31"/>
      <c r="N69" s="45"/>
      <c r="O69" s="41"/>
      <c r="P69" s="30"/>
      <c r="Q69" s="27"/>
      <c r="R69" s="27"/>
      <c r="S69" s="32"/>
      <c r="T69" s="33"/>
      <c r="U69" s="34"/>
      <c r="V69" s="27"/>
      <c r="W69" s="27"/>
      <c r="X69" s="35"/>
      <c r="Y69" s="33"/>
      <c r="Z69" s="34"/>
      <c r="AA69" s="27"/>
      <c r="AB69" s="27"/>
      <c r="AC69" s="35"/>
      <c r="AD69" s="33"/>
      <c r="AE69" s="34"/>
      <c r="AF69" s="27"/>
      <c r="AG69" s="27"/>
      <c r="AH69" s="35"/>
      <c r="AI69" s="33"/>
      <c r="AJ69" s="34"/>
      <c r="AK69" s="27"/>
      <c r="AL69" s="27"/>
      <c r="AM69" s="35"/>
      <c r="AN69" s="33"/>
      <c r="AO69" s="34"/>
      <c r="AP69" s="30"/>
      <c r="AQ69" s="27"/>
      <c r="AR69" s="27"/>
      <c r="AS69" s="35"/>
      <c r="AT69" s="33"/>
      <c r="AU69" s="34"/>
      <c r="AV69" s="36"/>
      <c r="AW69" s="27"/>
      <c r="AX69" s="27"/>
      <c r="AY69" s="37"/>
      <c r="AZ69" s="33"/>
      <c r="BA69" s="34"/>
      <c r="BB69" s="27"/>
      <c r="BC69" s="27"/>
      <c r="BD69" s="35"/>
      <c r="BE69" s="33"/>
      <c r="BF69" s="34"/>
      <c r="BG69" s="30"/>
      <c r="BH69" s="27"/>
      <c r="BI69" s="27"/>
      <c r="BJ69" s="38"/>
      <c r="BK69" s="33"/>
      <c r="BL69" s="34"/>
      <c r="BM69" s="27"/>
      <c r="BN69" s="27"/>
      <c r="BO69" s="37"/>
      <c r="BP69" s="33"/>
      <c r="BQ69" s="34"/>
      <c r="BR69" s="27"/>
      <c r="BS69" s="27"/>
      <c r="BT69" s="39"/>
      <c r="BU69" s="33"/>
      <c r="BV69" s="34"/>
      <c r="BW69" s="27"/>
      <c r="BX69" s="27"/>
      <c r="BY69" s="35"/>
      <c r="BZ69" s="33"/>
      <c r="CA69" s="34"/>
      <c r="CB69" s="30"/>
      <c r="CC69" s="36"/>
      <c r="CD69" s="27"/>
      <c r="CE69" s="27"/>
      <c r="CF69" s="35"/>
      <c r="CG69" s="33"/>
      <c r="CH69" s="34"/>
      <c r="CI69" s="27"/>
      <c r="CJ69" s="27"/>
      <c r="CK69" s="35"/>
      <c r="CL69" s="33"/>
      <c r="CM69" s="34"/>
      <c r="CN69" s="27"/>
      <c r="CO69" s="27"/>
      <c r="CP69" s="37"/>
      <c r="CQ69" s="33"/>
      <c r="CR69" s="34"/>
      <c r="CS69" s="27"/>
      <c r="CT69" s="27"/>
      <c r="CU69" s="37"/>
      <c r="CV69" s="33"/>
      <c r="CW69" s="34"/>
      <c r="CX69" s="27"/>
      <c r="CY69" s="27"/>
      <c r="CZ69" s="37"/>
      <c r="DA69" s="33"/>
      <c r="DB69" s="34"/>
      <c r="DC69" s="31"/>
      <c r="DD69" s="31"/>
      <c r="DE69" s="38"/>
      <c r="DF69" s="33"/>
      <c r="DG69" s="34"/>
      <c r="DH69" s="40"/>
      <c r="DI69" s="51"/>
      <c r="DJ69" s="51"/>
      <c r="DK69" s="51"/>
      <c r="DL69" s="51"/>
      <c r="DM69" s="51"/>
      <c r="DN69" s="52"/>
      <c r="DO69" s="52"/>
      <c r="DP69" s="52"/>
      <c r="DQ69" s="29"/>
      <c r="DR69" s="29"/>
      <c r="DS69" s="29"/>
      <c r="DT69" s="29"/>
      <c r="DU69" s="29"/>
      <c r="DV69" s="29"/>
    </row>
    <row r="70" spans="2:126" s="28" customFormat="1" ht="17.25" customHeight="1">
      <c r="B70" s="29"/>
      <c r="C70" s="29"/>
      <c r="D70" s="29"/>
      <c r="E70" s="29"/>
      <c r="F70" s="29"/>
      <c r="G70" s="29"/>
      <c r="H70" s="30"/>
      <c r="I70" s="26"/>
      <c r="J70" s="26"/>
      <c r="K70" s="31"/>
      <c r="L70" s="31"/>
      <c r="M70" s="31"/>
      <c r="N70" s="45"/>
      <c r="O70" s="41"/>
      <c r="P70" s="30"/>
      <c r="Q70" s="27"/>
      <c r="R70" s="27"/>
      <c r="S70" s="32"/>
      <c r="T70" s="33"/>
      <c r="U70" s="34"/>
      <c r="V70" s="27"/>
      <c r="W70" s="27"/>
      <c r="X70" s="35"/>
      <c r="Y70" s="33"/>
      <c r="Z70" s="34"/>
      <c r="AA70" s="27"/>
      <c r="AB70" s="27"/>
      <c r="AC70" s="35"/>
      <c r="AD70" s="33"/>
      <c r="AE70" s="34"/>
      <c r="AF70" s="27"/>
      <c r="AG70" s="27"/>
      <c r="AH70" s="35"/>
      <c r="AI70" s="33"/>
      <c r="AJ70" s="34"/>
      <c r="AK70" s="27"/>
      <c r="AL70" s="27"/>
      <c r="AM70" s="35"/>
      <c r="AN70" s="33"/>
      <c r="AO70" s="34"/>
      <c r="AP70" s="30"/>
      <c r="AQ70" s="27"/>
      <c r="AR70" s="27"/>
      <c r="AS70" s="35"/>
      <c r="AT70" s="33"/>
      <c r="AU70" s="34"/>
      <c r="AV70" s="36"/>
      <c r="AW70" s="27"/>
      <c r="AX70" s="27"/>
      <c r="AY70" s="37"/>
      <c r="AZ70" s="33"/>
      <c r="BA70" s="34"/>
      <c r="BB70" s="27"/>
      <c r="BC70" s="27"/>
      <c r="BD70" s="35"/>
      <c r="BE70" s="33"/>
      <c r="BF70" s="34"/>
      <c r="BG70" s="30"/>
      <c r="BH70" s="27"/>
      <c r="BI70" s="27"/>
      <c r="BJ70" s="38"/>
      <c r="BK70" s="33"/>
      <c r="BL70" s="34"/>
      <c r="BM70" s="27"/>
      <c r="BN70" s="27"/>
      <c r="BO70" s="37"/>
      <c r="BP70" s="33"/>
      <c r="BQ70" s="34"/>
      <c r="BR70" s="27"/>
      <c r="BS70" s="27"/>
      <c r="BT70" s="39"/>
      <c r="BU70" s="33"/>
      <c r="BV70" s="34"/>
      <c r="BW70" s="27"/>
      <c r="BX70" s="27"/>
      <c r="BY70" s="35"/>
      <c r="BZ70" s="33"/>
      <c r="CA70" s="34"/>
      <c r="CB70" s="30"/>
      <c r="CC70" s="36"/>
      <c r="CD70" s="27"/>
      <c r="CE70" s="27"/>
      <c r="CF70" s="35"/>
      <c r="CG70" s="33"/>
      <c r="CH70" s="34"/>
      <c r="CI70" s="27"/>
      <c r="CJ70" s="27"/>
      <c r="CK70" s="35"/>
      <c r="CL70" s="33"/>
      <c r="CM70" s="34"/>
      <c r="CN70" s="27"/>
      <c r="CO70" s="27"/>
      <c r="CP70" s="37"/>
      <c r="CQ70" s="33"/>
      <c r="CR70" s="34"/>
      <c r="CS70" s="27"/>
      <c r="CT70" s="27"/>
      <c r="CU70" s="37"/>
      <c r="CV70" s="33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9"/>
      <c r="DJ70" s="49"/>
      <c r="DK70" s="51"/>
      <c r="DL70" s="51"/>
      <c r="DM70" s="51"/>
      <c r="DN70" s="52"/>
      <c r="DO70" s="52"/>
      <c r="DP70" s="52"/>
      <c r="DQ70" s="29"/>
      <c r="DR70" s="29"/>
      <c r="DS70" s="29"/>
      <c r="DT70" s="29"/>
      <c r="DU70" s="29"/>
      <c r="DV70" s="29"/>
    </row>
    <row r="71" spans="2:126" s="28" customFormat="1" ht="17.25" customHeight="1">
      <c r="B71" s="29"/>
      <c r="C71" s="29"/>
      <c r="D71" s="29"/>
      <c r="E71" s="29"/>
      <c r="F71" s="29"/>
      <c r="G71" s="29"/>
      <c r="H71" s="30"/>
      <c r="I71" s="26"/>
      <c r="J71" s="26"/>
      <c r="K71" s="31"/>
      <c r="L71" s="31"/>
      <c r="M71" s="31"/>
      <c r="N71" s="45"/>
      <c r="O71" s="41"/>
      <c r="P71" s="30"/>
      <c r="Q71" s="27"/>
      <c r="R71" s="27"/>
      <c r="S71" s="32"/>
      <c r="T71" s="33"/>
      <c r="U71" s="34"/>
      <c r="V71" s="27"/>
      <c r="W71" s="27"/>
      <c r="X71" s="35"/>
      <c r="Y71" s="33"/>
      <c r="Z71" s="34"/>
      <c r="AA71" s="27"/>
      <c r="AB71" s="27"/>
      <c r="AC71" s="35"/>
      <c r="AD71" s="33"/>
      <c r="AE71" s="34"/>
      <c r="AF71" s="27"/>
      <c r="AG71" s="27"/>
      <c r="AH71" s="35"/>
      <c r="AI71" s="33"/>
      <c r="AJ71" s="34"/>
      <c r="AK71" s="27"/>
      <c r="AL71" s="27"/>
      <c r="AM71" s="35"/>
      <c r="AN71" s="33"/>
      <c r="AO71" s="34"/>
      <c r="AP71" s="30"/>
      <c r="AQ71" s="27"/>
      <c r="AR71" s="27"/>
      <c r="AS71" s="35"/>
      <c r="AT71" s="33"/>
      <c r="AU71" s="34"/>
      <c r="AV71" s="36"/>
      <c r="AW71" s="27"/>
      <c r="AX71" s="27"/>
      <c r="AY71" s="37"/>
      <c r="AZ71" s="33"/>
      <c r="BA71" s="34"/>
      <c r="BB71" s="27"/>
      <c r="BC71" s="27"/>
      <c r="BD71" s="35"/>
      <c r="BE71" s="33"/>
      <c r="BF71" s="34"/>
      <c r="BG71" s="30"/>
      <c r="BH71" s="27"/>
      <c r="BI71" s="27"/>
      <c r="BJ71" s="38"/>
      <c r="BK71" s="33"/>
      <c r="BL71" s="34"/>
      <c r="BM71" s="27"/>
      <c r="BN71" s="27"/>
      <c r="BO71" s="37"/>
      <c r="BP71" s="33"/>
      <c r="BQ71" s="34"/>
      <c r="BR71" s="27"/>
      <c r="BS71" s="27"/>
      <c r="BT71" s="39"/>
      <c r="BU71" s="33"/>
      <c r="BV71" s="34"/>
      <c r="BW71" s="27"/>
      <c r="BX71" s="27"/>
      <c r="BY71" s="35"/>
      <c r="BZ71" s="33"/>
      <c r="CA71" s="34"/>
      <c r="CB71" s="30"/>
      <c r="CC71" s="36"/>
      <c r="CD71" s="27"/>
      <c r="CE71" s="27"/>
      <c r="CF71" s="35"/>
      <c r="CG71" s="33"/>
      <c r="CH71" s="34"/>
      <c r="CI71" s="27"/>
      <c r="CJ71" s="27"/>
      <c r="CK71" s="35"/>
      <c r="CL71" s="33"/>
      <c r="CM71" s="34"/>
      <c r="CN71" s="27"/>
      <c r="CO71" s="27"/>
      <c r="CP71" s="37"/>
      <c r="CQ71" s="33"/>
      <c r="CR71" s="34"/>
      <c r="CS71" s="27"/>
      <c r="CT71" s="27"/>
      <c r="CU71" s="37"/>
      <c r="CV71" s="33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9"/>
      <c r="DJ71" s="49"/>
      <c r="DK71" s="51"/>
      <c r="DL71" s="51"/>
      <c r="DM71" s="51"/>
      <c r="DN71" s="52"/>
      <c r="DO71" s="52"/>
      <c r="DP71" s="52"/>
      <c r="DQ71" s="29"/>
      <c r="DR71" s="29"/>
      <c r="DS71" s="29"/>
      <c r="DT71" s="29"/>
      <c r="DU71" s="29"/>
      <c r="DV71" s="29"/>
    </row>
    <row r="72" spans="2:126" s="28" customFormat="1" ht="17.25" customHeight="1">
      <c r="B72" s="29"/>
      <c r="C72" s="29"/>
      <c r="D72" s="29"/>
      <c r="E72" s="29"/>
      <c r="F72" s="29"/>
      <c r="G72" s="29"/>
      <c r="H72" s="30"/>
      <c r="I72" s="26"/>
      <c r="J72" s="26"/>
      <c r="K72" s="31"/>
      <c r="L72" s="31"/>
      <c r="M72" s="31"/>
      <c r="N72" s="45"/>
      <c r="O72" s="41"/>
      <c r="P72" s="30"/>
      <c r="Q72" s="27"/>
      <c r="R72" s="27"/>
      <c r="S72" s="32"/>
      <c r="T72" s="33"/>
      <c r="U72" s="34"/>
      <c r="V72" s="27"/>
      <c r="W72" s="27"/>
      <c r="X72" s="35"/>
      <c r="Y72" s="33"/>
      <c r="Z72" s="34"/>
      <c r="AA72" s="27"/>
      <c r="AB72" s="27"/>
      <c r="AC72" s="35"/>
      <c r="AD72" s="33"/>
      <c r="AE72" s="34"/>
      <c r="AF72" s="27"/>
      <c r="AG72" s="27"/>
      <c r="AH72" s="35"/>
      <c r="AI72" s="33"/>
      <c r="AJ72" s="34"/>
      <c r="AK72" s="27"/>
      <c r="AL72" s="27"/>
      <c r="AM72" s="35"/>
      <c r="AN72" s="33"/>
      <c r="AO72" s="34"/>
      <c r="AP72" s="30"/>
      <c r="AQ72" s="27"/>
      <c r="AR72" s="27"/>
      <c r="AS72" s="35"/>
      <c r="AT72" s="33"/>
      <c r="AU72" s="34"/>
      <c r="AV72" s="36"/>
      <c r="AW72" s="27"/>
      <c r="AX72" s="27"/>
      <c r="AY72" s="37"/>
      <c r="AZ72" s="33"/>
      <c r="BA72" s="34"/>
      <c r="BB72" s="27"/>
      <c r="BC72" s="27"/>
      <c r="BD72" s="35"/>
      <c r="BE72" s="33"/>
      <c r="BF72" s="34"/>
      <c r="BG72" s="30"/>
      <c r="BH72" s="27"/>
      <c r="BI72" s="27"/>
      <c r="BJ72" s="38"/>
      <c r="BK72" s="33"/>
      <c r="BL72" s="34"/>
      <c r="BM72" s="27"/>
      <c r="BN72" s="27"/>
      <c r="BO72" s="37"/>
      <c r="BP72" s="33"/>
      <c r="BQ72" s="34"/>
      <c r="BR72" s="27"/>
      <c r="BS72" s="27"/>
      <c r="BT72" s="39"/>
      <c r="BU72" s="33"/>
      <c r="BV72" s="34"/>
      <c r="BW72" s="27"/>
      <c r="BX72" s="27"/>
      <c r="BY72" s="35"/>
      <c r="BZ72" s="33"/>
      <c r="CA72" s="34"/>
      <c r="CB72" s="30"/>
      <c r="CC72" s="36"/>
      <c r="CD72" s="27"/>
      <c r="CE72" s="27"/>
      <c r="CF72" s="35"/>
      <c r="CG72" s="33"/>
      <c r="CH72" s="34"/>
      <c r="CI72" s="27"/>
      <c r="CJ72" s="27"/>
      <c r="CK72" s="35"/>
      <c r="CL72" s="33"/>
      <c r="CM72" s="34"/>
      <c r="CN72" s="27"/>
      <c r="CO72" s="27"/>
      <c r="CP72" s="37"/>
      <c r="CQ72" s="33"/>
      <c r="CR72" s="34"/>
      <c r="CS72" s="27"/>
      <c r="CT72" s="27"/>
      <c r="CU72" s="37"/>
      <c r="CV72" s="33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9"/>
      <c r="DJ72" s="49"/>
      <c r="DK72" s="51"/>
      <c r="DL72" s="51"/>
      <c r="DM72" s="51"/>
      <c r="DN72" s="52"/>
      <c r="DO72" s="52"/>
      <c r="DP72" s="52"/>
      <c r="DQ72" s="29"/>
      <c r="DR72" s="29"/>
      <c r="DS72" s="29"/>
      <c r="DT72" s="29"/>
      <c r="DU72" s="29"/>
      <c r="DV72" s="29"/>
    </row>
    <row r="73" spans="2:126" s="28" customFormat="1" ht="17.25" customHeight="1">
      <c r="B73" s="29"/>
      <c r="C73" s="29"/>
      <c r="D73" s="29"/>
      <c r="E73" s="29"/>
      <c r="F73" s="29"/>
      <c r="G73" s="29"/>
      <c r="H73" s="30"/>
      <c r="I73" s="26"/>
      <c r="J73" s="26"/>
      <c r="K73" s="31"/>
      <c r="L73" s="31"/>
      <c r="M73" s="31"/>
      <c r="N73" s="45"/>
      <c r="O73" s="41"/>
      <c r="P73" s="30"/>
      <c r="Q73" s="27"/>
      <c r="R73" s="27"/>
      <c r="S73" s="32"/>
      <c r="T73" s="33"/>
      <c r="U73" s="34"/>
      <c r="V73" s="27"/>
      <c r="W73" s="27"/>
      <c r="X73" s="35"/>
      <c r="Y73" s="33"/>
      <c r="Z73" s="34"/>
      <c r="AA73" s="27"/>
      <c r="AB73" s="27"/>
      <c r="AC73" s="35"/>
      <c r="AD73" s="33"/>
      <c r="AE73" s="34"/>
      <c r="AF73" s="27"/>
      <c r="AG73" s="27"/>
      <c r="AH73" s="35"/>
      <c r="AI73" s="33"/>
      <c r="AJ73" s="34"/>
      <c r="AK73" s="27"/>
      <c r="AL73" s="27"/>
      <c r="AM73" s="35"/>
      <c r="AN73" s="33"/>
      <c r="AO73" s="34"/>
      <c r="AP73" s="30"/>
      <c r="AQ73" s="27"/>
      <c r="AR73" s="27"/>
      <c r="AS73" s="35"/>
      <c r="AT73" s="33"/>
      <c r="AU73" s="34"/>
      <c r="AV73" s="36"/>
      <c r="AW73" s="27"/>
      <c r="AX73" s="27"/>
      <c r="AY73" s="37"/>
      <c r="AZ73" s="33"/>
      <c r="BA73" s="34"/>
      <c r="BB73" s="27"/>
      <c r="BC73" s="27"/>
      <c r="BD73" s="35"/>
      <c r="BE73" s="33"/>
      <c r="BF73" s="34"/>
      <c r="BG73" s="30"/>
      <c r="BH73" s="27"/>
      <c r="BI73" s="27"/>
      <c r="BJ73" s="38"/>
      <c r="BK73" s="33"/>
      <c r="BL73" s="34"/>
      <c r="BM73" s="27"/>
      <c r="BN73" s="27"/>
      <c r="BO73" s="37"/>
      <c r="BP73" s="33"/>
      <c r="BQ73" s="34"/>
      <c r="BR73" s="27"/>
      <c r="BS73" s="27"/>
      <c r="BT73" s="39"/>
      <c r="BU73" s="33"/>
      <c r="BV73" s="34"/>
      <c r="BW73" s="27"/>
      <c r="BX73" s="27"/>
      <c r="BY73" s="35"/>
      <c r="BZ73" s="33"/>
      <c r="CA73" s="34"/>
      <c r="CB73" s="30"/>
      <c r="CC73" s="36"/>
      <c r="CD73" s="27"/>
      <c r="CE73" s="27"/>
      <c r="CF73" s="35"/>
      <c r="CG73" s="33"/>
      <c r="CH73" s="34"/>
      <c r="CI73" s="27"/>
      <c r="CJ73" s="27"/>
      <c r="CK73" s="35"/>
      <c r="CL73" s="33"/>
      <c r="CM73" s="34"/>
      <c r="CN73" s="27"/>
      <c r="CO73" s="27"/>
      <c r="CP73" s="37"/>
      <c r="CQ73" s="33"/>
      <c r="CR73" s="34"/>
      <c r="CS73" s="27"/>
      <c r="CT73" s="27"/>
      <c r="CU73" s="37"/>
      <c r="CV73" s="33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9"/>
      <c r="DJ73" s="49"/>
      <c r="DK73" s="51"/>
      <c r="DL73" s="51"/>
      <c r="DM73" s="51"/>
      <c r="DN73" s="52"/>
      <c r="DO73" s="52"/>
      <c r="DP73" s="52"/>
      <c r="DQ73" s="29"/>
      <c r="DR73" s="29"/>
      <c r="DS73" s="29"/>
      <c r="DT73" s="29"/>
      <c r="DU73" s="29"/>
      <c r="DV73" s="29"/>
    </row>
    <row r="74" spans="2:126" s="28" customFormat="1" ht="17.25" customHeight="1">
      <c r="B74" s="29"/>
      <c r="C74" s="29"/>
      <c r="D74" s="29"/>
      <c r="E74" s="29"/>
      <c r="F74" s="29"/>
      <c r="G74" s="29"/>
      <c r="H74" s="30"/>
      <c r="I74" s="26"/>
      <c r="J74" s="26"/>
      <c r="K74" s="31"/>
      <c r="L74" s="31"/>
      <c r="M74" s="31"/>
      <c r="N74" s="45"/>
      <c r="O74" s="41"/>
      <c r="P74" s="30"/>
      <c r="Q74" s="27"/>
      <c r="R74" s="27"/>
      <c r="S74" s="32"/>
      <c r="T74" s="33"/>
      <c r="U74" s="34"/>
      <c r="V74" s="27"/>
      <c r="W74" s="27"/>
      <c r="X74" s="35"/>
      <c r="Y74" s="33"/>
      <c r="Z74" s="34"/>
      <c r="AA74" s="27"/>
      <c r="AB74" s="27"/>
      <c r="AC74" s="35"/>
      <c r="AD74" s="33"/>
      <c r="AE74" s="34"/>
      <c r="AF74" s="27"/>
      <c r="AG74" s="27"/>
      <c r="AH74" s="35"/>
      <c r="AI74" s="33"/>
      <c r="AJ74" s="34"/>
      <c r="AK74" s="27"/>
      <c r="AL74" s="27"/>
      <c r="AM74" s="35"/>
      <c r="AN74" s="33"/>
      <c r="AO74" s="34"/>
      <c r="AP74" s="30"/>
      <c r="AQ74" s="27"/>
      <c r="AR74" s="27"/>
      <c r="AS74" s="35"/>
      <c r="AT74" s="33"/>
      <c r="AU74" s="34"/>
      <c r="AV74" s="36"/>
      <c r="AW74" s="27"/>
      <c r="AX74" s="27"/>
      <c r="AY74" s="37"/>
      <c r="AZ74" s="33"/>
      <c r="BA74" s="34"/>
      <c r="BB74" s="27"/>
      <c r="BC74" s="27"/>
      <c r="BD74" s="35"/>
      <c r="BE74" s="33"/>
      <c r="BF74" s="34"/>
      <c r="BG74" s="30"/>
      <c r="BH74" s="27"/>
      <c r="BI74" s="27"/>
      <c r="BJ74" s="38"/>
      <c r="BK74" s="33"/>
      <c r="BL74" s="34"/>
      <c r="BM74" s="27"/>
      <c r="BN74" s="27"/>
      <c r="BO74" s="37"/>
      <c r="BP74" s="33"/>
      <c r="BQ74" s="34"/>
      <c r="BR74" s="27"/>
      <c r="BS74" s="27"/>
      <c r="BT74" s="39"/>
      <c r="BU74" s="33"/>
      <c r="BV74" s="34"/>
      <c r="BW74" s="27"/>
      <c r="BX74" s="27"/>
      <c r="BY74" s="35"/>
      <c r="BZ74" s="33"/>
      <c r="CA74" s="34"/>
      <c r="CB74" s="30"/>
      <c r="CC74" s="36"/>
      <c r="CD74" s="27"/>
      <c r="CE74" s="27"/>
      <c r="CF74" s="35"/>
      <c r="CG74" s="33"/>
      <c r="CH74" s="34"/>
      <c r="CI74" s="27"/>
      <c r="CJ74" s="27"/>
      <c r="CK74" s="35"/>
      <c r="CL74" s="33"/>
      <c r="CM74" s="34"/>
      <c r="CN74" s="27"/>
      <c r="CO74" s="27"/>
      <c r="CP74" s="37"/>
      <c r="CQ74" s="33"/>
      <c r="CR74" s="34"/>
      <c r="CS74" s="27"/>
      <c r="CT74" s="27"/>
      <c r="CU74" s="37"/>
      <c r="CV74" s="33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9"/>
      <c r="DJ74" s="49"/>
      <c r="DK74" s="51"/>
      <c r="DL74" s="51"/>
      <c r="DM74" s="51"/>
      <c r="DN74" s="52"/>
      <c r="DO74" s="52"/>
      <c r="DP74" s="52"/>
      <c r="DQ74" s="29"/>
      <c r="DR74" s="29"/>
      <c r="DS74" s="29"/>
      <c r="DT74" s="29"/>
      <c r="DU74" s="29"/>
      <c r="DV74" s="29"/>
    </row>
    <row r="75" spans="2:126" s="28" customFormat="1" ht="17.25" customHeight="1">
      <c r="B75" s="29"/>
      <c r="C75" s="29"/>
      <c r="D75" s="29"/>
      <c r="E75" s="29"/>
      <c r="F75" s="29"/>
      <c r="G75" s="29"/>
      <c r="H75" s="30"/>
      <c r="I75" s="26"/>
      <c r="J75" s="26"/>
      <c r="K75" s="31"/>
      <c r="L75" s="31"/>
      <c r="M75" s="31"/>
      <c r="N75" s="45"/>
      <c r="O75" s="41"/>
      <c r="P75" s="30"/>
      <c r="Q75" s="27"/>
      <c r="R75" s="27"/>
      <c r="S75" s="32"/>
      <c r="T75" s="33"/>
      <c r="U75" s="34"/>
      <c r="V75" s="27"/>
      <c r="W75" s="27"/>
      <c r="X75" s="35"/>
      <c r="Y75" s="33"/>
      <c r="Z75" s="34"/>
      <c r="AA75" s="27"/>
      <c r="AB75" s="27"/>
      <c r="AC75" s="35"/>
      <c r="AD75" s="33"/>
      <c r="AE75" s="34"/>
      <c r="AF75" s="27"/>
      <c r="AG75" s="27"/>
      <c r="AH75" s="35"/>
      <c r="AI75" s="33"/>
      <c r="AJ75" s="34"/>
      <c r="AK75" s="27"/>
      <c r="AL75" s="27"/>
      <c r="AM75" s="35"/>
      <c r="AN75" s="33"/>
      <c r="AO75" s="34"/>
      <c r="AP75" s="30"/>
      <c r="AQ75" s="27"/>
      <c r="AR75" s="27"/>
      <c r="AS75" s="35"/>
      <c r="AT75" s="33"/>
      <c r="AU75" s="34"/>
      <c r="AV75" s="36"/>
      <c r="AW75" s="27"/>
      <c r="AX75" s="27"/>
      <c r="AY75" s="37"/>
      <c r="AZ75" s="33"/>
      <c r="BA75" s="34"/>
      <c r="BB75" s="27"/>
      <c r="BC75" s="27"/>
      <c r="BD75" s="35"/>
      <c r="BE75" s="33"/>
      <c r="BF75" s="34"/>
      <c r="BG75" s="30"/>
      <c r="BH75" s="27"/>
      <c r="BI75" s="27"/>
      <c r="BJ75" s="38"/>
      <c r="BK75" s="33"/>
      <c r="BL75" s="34"/>
      <c r="BM75" s="27"/>
      <c r="BN75" s="27"/>
      <c r="BO75" s="37"/>
      <c r="BP75" s="33"/>
      <c r="BQ75" s="34"/>
      <c r="BR75" s="27"/>
      <c r="BS75" s="27"/>
      <c r="BT75" s="39"/>
      <c r="BU75" s="33"/>
      <c r="BV75" s="34"/>
      <c r="BW75" s="27"/>
      <c r="BX75" s="27"/>
      <c r="BY75" s="35"/>
      <c r="BZ75" s="33"/>
      <c r="CA75" s="34"/>
      <c r="CB75" s="30"/>
      <c r="CC75" s="36"/>
      <c r="CD75" s="27"/>
      <c r="CE75" s="27"/>
      <c r="CF75" s="35"/>
      <c r="CG75" s="33"/>
      <c r="CH75" s="34"/>
      <c r="CI75" s="27"/>
      <c r="CJ75" s="27"/>
      <c r="CK75" s="35"/>
      <c r="CL75" s="33"/>
      <c r="CM75" s="34"/>
      <c r="CN75" s="27"/>
      <c r="CO75" s="27"/>
      <c r="CP75" s="37"/>
      <c r="CQ75" s="33"/>
      <c r="CR75" s="34"/>
      <c r="CS75" s="27"/>
      <c r="CT75" s="27"/>
      <c r="CU75" s="37"/>
      <c r="CV75" s="33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9"/>
      <c r="DJ75" s="49"/>
      <c r="DK75" s="51"/>
      <c r="DL75" s="51"/>
      <c r="DM75" s="51"/>
      <c r="DN75" s="52"/>
      <c r="DO75" s="52"/>
      <c r="DP75" s="52"/>
      <c r="DQ75" s="29"/>
      <c r="DR75" s="29"/>
      <c r="DS75" s="29"/>
      <c r="DT75" s="29"/>
      <c r="DU75" s="29"/>
      <c r="DV75" s="29"/>
    </row>
    <row r="76" spans="2:126" s="28" customFormat="1" ht="17.25" customHeight="1">
      <c r="B76" s="29"/>
      <c r="C76" s="29"/>
      <c r="D76" s="29"/>
      <c r="E76" s="29"/>
      <c r="F76" s="29"/>
      <c r="G76" s="29"/>
      <c r="H76" s="30"/>
      <c r="I76" s="26"/>
      <c r="J76" s="26"/>
      <c r="K76" s="31"/>
      <c r="L76" s="31"/>
      <c r="M76" s="31"/>
      <c r="N76" s="45"/>
      <c r="O76" s="41"/>
      <c r="P76" s="30"/>
      <c r="Q76" s="27"/>
      <c r="R76" s="27"/>
      <c r="S76" s="32"/>
      <c r="T76" s="33"/>
      <c r="U76" s="34"/>
      <c r="V76" s="27"/>
      <c r="W76" s="27"/>
      <c r="X76" s="35"/>
      <c r="Y76" s="33"/>
      <c r="Z76" s="34"/>
      <c r="AA76" s="27"/>
      <c r="AB76" s="27"/>
      <c r="AC76" s="35"/>
      <c r="AD76" s="33"/>
      <c r="AE76" s="34"/>
      <c r="AF76" s="27"/>
      <c r="AG76" s="27"/>
      <c r="AH76" s="35"/>
      <c r="AI76" s="33"/>
      <c r="AJ76" s="34"/>
      <c r="AK76" s="27"/>
      <c r="AL76" s="27"/>
      <c r="AM76" s="35"/>
      <c r="AN76" s="33"/>
      <c r="AO76" s="34"/>
      <c r="AP76" s="30"/>
      <c r="AQ76" s="27"/>
      <c r="AR76" s="27"/>
      <c r="AS76" s="35"/>
      <c r="AT76" s="33"/>
      <c r="AU76" s="34"/>
      <c r="AV76" s="36"/>
      <c r="AW76" s="27"/>
      <c r="AX76" s="27"/>
      <c r="AY76" s="37"/>
      <c r="AZ76" s="33"/>
      <c r="BA76" s="34"/>
      <c r="BB76" s="27"/>
      <c r="BC76" s="27"/>
      <c r="BD76" s="35"/>
      <c r="BE76" s="33"/>
      <c r="BF76" s="34"/>
      <c r="BG76" s="30"/>
      <c r="BH76" s="27"/>
      <c r="BI76" s="27"/>
      <c r="BJ76" s="38"/>
      <c r="BK76" s="33"/>
      <c r="BL76" s="34"/>
      <c r="BM76" s="27"/>
      <c r="BN76" s="27"/>
      <c r="BO76" s="37"/>
      <c r="BP76" s="33"/>
      <c r="BQ76" s="34"/>
      <c r="BR76" s="27"/>
      <c r="BS76" s="27"/>
      <c r="BT76" s="39"/>
      <c r="BU76" s="33"/>
      <c r="BV76" s="34"/>
      <c r="BW76" s="27"/>
      <c r="BX76" s="27"/>
      <c r="BY76" s="35"/>
      <c r="BZ76" s="33"/>
      <c r="CA76" s="34"/>
      <c r="CB76" s="30"/>
      <c r="CC76" s="36"/>
      <c r="CD76" s="27"/>
      <c r="CE76" s="27"/>
      <c r="CF76" s="35"/>
      <c r="CG76" s="33"/>
      <c r="CH76" s="34"/>
      <c r="CI76" s="27"/>
      <c r="CJ76" s="27"/>
      <c r="CK76" s="35"/>
      <c r="CL76" s="33"/>
      <c r="CM76" s="34"/>
      <c r="CN76" s="27"/>
      <c r="CO76" s="27"/>
      <c r="CP76" s="37"/>
      <c r="CQ76" s="33"/>
      <c r="CR76" s="34"/>
      <c r="CS76" s="27"/>
      <c r="CT76" s="27"/>
      <c r="CU76" s="37"/>
      <c r="CV76" s="33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9"/>
      <c r="DJ76" s="49"/>
      <c r="DK76" s="51"/>
      <c r="DL76" s="51"/>
      <c r="DM76" s="51"/>
      <c r="DN76" s="52"/>
      <c r="DO76" s="52"/>
      <c r="DP76" s="52"/>
      <c r="DQ76" s="29"/>
      <c r="DR76" s="29"/>
      <c r="DS76" s="29"/>
      <c r="DT76" s="29"/>
      <c r="DU76" s="29"/>
      <c r="DV76" s="29"/>
    </row>
    <row r="77" spans="2:126" s="28" customFormat="1" ht="17.25" customHeight="1">
      <c r="B77" s="29"/>
      <c r="C77" s="29"/>
      <c r="D77" s="29"/>
      <c r="E77" s="29"/>
      <c r="F77" s="29"/>
      <c r="G77" s="29"/>
      <c r="H77" s="30"/>
      <c r="I77" s="26"/>
      <c r="J77" s="26"/>
      <c r="K77" s="31"/>
      <c r="L77" s="31"/>
      <c r="M77" s="31"/>
      <c r="N77" s="45"/>
      <c r="O77" s="41"/>
      <c r="P77" s="30"/>
      <c r="Q77" s="27"/>
      <c r="R77" s="27"/>
      <c r="S77" s="32"/>
      <c r="T77" s="33"/>
      <c r="U77" s="34"/>
      <c r="V77" s="27"/>
      <c r="W77" s="27"/>
      <c r="X77" s="35"/>
      <c r="Y77" s="33"/>
      <c r="Z77" s="34"/>
      <c r="AA77" s="27"/>
      <c r="AB77" s="27"/>
      <c r="AC77" s="35"/>
      <c r="AD77" s="33"/>
      <c r="AE77" s="34"/>
      <c r="AF77" s="27"/>
      <c r="AG77" s="27"/>
      <c r="AH77" s="35"/>
      <c r="AI77" s="33"/>
      <c r="AJ77" s="34"/>
      <c r="AK77" s="27"/>
      <c r="AL77" s="27"/>
      <c r="AM77" s="35"/>
      <c r="AN77" s="33"/>
      <c r="AO77" s="34"/>
      <c r="AP77" s="30"/>
      <c r="AQ77" s="27"/>
      <c r="AR77" s="27"/>
      <c r="AS77" s="35"/>
      <c r="AT77" s="33"/>
      <c r="AU77" s="34"/>
      <c r="AV77" s="36"/>
      <c r="AW77" s="27"/>
      <c r="AX77" s="27"/>
      <c r="AY77" s="37"/>
      <c r="AZ77" s="33"/>
      <c r="BA77" s="34"/>
      <c r="BB77" s="27"/>
      <c r="BC77" s="27"/>
      <c r="BD77" s="35"/>
      <c r="BE77" s="33"/>
      <c r="BF77" s="34"/>
      <c r="BG77" s="30"/>
      <c r="BH77" s="27"/>
      <c r="BI77" s="27"/>
      <c r="BJ77" s="38"/>
      <c r="BK77" s="33"/>
      <c r="BL77" s="34"/>
      <c r="BM77" s="27"/>
      <c r="BN77" s="27"/>
      <c r="BO77" s="37"/>
      <c r="BP77" s="33"/>
      <c r="BQ77" s="34"/>
      <c r="BR77" s="27"/>
      <c r="BS77" s="27"/>
      <c r="BT77" s="39"/>
      <c r="BU77" s="33"/>
      <c r="BV77" s="34"/>
      <c r="BW77" s="27"/>
      <c r="BX77" s="27"/>
      <c r="BY77" s="35"/>
      <c r="BZ77" s="33"/>
      <c r="CA77" s="34"/>
      <c r="CB77" s="30"/>
      <c r="CC77" s="36"/>
      <c r="CD77" s="27"/>
      <c r="CE77" s="27"/>
      <c r="CF77" s="35"/>
      <c r="CG77" s="33"/>
      <c r="CH77" s="34"/>
      <c r="CI77" s="27"/>
      <c r="CJ77" s="27"/>
      <c r="CK77" s="35"/>
      <c r="CL77" s="33"/>
      <c r="CM77" s="34"/>
      <c r="CN77" s="27"/>
      <c r="CO77" s="27"/>
      <c r="CP77" s="37"/>
      <c r="CQ77" s="33"/>
      <c r="CR77" s="34"/>
      <c r="CS77" s="27"/>
      <c r="CT77" s="27"/>
      <c r="CU77" s="37"/>
      <c r="CV77" s="33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9"/>
      <c r="DJ77" s="49"/>
      <c r="DK77" s="51"/>
      <c r="DL77" s="51"/>
      <c r="DM77" s="51"/>
      <c r="DN77" s="52"/>
      <c r="DO77" s="52"/>
      <c r="DP77" s="52"/>
      <c r="DQ77" s="29"/>
      <c r="DR77" s="29"/>
      <c r="DS77" s="29"/>
      <c r="DT77" s="29"/>
      <c r="DU77" s="29"/>
      <c r="DV77" s="29"/>
    </row>
  </sheetData>
  <mergeCells count="96">
    <mergeCell ref="DQ7:DQ8"/>
    <mergeCell ref="DI5:DQ6"/>
    <mergeCell ref="B11:DQ11"/>
    <mergeCell ref="CD5:DH5"/>
    <mergeCell ref="BR7:BV7"/>
    <mergeCell ref="CB7:CB8"/>
    <mergeCell ref="CN6:CR7"/>
    <mergeCell ref="DH6:DH8"/>
    <mergeCell ref="AW5:CC5"/>
    <mergeCell ref="AW6:BG6"/>
    <mergeCell ref="BH7:BL7"/>
    <mergeCell ref="BW7:CA7"/>
    <mergeCell ref="DL7:DL8"/>
    <mergeCell ref="DN7:DN8"/>
    <mergeCell ref="DO7:DP8"/>
    <mergeCell ref="DO9:DP9"/>
    <mergeCell ref="C1:AP1"/>
    <mergeCell ref="C2:AP2"/>
    <mergeCell ref="P5:AV5"/>
    <mergeCell ref="AV6:AV8"/>
    <mergeCell ref="BG7:BG8"/>
    <mergeCell ref="BB7:BF7"/>
    <mergeCell ref="BM7:BQ7"/>
    <mergeCell ref="BH6:CB6"/>
    <mergeCell ref="A5:A7"/>
    <mergeCell ref="I5:J7"/>
    <mergeCell ref="K5:K8"/>
    <mergeCell ref="AW7:BA7"/>
    <mergeCell ref="AF7:AJ7"/>
    <mergeCell ref="AK7:AO7"/>
    <mergeCell ref="AP7:AP8"/>
    <mergeCell ref="L5:L8"/>
    <mergeCell ref="AA7:AE7"/>
    <mergeCell ref="O5:O8"/>
    <mergeCell ref="P6:P8"/>
    <mergeCell ref="Q6:U7"/>
    <mergeCell ref="V6:Z7"/>
    <mergeCell ref="AA6:AP6"/>
    <mergeCell ref="DO47:DP47"/>
    <mergeCell ref="DO48:DP48"/>
    <mergeCell ref="DO49:DP49"/>
    <mergeCell ref="DO50:DP50"/>
    <mergeCell ref="DO51:DP51"/>
    <mergeCell ref="DO52:DP52"/>
    <mergeCell ref="DO53:DP53"/>
    <mergeCell ref="DO54:DP54"/>
    <mergeCell ref="DO55:DP55"/>
    <mergeCell ref="DO28:DP28"/>
    <mergeCell ref="DO29:DP29"/>
    <mergeCell ref="DO30:DP30"/>
    <mergeCell ref="DO31:DP31"/>
    <mergeCell ref="DO32:DP32"/>
    <mergeCell ref="DO33:DP33"/>
    <mergeCell ref="DO34:DP34"/>
    <mergeCell ref="DO35:DP35"/>
    <mergeCell ref="DO36:DP36"/>
    <mergeCell ref="DO37:DP37"/>
    <mergeCell ref="DO38:DP38"/>
    <mergeCell ref="DO39:DP39"/>
    <mergeCell ref="DO40:DP40"/>
    <mergeCell ref="DO41:DP41"/>
    <mergeCell ref="DO42:DP42"/>
    <mergeCell ref="DO43:DP43"/>
    <mergeCell ref="DO44:DP44"/>
    <mergeCell ref="DO45:DP45"/>
    <mergeCell ref="DO46:DP46"/>
    <mergeCell ref="B5:H7"/>
    <mergeCell ref="DO12:DP12"/>
    <mergeCell ref="DO13:DP13"/>
    <mergeCell ref="DO14:DP14"/>
    <mergeCell ref="DO10:DP10"/>
    <mergeCell ref="DO15:DP15"/>
    <mergeCell ref="DO16:DP16"/>
    <mergeCell ref="DO17:DP17"/>
    <mergeCell ref="DO18:DP18"/>
    <mergeCell ref="DO19:DP19"/>
    <mergeCell ref="DO20:DP20"/>
    <mergeCell ref="DO21:DP21"/>
    <mergeCell ref="DO22:DP22"/>
    <mergeCell ref="DO23:DP23"/>
    <mergeCell ref="DO24:DP24"/>
    <mergeCell ref="DO25:DP25"/>
    <mergeCell ref="DO26:DP26"/>
    <mergeCell ref="DO27:DP27"/>
    <mergeCell ref="M5:N6"/>
    <mergeCell ref="DM7:DM8"/>
    <mergeCell ref="AQ6:AU7"/>
    <mergeCell ref="CS6:CW7"/>
    <mergeCell ref="CX6:DB7"/>
    <mergeCell ref="DC6:DG7"/>
    <mergeCell ref="CI6:CM7"/>
    <mergeCell ref="CC6:CC8"/>
    <mergeCell ref="DI7:DI8"/>
    <mergeCell ref="DJ7:DJ8"/>
    <mergeCell ref="DK7:DK8"/>
    <mergeCell ref="CD6:CH7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8" scale="54" fitToHeight="0" pageOrder="overThenDown" orientation="landscape" verticalDpi="1200" r:id="rId1"/>
  <headerFooter>
    <oddFooter>&amp;C&amp;P/&amp;N</oddFooter>
  </headerFooter>
  <colBreaks count="2" manualBreakCount="2">
    <brk id="42" max="46" man="1"/>
    <brk id="81" max="46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기술제안2공구 교차로구간_260805</vt:lpstr>
      <vt:lpstr>'기술제안2공구 교차로구간_260805'!Print_Area</vt:lpstr>
      <vt:lpstr>'기술제안2공구 교차로구간_260805'!Print_Titles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김민호</dc:creator>
  <cp:lastModifiedBy>(주)천우씨엠 이흥철 대표이사</cp:lastModifiedBy>
  <cp:lastPrinted>2026-08-06T01:19:35Z</cp:lastPrinted>
  <dcterms:created xsi:type="dcterms:W3CDTF">2026-06-17T10:35:32Z</dcterms:created>
  <dcterms:modified xsi:type="dcterms:W3CDTF">2026-08-06T01:19:43Z</dcterms:modified>
</cp:coreProperties>
</file>